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16082813d7b19226/Desktop/EXEL/"/>
    </mc:Choice>
  </mc:AlternateContent>
  <xr:revisionPtr revIDLastSave="2" documentId="8_{38E1D2F0-579D-4951-9B9C-954997C1FFB6}" xr6:coauthVersionLast="47" xr6:coauthVersionMax="47" xr10:uidLastSave="{5191F897-9B27-4C5C-9B50-28749D275B5C}"/>
  <bookViews>
    <workbookView xWindow="-120" yWindow="-120" windowWidth="20730" windowHeight="11040" tabRatio="765" activeTab="3" xr2:uid="{00000000-000D-0000-FFFF-FFFF00000000}"/>
  </bookViews>
  <sheets>
    <sheet name="Raw Data" sheetId="1" r:id="rId1"/>
    <sheet name="PROCESSING" sheetId="6" r:id="rId2"/>
    <sheet name="PVIOTS" sheetId="7" r:id="rId3"/>
    <sheet name="DASHBOARD" sheetId="5" r:id="rId4"/>
    <sheet name="KPI Dashboard" sheetId="3" r:id="rId5"/>
    <sheet name="How To Use (Read Me)" sheetId="4" r:id="rId6"/>
  </sheets>
  <definedNames>
    <definedName name="NativeTimeline_Order_Date">#N/A</definedName>
    <definedName name="Slicer_Brand">#N/A</definedName>
    <definedName name="Slicer_Category">#N/A</definedName>
    <definedName name="Slicer_Channel">#N/A</definedName>
    <definedName name="Slicer_Customer_Segment">#N/A</definedName>
    <definedName name="Slicer_Payment_Mode">#N/A</definedName>
    <definedName name="Slicer_Returned">#N/A</definedName>
  </definedNames>
  <calcPr calcId="191029" iterateDelta="1E-4"/>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19" i="1" l="1"/>
  <c r="S16" i="1"/>
  <c r="S10" i="1"/>
  <c r="S7" i="1"/>
  <c r="S4" i="1"/>
  <c r="S14" i="6"/>
  <c r="S11" i="6"/>
  <c r="S8" i="6"/>
  <c r="S5" i="6"/>
  <c r="D8" i="3"/>
  <c r="B8" i="3"/>
  <c r="H4" i="3"/>
  <c r="D4" i="3"/>
  <c r="B4" i="3"/>
  <c r="F4" i="3" s="1"/>
</calcChain>
</file>

<file path=xl/sharedStrings.xml><?xml version="1.0" encoding="utf-8"?>
<sst xmlns="http://schemas.openxmlformats.org/spreadsheetml/2006/main" count="14445" uniqueCount="1214">
  <si>
    <t>Order ID</t>
  </si>
  <si>
    <t>Order Date</t>
  </si>
  <si>
    <t>Category</t>
  </si>
  <si>
    <t>Product Name</t>
  </si>
  <si>
    <t>Brand</t>
  </si>
  <si>
    <t>City</t>
  </si>
  <si>
    <t>Channel</t>
  </si>
  <si>
    <t>Customer Segment</t>
  </si>
  <si>
    <t>Payment Mode</t>
  </si>
  <si>
    <t>Units Sold</t>
  </si>
  <si>
    <t>Unit Price (Rs)</t>
  </si>
  <si>
    <t>Gross Sales (Rs)</t>
  </si>
  <si>
    <t>Discount %</t>
  </si>
  <si>
    <t>Discount Amount (Rs)</t>
  </si>
  <si>
    <t>Net Sales (Rs)</t>
  </si>
  <si>
    <t>Customer Rating</t>
  </si>
  <si>
    <t>Returned</t>
  </si>
  <si>
    <t>NYK10417</t>
  </si>
  <si>
    <t>2025-07-01</t>
  </si>
  <si>
    <t>Haircare</t>
  </si>
  <si>
    <t>Hair Oil</t>
  </si>
  <si>
    <t>Biotique</t>
  </si>
  <si>
    <t>Jaipur</t>
  </si>
  <si>
    <t>Nykaa App</t>
  </si>
  <si>
    <t>New Customer</t>
  </si>
  <si>
    <t>UPI</t>
  </si>
  <si>
    <t>No</t>
  </si>
  <si>
    <t>NYK10485</t>
  </si>
  <si>
    <t>Makeup</t>
  </si>
  <si>
    <t>Mascara</t>
  </si>
  <si>
    <t>Dot &amp; Key</t>
  </si>
  <si>
    <t>Bengaluru</t>
  </si>
  <si>
    <t>Nykaa Website</t>
  </si>
  <si>
    <t>Repeat Customer</t>
  </si>
  <si>
    <t>Debit Card</t>
  </si>
  <si>
    <t>NYK10403</t>
  </si>
  <si>
    <t>Kajal</t>
  </si>
  <si>
    <t>Nykaa Cosmetics</t>
  </si>
  <si>
    <t>NYK10511</t>
  </si>
  <si>
    <t>2025-07-02</t>
  </si>
  <si>
    <t>Skincare</t>
  </si>
  <si>
    <t>Face Mask</t>
  </si>
  <si>
    <t>L'Oreal Paris</t>
  </si>
  <si>
    <t>Kolkata</t>
  </si>
  <si>
    <t>Nykaa Offline Store</t>
  </si>
  <si>
    <t>COD</t>
  </si>
  <si>
    <t>NYK10019</t>
  </si>
  <si>
    <t>Moisturizer</t>
  </si>
  <si>
    <t>Sugar Cosmetics</t>
  </si>
  <si>
    <t>NYK10531</t>
  </si>
  <si>
    <t>2025-07-03</t>
  </si>
  <si>
    <t>Bath &amp; Body</t>
  </si>
  <si>
    <t>Body Lotion</t>
  </si>
  <si>
    <t>Wow Skin Science</t>
  </si>
  <si>
    <t>NYK10330</t>
  </si>
  <si>
    <t>NYK10387</t>
  </si>
  <si>
    <t>2025-07-04</t>
  </si>
  <si>
    <t>Serum</t>
  </si>
  <si>
    <t>NYK10704</t>
  </si>
  <si>
    <t>2025-07-05</t>
  </si>
  <si>
    <t>MamaEarth</t>
  </si>
  <si>
    <t>Ahmedabad</t>
  </si>
  <si>
    <t>NYK10701</t>
  </si>
  <si>
    <t>Personal Care</t>
  </si>
  <si>
    <t>Hair Dryer</t>
  </si>
  <si>
    <t>Chennai</t>
  </si>
  <si>
    <t>NYK10275</t>
  </si>
  <si>
    <t>2025-07-06</t>
  </si>
  <si>
    <t>Sunscreen</t>
  </si>
  <si>
    <t>NYK10009</t>
  </si>
  <si>
    <t>Body Wash</t>
  </si>
  <si>
    <t>Plum</t>
  </si>
  <si>
    <t>Delhi</t>
  </si>
  <si>
    <t>NYK10335</t>
  </si>
  <si>
    <t>2025-07-07</t>
  </si>
  <si>
    <t>Yes</t>
  </si>
  <si>
    <t>NYK10060</t>
  </si>
  <si>
    <t>Compact</t>
  </si>
  <si>
    <t>Lakme</t>
  </si>
  <si>
    <t>Lucknow</t>
  </si>
  <si>
    <t>NYK10626</t>
  </si>
  <si>
    <t>2025-07-08</t>
  </si>
  <si>
    <t>Maybelline</t>
  </si>
  <si>
    <t>Hyderabad</t>
  </si>
  <si>
    <t>Credit Card</t>
  </si>
  <si>
    <t>NYK10586</t>
  </si>
  <si>
    <t>2025-07-10</t>
  </si>
  <si>
    <t>NYK10516</t>
  </si>
  <si>
    <t>NYK10617</t>
  </si>
  <si>
    <t>2025-07-11</t>
  </si>
  <si>
    <t>NYK10415</t>
  </si>
  <si>
    <t>Fragrance</t>
  </si>
  <si>
    <t>Body Mist</t>
  </si>
  <si>
    <t>NYK10465</t>
  </si>
  <si>
    <t>2025-07-13</t>
  </si>
  <si>
    <t>Lipstick</t>
  </si>
  <si>
    <t>NYK10345</t>
  </si>
  <si>
    <t>Bath Salt</t>
  </si>
  <si>
    <t>Wallet</t>
  </si>
  <si>
    <t>NYK10128</t>
  </si>
  <si>
    <t>2025-07-14</t>
  </si>
  <si>
    <t>The Body Shop</t>
  </si>
  <si>
    <t>NYK10096</t>
  </si>
  <si>
    <t>NYK10161</t>
  </si>
  <si>
    <t>Premium Member</t>
  </si>
  <si>
    <t>NYK10105</t>
  </si>
  <si>
    <t>2025-07-15</t>
  </si>
  <si>
    <t>NYK10605</t>
  </si>
  <si>
    <t>NYK10653</t>
  </si>
  <si>
    <t>NYK10663</t>
  </si>
  <si>
    <t>Perfume</t>
  </si>
  <si>
    <t>NYK10689</t>
  </si>
  <si>
    <t>2025-07-16</t>
  </si>
  <si>
    <t>Face Wash</t>
  </si>
  <si>
    <t>NYK10670</t>
  </si>
  <si>
    <t>NYK10064</t>
  </si>
  <si>
    <t>2025-07-17</t>
  </si>
  <si>
    <t>NYK10201</t>
  </si>
  <si>
    <t>NYK10498</t>
  </si>
  <si>
    <t>Pune</t>
  </si>
  <si>
    <t>NYK10006</t>
  </si>
  <si>
    <t>Shampoo</t>
  </si>
  <si>
    <t>NYK10379</t>
  </si>
  <si>
    <t>2025-07-18</t>
  </si>
  <si>
    <t>NYK10410</t>
  </si>
  <si>
    <t>Deodorant</t>
  </si>
  <si>
    <t>NYK10426</t>
  </si>
  <si>
    <t>NYK10718</t>
  </si>
  <si>
    <t>Conditioner</t>
  </si>
  <si>
    <t>NYK10492</t>
  </si>
  <si>
    <t>Mumbai</t>
  </si>
  <si>
    <t>NYK10696</t>
  </si>
  <si>
    <t>2025-07-19</t>
  </si>
  <si>
    <t>NYK10028</t>
  </si>
  <si>
    <t>Trimmer</t>
  </si>
  <si>
    <t>NYK10170</t>
  </si>
  <si>
    <t>2025-07-20</t>
  </si>
  <si>
    <t>NYK10227</t>
  </si>
  <si>
    <t>2025-07-22</t>
  </si>
  <si>
    <t>NYK10608</t>
  </si>
  <si>
    <t>NYK10200</t>
  </si>
  <si>
    <t>NYK10134</t>
  </si>
  <si>
    <t>2025-07-23</t>
  </si>
  <si>
    <t>Face Roller</t>
  </si>
  <si>
    <t>NYK10419</t>
  </si>
  <si>
    <t>NYK10693</t>
  </si>
  <si>
    <t>2025-07-24</t>
  </si>
  <si>
    <t>NYK10579</t>
  </si>
  <si>
    <t>NYK10616</t>
  </si>
  <si>
    <t>2025-07-25</t>
  </si>
  <si>
    <t>NYK10431</t>
  </si>
  <si>
    <t>2025-07-26</t>
  </si>
  <si>
    <t>NYK10107</t>
  </si>
  <si>
    <t>2025-07-27</t>
  </si>
  <si>
    <t>NYK10525</t>
  </si>
  <si>
    <t>Minimalist</t>
  </si>
  <si>
    <t>NYK10338</t>
  </si>
  <si>
    <t>2025-07-28</t>
  </si>
  <si>
    <t>NYK10574</t>
  </si>
  <si>
    <t>NYK10304</t>
  </si>
  <si>
    <t>NYK10646</t>
  </si>
  <si>
    <t>2025-07-31</t>
  </si>
  <si>
    <t>NYK10684</t>
  </si>
  <si>
    <t>Foundation</t>
  </si>
  <si>
    <t>NYK10118</t>
  </si>
  <si>
    <t>2025-08-01</t>
  </si>
  <si>
    <t>NYK10336</t>
  </si>
  <si>
    <t>NYK10283</t>
  </si>
  <si>
    <t>NYK10630</t>
  </si>
  <si>
    <t>NYK10421</t>
  </si>
  <si>
    <t>NYK10399</t>
  </si>
  <si>
    <t>2025-08-02</t>
  </si>
  <si>
    <t>NYK10349</t>
  </si>
  <si>
    <t>NYK10097</t>
  </si>
  <si>
    <t>NYK10514</t>
  </si>
  <si>
    <t>NYK10680</t>
  </si>
  <si>
    <t>2025-08-03</t>
  </si>
  <si>
    <t>NYK10566</t>
  </si>
  <si>
    <t>2025-08-04</t>
  </si>
  <si>
    <t>NYK10184</t>
  </si>
  <si>
    <t>NYK10244</t>
  </si>
  <si>
    <t>NYK10369</t>
  </si>
  <si>
    <t>2025-08-05</t>
  </si>
  <si>
    <t>NYK10061</t>
  </si>
  <si>
    <t>2025-08-07</t>
  </si>
  <si>
    <t>NYK10271</t>
  </si>
  <si>
    <t>NYK10205</t>
  </si>
  <si>
    <t>NYK10278</t>
  </si>
  <si>
    <t>2025-08-08</t>
  </si>
  <si>
    <t>NYK10422</t>
  </si>
  <si>
    <t>2025-08-09</t>
  </si>
  <si>
    <t>NYK10113</t>
  </si>
  <si>
    <t>NYK10249</t>
  </si>
  <si>
    <t>NYK10624</t>
  </si>
  <si>
    <t>2025-08-10</t>
  </si>
  <si>
    <t>NYK10738</t>
  </si>
  <si>
    <t>2025-08-11</t>
  </si>
  <si>
    <t>NYK10150</t>
  </si>
  <si>
    <t>NYK10649</t>
  </si>
  <si>
    <t>NYK10677</t>
  </si>
  <si>
    <t>NYK10535</t>
  </si>
  <si>
    <t>NYK10245</t>
  </si>
  <si>
    <t>2025-08-12</t>
  </si>
  <si>
    <t>NYK10697</t>
  </si>
  <si>
    <t>2025-08-13</t>
  </si>
  <si>
    <t>NYK10490</t>
  </si>
  <si>
    <t>NYK10641</t>
  </si>
  <si>
    <t>NYK10627</t>
  </si>
  <si>
    <t>2025-08-14</t>
  </si>
  <si>
    <t>NYK10112</t>
  </si>
  <si>
    <t>2025-08-15</t>
  </si>
  <si>
    <t>NYK10667</t>
  </si>
  <si>
    <t>NYK10008</t>
  </si>
  <si>
    <t>2025-08-16</t>
  </si>
  <si>
    <t>NYK10729</t>
  </si>
  <si>
    <t>NYK10080</t>
  </si>
  <si>
    <t>NYK10565</t>
  </si>
  <si>
    <t>NYK10282</t>
  </si>
  <si>
    <t>NYK10318</t>
  </si>
  <si>
    <t>2025-08-17</t>
  </si>
  <si>
    <t>NYK10322</t>
  </si>
  <si>
    <t>2025-08-18</t>
  </si>
  <si>
    <t>NYK10429</t>
  </si>
  <si>
    <t>NYK10101</t>
  </si>
  <si>
    <t>NYK10720</t>
  </si>
  <si>
    <t>2025-08-19</t>
  </si>
  <si>
    <t>NYK10638</t>
  </si>
  <si>
    <t>2025-08-20</t>
  </si>
  <si>
    <t>NYK10440</t>
  </si>
  <si>
    <t>NYK10192</t>
  </si>
  <si>
    <t>Hair Serum</t>
  </si>
  <si>
    <t>NYK10682</t>
  </si>
  <si>
    <t>2025-08-21</t>
  </si>
  <si>
    <t>NYK10004</t>
  </si>
  <si>
    <t>NYK10520</t>
  </si>
  <si>
    <t>NYK10509</t>
  </si>
  <si>
    <t>2025-08-22</t>
  </si>
  <si>
    <t>NYK10206</t>
  </si>
  <si>
    <t>NYK10261</t>
  </si>
  <si>
    <t>NYK10238</t>
  </si>
  <si>
    <t>NYK10707</t>
  </si>
  <si>
    <t>2025-08-23</t>
  </si>
  <si>
    <t>NYK10033</t>
  </si>
  <si>
    <t>2025-08-25</t>
  </si>
  <si>
    <t>NYK10288</t>
  </si>
  <si>
    <t>2025-08-27</t>
  </si>
  <si>
    <t>NYK10568</t>
  </si>
  <si>
    <t>NYK10540</t>
  </si>
  <si>
    <t>NYK10497</t>
  </si>
  <si>
    <t>NYK10455</t>
  </si>
  <si>
    <t>2025-08-28</t>
  </si>
  <si>
    <t>NYK10660</t>
  </si>
  <si>
    <t>NYK10108</t>
  </si>
  <si>
    <t>NYK10065</t>
  </si>
  <si>
    <t>NYK10569</t>
  </si>
  <si>
    <t>2025-08-29</t>
  </si>
  <si>
    <t>NYK10609</t>
  </si>
  <si>
    <t>NYK10250</t>
  </si>
  <si>
    <t>NYK10603</t>
  </si>
  <si>
    <t>2025-08-30</t>
  </si>
  <si>
    <t>NYK10389</t>
  </si>
  <si>
    <t>2025-08-31</t>
  </si>
  <si>
    <t>NYK10658</t>
  </si>
  <si>
    <t>NYK10143</t>
  </si>
  <si>
    <t>2025-09-01</t>
  </si>
  <si>
    <t>NYK10003</t>
  </si>
  <si>
    <t>2025-09-02</t>
  </si>
  <si>
    <t>NYK10066</t>
  </si>
  <si>
    <t>NYK10035</t>
  </si>
  <si>
    <t>NYK10286</t>
  </si>
  <si>
    <t>2025-09-03</t>
  </si>
  <si>
    <t>NYK10012</t>
  </si>
  <si>
    <t>NYK10273</t>
  </si>
  <si>
    <t>2025-09-04</t>
  </si>
  <si>
    <t>NYK10331</t>
  </si>
  <si>
    <t>NYK10477</t>
  </si>
  <si>
    <t>2025-09-05</t>
  </si>
  <si>
    <t>NYK10124</t>
  </si>
  <si>
    <t>2025-09-06</t>
  </si>
  <si>
    <t>NYK10457</t>
  </si>
  <si>
    <t>NYK10024</t>
  </si>
  <si>
    <t>NYK10176</t>
  </si>
  <si>
    <t>2025-09-07</t>
  </si>
  <si>
    <t>NYK10359</t>
  </si>
  <si>
    <t>NYK10372</t>
  </si>
  <si>
    <t>NYK10741</t>
  </si>
  <si>
    <t>NYK10074</t>
  </si>
  <si>
    <t>2025-09-08</t>
  </si>
  <si>
    <t>NYK10468</t>
  </si>
  <si>
    <t>NYK10258</t>
  </si>
  <si>
    <t>NYK10181</t>
  </si>
  <si>
    <t>NYK10305</t>
  </si>
  <si>
    <t>2025-09-09</t>
  </si>
  <si>
    <t>NYK10691</t>
  </si>
  <si>
    <t>NYK10655</t>
  </si>
  <si>
    <t>NYK10640</t>
  </si>
  <si>
    <t>NYK10129</t>
  </si>
  <si>
    <t>NYK10123</t>
  </si>
  <si>
    <t>NYK10364</t>
  </si>
  <si>
    <t>2025-09-10</t>
  </si>
  <si>
    <t>NYK10159</t>
  </si>
  <si>
    <t>NYK10007</t>
  </si>
  <si>
    <t>NYK10746</t>
  </si>
  <si>
    <t>NYK10648</t>
  </si>
  <si>
    <t>NYK10231</t>
  </si>
  <si>
    <t>2025-09-11</t>
  </si>
  <si>
    <t>NYK10217</t>
  </si>
  <si>
    <t>NYK10140</t>
  </si>
  <si>
    <t>2025-09-12</t>
  </si>
  <si>
    <t>NYK10078</t>
  </si>
  <si>
    <t>NYK10557</t>
  </si>
  <si>
    <t>2025-09-13</t>
  </si>
  <si>
    <t>NYK10392</t>
  </si>
  <si>
    <t>NYK10377</t>
  </si>
  <si>
    <t>NYK10545</t>
  </si>
  <si>
    <t>2025-09-14</t>
  </si>
  <si>
    <t>NYK10099</t>
  </si>
  <si>
    <t>NYK10459</t>
  </si>
  <si>
    <t>NYK10300</t>
  </si>
  <si>
    <t>2025-09-15</t>
  </si>
  <si>
    <t>NYK10254</t>
  </si>
  <si>
    <t>2025-09-16</t>
  </si>
  <si>
    <t>NYK10510</t>
  </si>
  <si>
    <t>NYK10077</t>
  </si>
  <si>
    <t>NYK10141</t>
  </si>
  <si>
    <t>2025-09-17</t>
  </si>
  <si>
    <t>NYK10489</t>
  </si>
  <si>
    <t>NYK10546</t>
  </si>
  <si>
    <t>2025-09-18</t>
  </si>
  <si>
    <t>NYK10092</t>
  </si>
  <si>
    <t>NYK10578</t>
  </si>
  <si>
    <t>2025-09-19</t>
  </si>
  <si>
    <t>NYK10323</t>
  </si>
  <si>
    <t>NYK10219</t>
  </si>
  <si>
    <t>2025-09-20</t>
  </si>
  <si>
    <t>NYK10645</t>
  </si>
  <si>
    <t>NYK10524</t>
  </si>
  <si>
    <t>NYK10366</t>
  </si>
  <si>
    <t>2025-09-21</t>
  </si>
  <si>
    <t>NYK10507</t>
  </si>
  <si>
    <t>NYK10460</t>
  </si>
  <si>
    <t>NYK10610</t>
  </si>
  <si>
    <t>2025-09-23</t>
  </si>
  <si>
    <t>NYK10346</t>
  </si>
  <si>
    <t>2025-09-24</t>
  </si>
  <si>
    <t>NYK10319</t>
  </si>
  <si>
    <t>NYK10224</t>
  </si>
  <si>
    <t>NYK10398</t>
  </si>
  <si>
    <t>NYK10495</t>
  </si>
  <si>
    <t>NYK10723</t>
  </si>
  <si>
    <t>2025-09-26</t>
  </si>
  <si>
    <t>NYK10517</t>
  </si>
  <si>
    <t>NYK10562</t>
  </si>
  <si>
    <t>2025-09-27</t>
  </si>
  <si>
    <t>NYK10164</t>
  </si>
  <si>
    <t>NYK10036</t>
  </si>
  <si>
    <t>2025-09-28</t>
  </si>
  <si>
    <t>NYK10173</t>
  </si>
  <si>
    <t>NYK10717</t>
  </si>
  <si>
    <t>2025-09-29</t>
  </si>
  <si>
    <t>NYK10295</t>
  </si>
  <si>
    <t>NYK10030</t>
  </si>
  <si>
    <t>2025-09-30</t>
  </si>
  <si>
    <t>NYK10182</t>
  </si>
  <si>
    <t>NYK10385</t>
  </si>
  <si>
    <t>NYK10555</t>
  </si>
  <si>
    <t>NYK10454</t>
  </si>
  <si>
    <t>NYK10480</t>
  </si>
  <si>
    <t>2025-10-02</t>
  </si>
  <si>
    <t>NYK10506</t>
  </si>
  <si>
    <t>2025-10-03</t>
  </si>
  <si>
    <t>NYK10132</t>
  </si>
  <si>
    <t>2025-10-04</t>
  </si>
  <si>
    <t>NYK10142</t>
  </si>
  <si>
    <t>NYK10747</t>
  </si>
  <si>
    <t>2025-10-05</t>
  </si>
  <si>
    <t>NYK10406</t>
  </si>
  <si>
    <t>NYK10418</t>
  </si>
  <si>
    <t>2025-10-06</t>
  </si>
  <si>
    <t>NYK10020</t>
  </si>
  <si>
    <t>NYK10329</t>
  </si>
  <si>
    <t>NYK10158</t>
  </si>
  <si>
    <t>2025-10-10</t>
  </si>
  <si>
    <t>NYK10114</t>
  </si>
  <si>
    <t>NYK10433</t>
  </si>
  <si>
    <t>NYK10038</t>
  </si>
  <si>
    <t>NYK10601</t>
  </si>
  <si>
    <t>NYK10013</t>
  </si>
  <si>
    <t>2025-10-11</t>
  </si>
  <si>
    <t>NYK10265</t>
  </si>
  <si>
    <t>NYK10686</t>
  </si>
  <si>
    <t>NYK10314</t>
  </si>
  <si>
    <t>NYK10508</t>
  </si>
  <si>
    <t>NYK10528</t>
  </si>
  <si>
    <t>2025-10-12</t>
  </si>
  <si>
    <t>NYK10109</t>
  </si>
  <si>
    <t>2025-10-13</t>
  </si>
  <si>
    <t>NYK10476</t>
  </si>
  <si>
    <t>2025-10-14</t>
  </si>
  <si>
    <t>NYK10633</t>
  </si>
  <si>
    <t>2025-10-15</t>
  </si>
  <si>
    <t>NYK10063</t>
  </si>
  <si>
    <t>NYK10352</t>
  </si>
  <si>
    <t>2025-10-16</t>
  </si>
  <si>
    <t>NYK10047</t>
  </si>
  <si>
    <t>2025-10-17</t>
  </si>
  <si>
    <t>NYK10094</t>
  </si>
  <si>
    <t>NYK10376</t>
  </si>
  <si>
    <t>2025-10-18</t>
  </si>
  <si>
    <t>NYK10296</t>
  </si>
  <si>
    <t>NYK10095</t>
  </si>
  <si>
    <t>2025-10-19</t>
  </si>
  <si>
    <t>NYK10593</t>
  </si>
  <si>
    <t>2025-10-20</t>
  </si>
  <si>
    <t>NYK10180</t>
  </si>
  <si>
    <t>NYK10196</t>
  </si>
  <si>
    <t>NYK10240</t>
  </si>
  <si>
    <t>NYK10560</t>
  </si>
  <si>
    <t>NYK10190</t>
  </si>
  <si>
    <t>NYK10342</t>
  </si>
  <si>
    <t>2025-10-21</t>
  </si>
  <si>
    <t>NYK10690</t>
  </si>
  <si>
    <t>NYK10274</t>
  </si>
  <si>
    <t>2025-10-22</t>
  </si>
  <si>
    <t>NYK10449</t>
  </si>
  <si>
    <t>NYK10672</t>
  </si>
  <si>
    <t>NYK10388</t>
  </si>
  <si>
    <t>NYK10237</t>
  </si>
  <si>
    <t>2025-10-24</t>
  </si>
  <si>
    <t>NYK10226</t>
  </si>
  <si>
    <t>NYK10430</t>
  </si>
  <si>
    <t>2025-10-25</t>
  </si>
  <si>
    <t>NYK10702</t>
  </si>
  <si>
    <t>NYK10348</t>
  </si>
  <si>
    <t>NYK10611</t>
  </si>
  <si>
    <t>2025-10-26</t>
  </si>
  <si>
    <t>NYK10183</t>
  </si>
  <si>
    <t>NYK10400</t>
  </si>
  <si>
    <t>NYK10656</t>
  </si>
  <si>
    <t>2025-10-28</t>
  </si>
  <si>
    <t>NYK10315</t>
  </si>
  <si>
    <t>2025-10-29</t>
  </si>
  <si>
    <t>NYK10386</t>
  </si>
  <si>
    <t>NYK10634</t>
  </si>
  <si>
    <t>NYK10647</t>
  </si>
  <si>
    <t>NYK10596</t>
  </si>
  <si>
    <t>2025-10-30</t>
  </si>
  <si>
    <t>NYK10228</t>
  </si>
  <si>
    <t>NYK10544</t>
  </si>
  <si>
    <t>NYK10280</t>
  </si>
  <si>
    <t>NYK10679</t>
  </si>
  <si>
    <t>NYK10337</t>
  </si>
  <si>
    <t>NYK10688</t>
  </si>
  <si>
    <t>2025-10-31</t>
  </si>
  <si>
    <t>NYK10076</t>
  </si>
  <si>
    <t>NYK10482</t>
  </si>
  <si>
    <t>NYK10713</t>
  </si>
  <si>
    <t>NYK10042</t>
  </si>
  <si>
    <t>NYK10745</t>
  </si>
  <si>
    <t>NYK10662</t>
  </si>
  <si>
    <t>NYK10155</t>
  </si>
  <si>
    <t>2025-11-01</t>
  </si>
  <si>
    <t>NYK10344</t>
  </si>
  <si>
    <t>NYK10589</t>
  </si>
  <si>
    <t>2025-11-03</t>
  </si>
  <si>
    <t>NYK10736</t>
  </si>
  <si>
    <t>2025-11-04</t>
  </si>
  <si>
    <t>NYK10737</t>
  </si>
  <si>
    <t>NYK10174</t>
  </si>
  <si>
    <t>2025-11-05</t>
  </si>
  <si>
    <t>NYK10029</t>
  </si>
  <si>
    <t>NYK10719</t>
  </si>
  <si>
    <t>NYK10393</t>
  </si>
  <si>
    <t>2025-11-06</t>
  </si>
  <si>
    <t>NYK10666</t>
  </si>
  <si>
    <t>NYK10592</t>
  </si>
  <si>
    <t>NYK10070</t>
  </si>
  <si>
    <t>2025-11-07</t>
  </si>
  <si>
    <t>NYK10564</t>
  </si>
  <si>
    <t>NYK10375</t>
  </si>
  <si>
    <t>NYK10428</t>
  </si>
  <si>
    <t>2025-11-09</t>
  </si>
  <si>
    <t>NYK10674</t>
  </si>
  <si>
    <t>2025-11-10</t>
  </si>
  <si>
    <t>NYK10668</t>
  </si>
  <si>
    <t>2025-11-11</t>
  </si>
  <si>
    <t>NYK10390</t>
  </si>
  <si>
    <t>2025-11-12</t>
  </si>
  <si>
    <t>NYK10361</t>
  </si>
  <si>
    <t>2025-11-13</t>
  </si>
  <si>
    <t>NYK10289</t>
  </si>
  <si>
    <t>NYK10650</t>
  </si>
  <si>
    <t>NYK10208</t>
  </si>
  <si>
    <t>2025-11-15</t>
  </si>
  <si>
    <t>NYK10204</t>
  </si>
  <si>
    <t>2025-11-17</t>
  </si>
  <si>
    <t>NYK10502</t>
  </si>
  <si>
    <t>NYK10172</t>
  </si>
  <si>
    <t>NYK10197</t>
  </si>
  <si>
    <t>2025-11-18</t>
  </si>
  <si>
    <t>NYK10000</t>
  </si>
  <si>
    <t>NYK10381</t>
  </si>
  <si>
    <t>2025-11-19</t>
  </si>
  <si>
    <t>NYK10475</t>
  </si>
  <si>
    <t>NYK10104</t>
  </si>
  <si>
    <t>2025-11-20</t>
  </si>
  <si>
    <t>NYK10002</t>
  </si>
  <si>
    <t>NYK10673</t>
  </si>
  <si>
    <t>NYK10357</t>
  </si>
  <si>
    <t>2025-11-21</t>
  </si>
  <si>
    <t>NYK10055</t>
  </si>
  <si>
    <t>NYK10391</t>
  </si>
  <si>
    <t>NYK10125</t>
  </si>
  <si>
    <t>2025-11-23</t>
  </si>
  <si>
    <t>NYK10396</t>
  </si>
  <si>
    <t>2025-11-24</t>
  </si>
  <si>
    <t>NYK10103</t>
  </si>
  <si>
    <t>2025-11-25</t>
  </si>
  <si>
    <t>NYK10165</t>
  </si>
  <si>
    <t>NYK10543</t>
  </si>
  <si>
    <t>NYK10501</t>
  </si>
  <si>
    <t>NYK10727</t>
  </si>
  <si>
    <t>NYK10309</t>
  </si>
  <si>
    <t>2025-11-26</t>
  </si>
  <si>
    <t>NYK10185</t>
  </si>
  <si>
    <t>NYK10452</t>
  </si>
  <si>
    <t>2025-11-27</t>
  </si>
  <si>
    <t>NYK10708</t>
  </si>
  <si>
    <t>NYK10073</t>
  </si>
  <si>
    <t>NYK10253</t>
  </si>
  <si>
    <t>NYK10558</t>
  </si>
  <si>
    <t>NYK10135</t>
  </si>
  <si>
    <t>2025-11-28</t>
  </si>
  <si>
    <t>NYK10621</t>
  </si>
  <si>
    <t>2025-11-29</t>
  </si>
  <si>
    <t>NYK10171</t>
  </si>
  <si>
    <t>2025-11-30</t>
  </si>
  <si>
    <t>NYK10461</t>
  </si>
  <si>
    <t>2025-12-01</t>
  </si>
  <si>
    <t>NYK10732</t>
  </si>
  <si>
    <t>NYK10218</t>
  </si>
  <si>
    <t>NYK10644</t>
  </si>
  <si>
    <t>2025-12-02</t>
  </si>
  <si>
    <t>NYK10500</t>
  </si>
  <si>
    <t>NYK10664</t>
  </si>
  <si>
    <t>2025-12-03</t>
  </si>
  <si>
    <t>NYK10441</t>
  </si>
  <si>
    <t>2025-12-04</t>
  </si>
  <si>
    <t>NYK10533</t>
  </si>
  <si>
    <t>NYK10255</t>
  </si>
  <si>
    <t>2025-12-05</t>
  </si>
  <si>
    <t>NYK10494</t>
  </si>
  <si>
    <t>2025-12-07</t>
  </si>
  <si>
    <t>NYK10703</t>
  </si>
  <si>
    <t>2025-12-08</t>
  </si>
  <si>
    <t>NYK10321</t>
  </si>
  <si>
    <t>NYK10154</t>
  </si>
  <si>
    <t>NYK10317</t>
  </si>
  <si>
    <t>NYK10384</t>
  </si>
  <si>
    <t>2025-12-09</t>
  </si>
  <si>
    <t>NYK10597</t>
  </si>
  <si>
    <t>2025-12-10</t>
  </si>
  <si>
    <t>NYK10187</t>
  </si>
  <si>
    <t>2025-12-11</t>
  </si>
  <si>
    <t>NYK10138</t>
  </si>
  <si>
    <t>2025-12-12</t>
  </si>
  <si>
    <t>NYK10011</t>
  </si>
  <si>
    <t>2025-12-13</t>
  </si>
  <si>
    <t>NYK10341</t>
  </si>
  <si>
    <t>NYK10148</t>
  </si>
  <si>
    <t>NYK10661</t>
  </si>
  <si>
    <t>2025-12-14</t>
  </si>
  <si>
    <t>NYK10705</t>
  </si>
  <si>
    <t>NYK10207</t>
  </si>
  <si>
    <t>NYK10120</t>
  </si>
  <si>
    <t>2025-12-16</t>
  </si>
  <si>
    <t>NYK10687</t>
  </si>
  <si>
    <t>NYK10700</t>
  </si>
  <si>
    <t>NYK10711</t>
  </si>
  <si>
    <t>NYK10614</t>
  </si>
  <si>
    <t>NYK10365</t>
  </si>
  <si>
    <t>2025-12-17</t>
  </si>
  <si>
    <t>NYK10027</t>
  </si>
  <si>
    <t>2025-12-18</t>
  </si>
  <si>
    <t>NYK10733</t>
  </si>
  <si>
    <t>NYK10519</t>
  </si>
  <si>
    <t>2025-12-19</t>
  </si>
  <si>
    <t>NYK10303</t>
  </si>
  <si>
    <t>NYK10394</t>
  </si>
  <si>
    <t>NYK10724</t>
  </si>
  <si>
    <t>NYK10552</t>
  </si>
  <si>
    <t>NYK10194</t>
  </si>
  <si>
    <t>2025-12-20</t>
  </si>
  <si>
    <t>NYK10635</t>
  </si>
  <si>
    <t>NYK10137</t>
  </si>
  <si>
    <t>2025-12-21</t>
  </si>
  <si>
    <t>NYK10088</t>
  </si>
  <si>
    <t>NYK10639</t>
  </si>
  <si>
    <t>2025-12-22</t>
  </si>
  <si>
    <t>NYK10152</t>
  </si>
  <si>
    <t>NYK10382</t>
  </si>
  <si>
    <t>NYK10052</t>
  </si>
  <si>
    <t>NYK10270</t>
  </si>
  <si>
    <t>NYK10397</t>
  </si>
  <si>
    <t>2025-12-23</t>
  </si>
  <si>
    <t>NYK10408</t>
  </si>
  <si>
    <t>NYK10026</t>
  </si>
  <si>
    <t>NYK10332</t>
  </si>
  <si>
    <t>NYK10538</t>
  </si>
  <si>
    <t>2025-12-24</t>
  </si>
  <si>
    <t>NYK10057</t>
  </si>
  <si>
    <t>NYK10203</t>
  </si>
  <si>
    <t>2025-12-25</t>
  </si>
  <si>
    <t>NYK10631</t>
  </si>
  <si>
    <t>NYK10654</t>
  </si>
  <si>
    <t>2025-12-26</t>
  </si>
  <si>
    <t>NYK10298</t>
  </si>
  <si>
    <t>NYK10580</t>
  </si>
  <si>
    <t>2025-12-27</t>
  </si>
  <si>
    <t>NYK10229</t>
  </si>
  <si>
    <t>NYK10222</t>
  </si>
  <si>
    <t>2025-12-28</t>
  </si>
  <si>
    <t>NYK10139</t>
  </si>
  <si>
    <t>NYK10491</t>
  </si>
  <si>
    <t>2025-12-29</t>
  </si>
  <si>
    <t>NYK10622</t>
  </si>
  <si>
    <t>NYK10198</t>
  </si>
  <si>
    <t>NYK10268</t>
  </si>
  <si>
    <t>NYK10414</t>
  </si>
  <si>
    <t>2025-12-30</t>
  </si>
  <si>
    <t>NYK10548</t>
  </si>
  <si>
    <t>NYK10356</t>
  </si>
  <si>
    <t>2026-01-01</t>
  </si>
  <si>
    <t>NYK10059</t>
  </si>
  <si>
    <t>NYK10214</t>
  </si>
  <si>
    <t>NYK10243</t>
  </si>
  <si>
    <t>NYK10343</t>
  </si>
  <si>
    <t>NYK10145</t>
  </si>
  <si>
    <t>NYK10294</t>
  </si>
  <si>
    <t>NYK10093</t>
  </si>
  <si>
    <t>2026-01-02</t>
  </si>
  <si>
    <t>NYK10523</t>
  </si>
  <si>
    <t>NYK10221</t>
  </si>
  <si>
    <t>2026-01-04</t>
  </si>
  <si>
    <t>NYK10685</t>
  </si>
  <si>
    <t>2026-01-05</t>
  </si>
  <si>
    <t>NYK10714</t>
  </si>
  <si>
    <t>NYK10487</t>
  </si>
  <si>
    <t>2026-01-06</t>
  </si>
  <si>
    <t>NYK10671</t>
  </si>
  <si>
    <t>NYK10102</t>
  </si>
  <si>
    <t>2026-01-07</t>
  </si>
  <si>
    <t>NYK10248</t>
  </si>
  <si>
    <t>NYK10734</t>
  </si>
  <si>
    <t>2026-01-08</t>
  </si>
  <si>
    <t>NYK10081</t>
  </si>
  <si>
    <t>NYK10223</t>
  </si>
  <si>
    <t>NYK10311</t>
  </si>
  <si>
    <t>2026-01-09</t>
  </si>
  <si>
    <t>NYK10470</t>
  </si>
  <si>
    <t>NYK10340</t>
  </si>
  <si>
    <t>2026-01-10</t>
  </si>
  <si>
    <t>NYK10731</t>
  </si>
  <si>
    <t>NYK10582</t>
  </si>
  <si>
    <t>NYK10162</t>
  </si>
  <si>
    <t>2026-01-11</t>
  </si>
  <si>
    <t>NYK10312</t>
  </si>
  <si>
    <t>NYK10320</t>
  </si>
  <si>
    <t>NYK10166</t>
  </si>
  <si>
    <t>NYK10084</t>
  </si>
  <si>
    <t>2026-01-12</t>
  </si>
  <si>
    <t>NYK10443</t>
  </si>
  <si>
    <t>NYK10728</t>
  </si>
  <si>
    <t>NYK10681</t>
  </si>
  <si>
    <t>NYK10706</t>
  </si>
  <si>
    <t>NYK10157</t>
  </si>
  <si>
    <t>2026-01-14</t>
  </si>
  <si>
    <t>NYK10287</t>
  </si>
  <si>
    <t>2026-01-15</t>
  </si>
  <si>
    <t>NYK10133</t>
  </si>
  <si>
    <t>NYK10405</t>
  </si>
  <si>
    <t>2026-01-16</t>
  </si>
  <si>
    <t>NYK10409</t>
  </si>
  <si>
    <t>2026-01-17</t>
  </si>
  <si>
    <t>NYK10290</t>
  </si>
  <si>
    <t>2026-01-19</t>
  </si>
  <si>
    <t>NYK10260</t>
  </si>
  <si>
    <t>NYK10350</t>
  </si>
  <si>
    <t>NYK10467</t>
  </si>
  <si>
    <t>NYK10380</t>
  </si>
  <si>
    <t>2026-01-21</t>
  </si>
  <si>
    <t>NYK10659</t>
  </si>
  <si>
    <t>2026-01-22</t>
  </si>
  <si>
    <t>NYK10424</t>
  </si>
  <si>
    <t>NYK10310</t>
  </si>
  <si>
    <t>2026-01-23</t>
  </si>
  <si>
    <t>NYK10643</t>
  </si>
  <si>
    <t>NYK10484</t>
  </si>
  <si>
    <t>2026-01-24</t>
  </si>
  <si>
    <t>NYK10625</t>
  </si>
  <si>
    <t>NYK10199</t>
  </si>
  <si>
    <t>NYK10742</t>
  </si>
  <si>
    <t>2026-01-26</t>
  </si>
  <si>
    <t>NYK10739</t>
  </si>
  <si>
    <t>2026-01-27</t>
  </si>
  <si>
    <t>NYK10230</t>
  </si>
  <si>
    <t>NYK10186</t>
  </si>
  <si>
    <t>2026-01-28</t>
  </si>
  <si>
    <t>NYK10276</t>
  </si>
  <si>
    <t>NYK10471</t>
  </si>
  <si>
    <t>NYK10446</t>
  </si>
  <si>
    <t>NYK10551</t>
  </si>
  <si>
    <t>2026-01-29</t>
  </si>
  <si>
    <t>NYK10087</t>
  </si>
  <si>
    <t>NYK10623</t>
  </si>
  <si>
    <t>2026-01-30</t>
  </si>
  <si>
    <t>NYK10709</t>
  </si>
  <si>
    <t>2026-01-31</t>
  </si>
  <si>
    <t>NYK10301</t>
  </si>
  <si>
    <t>NYK10374</t>
  </si>
  <si>
    <t>2026-02-02</t>
  </si>
  <si>
    <t>NYK10213</t>
  </si>
  <si>
    <t>NYK10563</t>
  </si>
  <si>
    <t>2026-02-03</t>
  </si>
  <si>
    <t>NYK10730</t>
  </si>
  <si>
    <t>NYK10572</t>
  </si>
  <si>
    <t>NYK10550</t>
  </si>
  <si>
    <t>2026-02-04</t>
  </si>
  <si>
    <t>NYK10721</t>
  </si>
  <si>
    <t>2026-02-05</t>
  </si>
  <si>
    <t>NYK10111</t>
  </si>
  <si>
    <t>NYK10016</t>
  </si>
  <si>
    <t>2026-02-06</t>
  </si>
  <si>
    <t>NYK10404</t>
  </si>
  <si>
    <t>NYK10210</t>
  </si>
  <si>
    <t>NYK10425</t>
  </si>
  <si>
    <t>NYK10576</t>
  </si>
  <si>
    <t>NYK10100</t>
  </si>
  <si>
    <t>NYK10156</t>
  </si>
  <si>
    <t>NYK10577</t>
  </si>
  <si>
    <t>NYK10698</t>
  </si>
  <si>
    <t>2026-02-07</t>
  </si>
  <si>
    <t>NYK10412</t>
  </si>
  <si>
    <t>2026-02-08</t>
  </si>
  <si>
    <t>NYK10279</t>
  </si>
  <si>
    <t>NYK10692</t>
  </si>
  <si>
    <t>NYK10735</t>
  </si>
  <si>
    <t>2026-02-09</t>
  </si>
  <si>
    <t>NYK10292</t>
  </si>
  <si>
    <t>2026-02-12</t>
  </si>
  <si>
    <t>NYK10083</t>
  </si>
  <si>
    <t>NYK10037</t>
  </si>
  <si>
    <t>NYK10472</t>
  </si>
  <si>
    <t>2026-02-13</t>
  </si>
  <si>
    <t>NYK10549</t>
  </si>
  <si>
    <t>2026-02-14</t>
  </si>
  <si>
    <t>NYK10264</t>
  </si>
  <si>
    <t>NYK10054</t>
  </si>
  <si>
    <t>2026-02-16</t>
  </si>
  <si>
    <t>NYK10220</t>
  </si>
  <si>
    <t>NYK10628</t>
  </si>
  <si>
    <t>NYK10277</t>
  </si>
  <si>
    <t>2026-02-17</t>
  </si>
  <si>
    <t>NYK10179</t>
  </si>
  <si>
    <t>2026-02-18</t>
  </si>
  <si>
    <t>NYK10235</t>
  </si>
  <si>
    <t>2026-02-19</t>
  </si>
  <si>
    <t>NYK10451</t>
  </si>
  <si>
    <t>NYK10479</t>
  </si>
  <si>
    <t>NYK10612</t>
  </si>
  <si>
    <t>2026-02-20</t>
  </si>
  <si>
    <t>NYK10098</t>
  </si>
  <si>
    <t>NYK10023</t>
  </si>
  <si>
    <t>NYK10651</t>
  </si>
  <si>
    <t>NYK10561</t>
  </si>
  <si>
    <t>2026-02-21</t>
  </si>
  <si>
    <t>NYK10031</t>
  </si>
  <si>
    <t>NYK10716</t>
  </si>
  <si>
    <t>2026-02-22</t>
  </si>
  <si>
    <t>NYK10602</t>
  </si>
  <si>
    <t>NYK10212</t>
  </si>
  <si>
    <t>NYK10263</t>
  </si>
  <si>
    <t>NYK10554</t>
  </si>
  <si>
    <t>2026-02-23</t>
  </si>
  <si>
    <t>NYK10259</t>
  </si>
  <si>
    <t>NYK10153</t>
  </si>
  <si>
    <t>2026-02-24</t>
  </si>
  <si>
    <t>NYK10474</t>
  </si>
  <si>
    <t>2026-02-25</t>
  </si>
  <si>
    <t>NYK10049</t>
  </si>
  <si>
    <t>2026-02-28</t>
  </si>
  <si>
    <t>NYK10327</t>
  </si>
  <si>
    <t>NYK10169</t>
  </si>
  <si>
    <t>2026-03-01</t>
  </si>
  <si>
    <t>NYK10432</t>
  </si>
  <si>
    <t>NYK10370</t>
  </si>
  <si>
    <t>NYK10669</t>
  </si>
  <si>
    <t>NYK10056</t>
  </si>
  <si>
    <t>NYK10743</t>
  </si>
  <si>
    <t>2026-03-02</t>
  </si>
  <si>
    <t>NYK10281</t>
  </si>
  <si>
    <t>2026-03-03</t>
  </si>
  <si>
    <t>NYK10167</t>
  </si>
  <si>
    <t>NYK10678</t>
  </si>
  <si>
    <t>NYK10556</t>
  </si>
  <si>
    <t>2026-03-04</t>
  </si>
  <si>
    <t>NYK10015</t>
  </si>
  <si>
    <t>2026-03-06</t>
  </si>
  <si>
    <t>NYK10045</t>
  </si>
  <si>
    <t>2026-03-07</t>
  </si>
  <si>
    <t>NYK10694</t>
  </si>
  <si>
    <t>2026-03-08</t>
  </si>
  <si>
    <t>NYK10740</t>
  </si>
  <si>
    <t>2026-03-09</t>
  </si>
  <si>
    <t>NYK10091</t>
  </si>
  <si>
    <t>2026-03-10</t>
  </si>
  <si>
    <t>NYK10269</t>
  </si>
  <si>
    <t>NYK10532</t>
  </si>
  <si>
    <t>2026-03-11</t>
  </si>
  <si>
    <t>NYK10604</t>
  </si>
  <si>
    <t>NYK10522</t>
  </si>
  <si>
    <t>2026-03-13</t>
  </si>
  <si>
    <t>NYK10071</t>
  </si>
  <si>
    <t>NYK10131</t>
  </si>
  <si>
    <t>NYK10699</t>
  </si>
  <si>
    <t>2026-03-14</t>
  </si>
  <si>
    <t>NYK10163</t>
  </si>
  <si>
    <t>NYK10010</t>
  </si>
  <si>
    <t>NYK10266</t>
  </si>
  <si>
    <t>2026-03-15</t>
  </si>
  <si>
    <t>NYK10567</t>
  </si>
  <si>
    <t>2026-03-16</t>
  </si>
  <si>
    <t>NYK10225</t>
  </si>
  <si>
    <t>NYK10041</t>
  </si>
  <si>
    <t>NYK10117</t>
  </si>
  <si>
    <t>2026-03-17</t>
  </si>
  <si>
    <t>NYK10302</t>
  </si>
  <si>
    <t>NYK10293</t>
  </si>
  <si>
    <t>NYK10116</t>
  </si>
  <si>
    <t>NYK10021</t>
  </si>
  <si>
    <t>2026-03-18</t>
  </si>
  <si>
    <t>NYK10427</t>
  </si>
  <si>
    <t>2026-03-19</t>
  </si>
  <si>
    <t>NYK10360</t>
  </si>
  <si>
    <t>2026-03-21</t>
  </si>
  <si>
    <t>NYK10363</t>
  </si>
  <si>
    <t>2026-03-22</t>
  </si>
  <si>
    <t>NYK10473</t>
  </si>
  <si>
    <t>NYK10127</t>
  </si>
  <si>
    <t>NYK10493</t>
  </si>
  <si>
    <t>NYK10252</t>
  </si>
  <si>
    <t>NYK10676</t>
  </si>
  <si>
    <t>2026-03-23</t>
  </si>
  <si>
    <t>NYK10695</t>
  </si>
  <si>
    <t>NYK10068</t>
  </si>
  <si>
    <t>NYK10503</t>
  </si>
  <si>
    <t>2026-03-24</t>
  </si>
  <si>
    <t>NYK10575</t>
  </si>
  <si>
    <t>NYK10378</t>
  </si>
  <si>
    <t>NYK10053</t>
  </si>
  <si>
    <t>2026-03-25</t>
  </si>
  <si>
    <t>NYK10744</t>
  </si>
  <si>
    <t>NYK10284</t>
  </si>
  <si>
    <t>NYK10146</t>
  </si>
  <si>
    <t>2026-03-27</t>
  </si>
  <si>
    <t>NYK10462</t>
  </si>
  <si>
    <t>NYK10620</t>
  </si>
  <si>
    <t>NYK10126</t>
  </si>
  <si>
    <t>2026-03-28</t>
  </si>
  <si>
    <t>NYK10239</t>
  </si>
  <si>
    <t>2026-03-29</t>
  </si>
  <si>
    <t>NYK10512</t>
  </si>
  <si>
    <t>2026-03-31</t>
  </si>
  <si>
    <t>NYK10149</t>
  </si>
  <si>
    <t>NYK10046</t>
  </si>
  <si>
    <t>NYK10407</t>
  </si>
  <si>
    <t>NYK10017</t>
  </si>
  <si>
    <t>2026-04-01</t>
  </si>
  <si>
    <t>NYK10189</t>
  </si>
  <si>
    <t>NYK10058</t>
  </si>
  <si>
    <t>NYK10089</t>
  </si>
  <si>
    <t>NYK10581</t>
  </si>
  <si>
    <t>2026-04-02</t>
  </si>
  <si>
    <t>NYK10437</t>
  </si>
  <si>
    <t>NYK10048</t>
  </si>
  <si>
    <t>2026-04-03</t>
  </si>
  <si>
    <t>NYK10401</t>
  </si>
  <si>
    <t>NYK10144</t>
  </si>
  <si>
    <t>2026-04-04</t>
  </si>
  <si>
    <t>NYK10195</t>
  </si>
  <si>
    <t>NYK10444</t>
  </si>
  <si>
    <t>NYK10483</t>
  </si>
  <si>
    <t>2026-04-05</t>
  </si>
  <si>
    <t>NYK10416</t>
  </si>
  <si>
    <t>NYK10594</t>
  </si>
  <si>
    <t>2026-04-06</t>
  </si>
  <si>
    <t>NYK10411</t>
  </si>
  <si>
    <t>2026-04-08</t>
  </si>
  <si>
    <t>NYK10324</t>
  </si>
  <si>
    <t>NYK10147</t>
  </si>
  <si>
    <t>2026-04-09</t>
  </si>
  <si>
    <t>NYK10193</t>
  </si>
  <si>
    <t>2026-04-10</t>
  </si>
  <si>
    <t>NYK10333</t>
  </si>
  <si>
    <t>NYK10014</t>
  </si>
  <si>
    <t>NYK10665</t>
  </si>
  <si>
    <t>2026-04-11</t>
  </si>
  <si>
    <t>NYK10423</t>
  </si>
  <si>
    <t>2026-04-12</t>
  </si>
  <si>
    <t>NYK10040</t>
  </si>
  <si>
    <t>NYK10188</t>
  </si>
  <si>
    <t>2026-04-14</t>
  </si>
  <si>
    <t>NYK10001</t>
  </si>
  <si>
    <t>NYK10657</t>
  </si>
  <si>
    <t>NYK10637</t>
  </si>
  <si>
    <t>NYK10326</t>
  </si>
  <si>
    <t>NYK10613</t>
  </si>
  <si>
    <t>2026-04-15</t>
  </si>
  <si>
    <t>NYK10202</t>
  </si>
  <si>
    <t>NYK10115</t>
  </si>
  <si>
    <t>2026-04-16</t>
  </si>
  <si>
    <t>NYK10547</t>
  </si>
  <si>
    <t>NYK10353</t>
  </si>
  <si>
    <t>2026-04-17</t>
  </si>
  <si>
    <t>NYK10553</t>
  </si>
  <si>
    <t>NYK10285</t>
  </si>
  <si>
    <t>2026-04-19</t>
  </si>
  <si>
    <t>NYK10178</t>
  </si>
  <si>
    <t>2026-04-20</t>
  </si>
  <si>
    <t>NYK10710</t>
  </si>
  <si>
    <t>2026-04-21</t>
  </si>
  <si>
    <t>NYK10216</t>
  </si>
  <si>
    <t>NYK10434</t>
  </si>
  <si>
    <t>NYK10044</t>
  </si>
  <si>
    <t>NYK10211</t>
  </si>
  <si>
    <t>NYK10395</t>
  </si>
  <si>
    <t>NYK10373</t>
  </si>
  <si>
    <t>2026-04-22</t>
  </si>
  <si>
    <t>NYK10234</t>
  </si>
  <si>
    <t>NYK10629</t>
  </si>
  <si>
    <t>2026-04-23</t>
  </si>
  <si>
    <t>NYK10050</t>
  </si>
  <si>
    <t>NYK10075</t>
  </si>
  <si>
    <t>NYK10354</t>
  </si>
  <si>
    <t>2026-04-24</t>
  </si>
  <si>
    <t>NYK10082</t>
  </si>
  <si>
    <t>2026-04-25</t>
  </si>
  <si>
    <t>NYK10438</t>
  </si>
  <si>
    <t>NYK10267</t>
  </si>
  <si>
    <t>2026-04-26</t>
  </si>
  <si>
    <t>NYK10527</t>
  </si>
  <si>
    <t>NYK10262</t>
  </si>
  <si>
    <t>2026-04-27</t>
  </si>
  <si>
    <t>NYK10458</t>
  </si>
  <si>
    <t>2026-04-28</t>
  </si>
  <si>
    <t>NYK10530</t>
  </si>
  <si>
    <t>2026-04-29</t>
  </si>
  <si>
    <t>NYK10358</t>
  </si>
  <si>
    <t>NYK10683</t>
  </si>
  <si>
    <t>2026-04-30</t>
  </si>
  <si>
    <t>NYK10413</t>
  </si>
  <si>
    <t>2026-05-02</t>
  </si>
  <si>
    <t>NYK10368</t>
  </si>
  <si>
    <t>2026-05-04</t>
  </si>
  <si>
    <t>NYK10573</t>
  </si>
  <si>
    <t>2026-05-05</t>
  </si>
  <si>
    <t>NYK10652</t>
  </si>
  <si>
    <t>NYK10339</t>
  </si>
  <si>
    <t>NYK10191</t>
  </si>
  <si>
    <t>2026-05-06</t>
  </si>
  <si>
    <t>NYK10481</t>
  </si>
  <si>
    <t>NYK10067</t>
  </si>
  <si>
    <t>NYK10529</t>
  </si>
  <si>
    <t>NYK10748</t>
  </si>
  <si>
    <t>2026-05-07</t>
  </si>
  <si>
    <t>NYK10085</t>
  </si>
  <si>
    <t>NYK10447</t>
  </si>
  <si>
    <t>NYK10749</t>
  </si>
  <si>
    <t>NYK10607</t>
  </si>
  <si>
    <t>NYK10242</t>
  </si>
  <si>
    <t>NYK10005</t>
  </si>
  <si>
    <t>2026-05-08</t>
  </si>
  <si>
    <t>NYK10130</t>
  </si>
  <si>
    <t>NYK10450</t>
  </si>
  <si>
    <t>NYK10119</t>
  </si>
  <si>
    <t>2026-05-09</t>
  </si>
  <si>
    <t>NYK10712</t>
  </si>
  <si>
    <t>2026-05-10</t>
  </si>
  <si>
    <t>NYK10464</t>
  </si>
  <si>
    <t>2026-05-11</t>
  </si>
  <si>
    <t>NYK10583</t>
  </si>
  <si>
    <t>NYK10619</t>
  </si>
  <si>
    <t>NYK10725</t>
  </si>
  <si>
    <t>2026-05-12</t>
  </si>
  <si>
    <t>NYK10435</t>
  </si>
  <si>
    <t>NYK10062</t>
  </si>
  <si>
    <t>2026-05-13</t>
  </si>
  <si>
    <t>NYK10536</t>
  </si>
  <si>
    <t>NYK10436</t>
  </si>
  <si>
    <t>2026-05-14</t>
  </si>
  <si>
    <t>NYK10090</t>
  </si>
  <si>
    <t>NYK10313</t>
  </si>
  <si>
    <t>2026-05-15</t>
  </si>
  <si>
    <t>NYK10584</t>
  </si>
  <si>
    <t>2026-05-16</t>
  </si>
  <si>
    <t>NYK10496</t>
  </si>
  <si>
    <t>NYK10420</t>
  </si>
  <si>
    <t>NYK10488</t>
  </si>
  <si>
    <t>2026-05-17</t>
  </si>
  <si>
    <t>NYK10442</t>
  </si>
  <si>
    <t>NYK10587</t>
  </si>
  <si>
    <t>NYK10209</t>
  </si>
  <si>
    <t>NYK10534</t>
  </si>
  <si>
    <t>NYK10513</t>
  </si>
  <si>
    <t>2026-05-19</t>
  </si>
  <si>
    <t>NYK10599</t>
  </si>
  <si>
    <t>NYK10642</t>
  </si>
  <si>
    <t>2026-05-20</t>
  </si>
  <si>
    <t>NYK10306</t>
  </si>
  <si>
    <t>2026-05-21</t>
  </si>
  <si>
    <t>NYK10106</t>
  </si>
  <si>
    <t>NYK10588</t>
  </si>
  <si>
    <t>NYK10307</t>
  </si>
  <si>
    <t>NYK10246</t>
  </si>
  <si>
    <t>NYK10499</t>
  </si>
  <si>
    <t>2026-05-23</t>
  </si>
  <si>
    <t>NYK10367</t>
  </si>
  <si>
    <t>NYK10505</t>
  </si>
  <si>
    <t>NYK10168</t>
  </si>
  <si>
    <t>NYK10402</t>
  </si>
  <si>
    <t>2026-05-24</t>
  </si>
  <si>
    <t>NYK10466</t>
  </si>
  <si>
    <t>NYK10151</t>
  </si>
  <si>
    <t>2026-05-25</t>
  </si>
  <si>
    <t>NYK10726</t>
  </si>
  <si>
    <t>NYK10032</t>
  </si>
  <si>
    <t>NYK10316</t>
  </si>
  <si>
    <t>2026-05-26</t>
  </si>
  <si>
    <t>NYK10453</t>
  </si>
  <si>
    <t>2026-05-27</t>
  </si>
  <si>
    <t>NYK10541</t>
  </si>
  <si>
    <t>NYK10241</t>
  </si>
  <si>
    <t>NYK10136</t>
  </si>
  <si>
    <t>2026-05-28</t>
  </si>
  <si>
    <t>NYK10297</t>
  </si>
  <si>
    <t>NYK10347</t>
  </si>
  <si>
    <t>NYK10351</t>
  </si>
  <si>
    <t>NYK10215</t>
  </si>
  <si>
    <t>NYK10537</t>
  </si>
  <si>
    <t>2026-05-29</t>
  </si>
  <si>
    <t>NYK10448</t>
  </si>
  <si>
    <t>NYK10272</t>
  </si>
  <si>
    <t>NYK10600</t>
  </si>
  <si>
    <t>NYK10236</t>
  </si>
  <si>
    <t>NYK10585</t>
  </si>
  <si>
    <t>2026-05-30</t>
  </si>
  <si>
    <t>NYK10018</t>
  </si>
  <si>
    <t>NYK10325</t>
  </si>
  <si>
    <t>2026-05-31</t>
  </si>
  <si>
    <t>NYK10515</t>
  </si>
  <si>
    <t>NYK10251</t>
  </si>
  <si>
    <t>2026-06-01</t>
  </si>
  <si>
    <t>NYK10445</t>
  </si>
  <si>
    <t>NYK10722</t>
  </si>
  <si>
    <t>2026-06-02</t>
  </si>
  <si>
    <t>NYK10022</t>
  </si>
  <si>
    <t>NYK10632</t>
  </si>
  <si>
    <t>NYK10247</t>
  </si>
  <si>
    <t>NYK10590</t>
  </si>
  <si>
    <t>2026-06-03</t>
  </si>
  <si>
    <t>NYK10456</t>
  </si>
  <si>
    <t>NYK10615</t>
  </si>
  <si>
    <t>NYK10355</t>
  </si>
  <si>
    <t>NYK10439</t>
  </si>
  <si>
    <t>2026-06-04</t>
  </si>
  <si>
    <t>NYK10595</t>
  </si>
  <si>
    <t>2026-06-05</t>
  </si>
  <si>
    <t>NYK10257</t>
  </si>
  <si>
    <t>NYK10618</t>
  </si>
  <si>
    <t>2026-06-06</t>
  </si>
  <si>
    <t>NYK10542</t>
  </si>
  <si>
    <t>NYK10025</t>
  </si>
  <si>
    <t>2026-06-07</t>
  </si>
  <si>
    <t>NYK10175</t>
  </si>
  <si>
    <t>NYK10069</t>
  </si>
  <si>
    <t>2026-06-09</t>
  </si>
  <si>
    <t>NYK10591</t>
  </si>
  <si>
    <t>NYK10539</t>
  </si>
  <si>
    <t>2026-06-10</t>
  </si>
  <si>
    <t>NYK10079</t>
  </si>
  <si>
    <t>2026-06-11</t>
  </si>
  <si>
    <t>NYK10526</t>
  </si>
  <si>
    <t>2026-06-12</t>
  </si>
  <si>
    <t>NYK10308</t>
  </si>
  <si>
    <t>NYK10518</t>
  </si>
  <si>
    <t>2026-06-13</t>
  </si>
  <si>
    <t>NYK10371</t>
  </si>
  <si>
    <t>NYK10486</t>
  </si>
  <si>
    <t>NYK10469</t>
  </si>
  <si>
    <t>NYK10570</t>
  </si>
  <si>
    <t>NYK10383</t>
  </si>
  <si>
    <t>2026-06-14</t>
  </si>
  <si>
    <t>NYK10675</t>
  </si>
  <si>
    <t>NYK10086</t>
  </si>
  <si>
    <t>NYK10177</t>
  </si>
  <si>
    <t>NYK10299</t>
  </si>
  <si>
    <t>2026-06-16</t>
  </si>
  <si>
    <t>NYK10504</t>
  </si>
  <si>
    <t>NYK10559</t>
  </si>
  <si>
    <t>NYK10122</t>
  </si>
  <si>
    <t>NYK10463</t>
  </si>
  <si>
    <t>2026-06-18</t>
  </si>
  <si>
    <t>NYK10636</t>
  </si>
  <si>
    <t>2026-06-19</t>
  </si>
  <si>
    <t>NYK10606</t>
  </si>
  <si>
    <t>2026-06-20</t>
  </si>
  <si>
    <t>NYK10521</t>
  </si>
  <si>
    <t>2026-06-21</t>
  </si>
  <si>
    <t>NYK10334</t>
  </si>
  <si>
    <t>NYK10715</t>
  </si>
  <si>
    <t>NYK10232</t>
  </si>
  <si>
    <t>NYK10571</t>
  </si>
  <si>
    <t>NYK10051</t>
  </si>
  <si>
    <t>2026-06-22</t>
  </si>
  <si>
    <t>NYK10039</t>
  </si>
  <si>
    <t>NYK10291</t>
  </si>
  <si>
    <t>NYK10598</t>
  </si>
  <si>
    <t>2026-06-23</t>
  </si>
  <si>
    <t>NYK10121</t>
  </si>
  <si>
    <t>NYK10233</t>
  </si>
  <si>
    <t>NYK10478</t>
  </si>
  <si>
    <t>2026-06-24</t>
  </si>
  <si>
    <t>NYK10256</t>
  </si>
  <si>
    <t>NYK10328</t>
  </si>
  <si>
    <t>2026-06-25</t>
  </si>
  <si>
    <t>NYK10110</t>
  </si>
  <si>
    <t>2026-06-26</t>
  </si>
  <si>
    <t>NYK10362</t>
  </si>
  <si>
    <t>NYK10043</t>
  </si>
  <si>
    <t>2026-06-27</t>
  </si>
  <si>
    <t>NYK10160</t>
  </si>
  <si>
    <t>2026-06-28</t>
  </si>
  <si>
    <t>NYK10034</t>
  </si>
  <si>
    <t>NYK10072</t>
  </si>
  <si>
    <t>2026-06-29</t>
  </si>
  <si>
    <t>NYKAA SALES PERFORMANCE DASHBOARD (FY 2025-26, Sample Data)</t>
  </si>
  <si>
    <t>Total Net Sales (Rs)</t>
  </si>
  <si>
    <t>Total Orders</t>
  </si>
  <si>
    <t>Average Order Value (Rs)</t>
  </si>
  <si>
    <t>Total Units Sold</t>
  </si>
  <si>
    <t>Return Rate</t>
  </si>
  <si>
    <t>Avg Customer Rating</t>
  </si>
  <si>
    <t>NYKAA SALES DASHBOARD — HOW TO USE THIS FILE</t>
  </si>
  <si>
    <t>1. 'Raw Data' sheet = your sample dataset (750 realistic orders, formatted as an Excel Table named NykaaSalesData).</t>
  </si>
  <si>
    <t>2. 'KPI Dashboard' sheet = ready-made KPIs + charts pulling live from Raw Data via formulas.</t>
  </si>
  <si>
    <t>3. 'Calc (helper)' sheet = SUMIF summary tables that power the charts. Don't delete this.</t>
  </si>
  <si>
    <t>TO BUILD YOUR OWN PIVOT TABLE (practice this — it's the core Excel skill):</t>
  </si>
  <si>
    <t xml:space="preserve">  a. Go to 'Raw Data' sheet, click anywhere inside the table.</t>
  </si>
  <si>
    <t xml:space="preserve">  b. Insert &gt; PivotTable &gt; New Worksheet.</t>
  </si>
  <si>
    <t xml:space="preserve">  c. Drag 'Category' or 'City' or 'Channel' to Rows.</t>
  </si>
  <si>
    <t xml:space="preserve">  d. Drag 'Net Sales (Rs)' or 'Units Sold' to Values (set to Sum).</t>
  </si>
  <si>
    <t xml:space="preserve">  e. Drag 'Order Date' to Columns/Filters to slice by month.</t>
  </si>
  <si>
    <t xml:space="preserve">  f. Insert &gt; PivotChart to visualize it, or use Insert &gt; Slicer for interactive filters.</t>
  </si>
  <si>
    <t>SUGGESTED KPIs FOR A NYKAA-STYLE DASHBOARD:</t>
  </si>
  <si>
    <t xml:space="preserve">  - Total Net Sales, Total Orders, Average Order Value (AOV)</t>
  </si>
  <si>
    <t xml:space="preserve">  - Revenue by Category (Skincare/Makeup/Haircare/etc.)</t>
  </si>
  <si>
    <t xml:space="preserve">  - Revenue by Channel (App vs Website vs Offline)</t>
  </si>
  <si>
    <t xml:space="preserve">  - Top 10 Best-Selling Products/Brands</t>
  </si>
  <si>
    <t xml:space="preserve">  - City-wise / Region-wise performance</t>
  </si>
  <si>
    <t xml:space="preserve">  - Monthly sales trend (seasonality)</t>
  </si>
  <si>
    <t xml:space="preserve">  - Return Rate % and Average Customer Rating</t>
  </si>
  <si>
    <t xml:space="preserve">  - Customer Segment mix (New vs Repeat vs Premium)</t>
  </si>
  <si>
    <t>NOTE: This is SYNTHETIC/SAMPLE data generated to look realistic — Nykaa does not publish</t>
  </si>
  <si>
    <t>order-level sales data publicly. Use this to practice and showcase your dashboarding skills;</t>
  </si>
  <si>
    <t>for a job-ready portfolio, mention clearly that the dataset is a simulated/sample dataset.</t>
  </si>
  <si>
    <t>Row Labels</t>
  </si>
  <si>
    <t>Grand Total</t>
  </si>
  <si>
    <t>Sum of Net Sales (Rs)</t>
  </si>
  <si>
    <t>Jan</t>
  </si>
  <si>
    <t>Feb</t>
  </si>
  <si>
    <t>Mar</t>
  </si>
  <si>
    <t>Apr</t>
  </si>
  <si>
    <t>May</t>
  </si>
  <si>
    <t>Jun</t>
  </si>
  <si>
    <t>Jul</t>
  </si>
  <si>
    <t>Aug</t>
  </si>
  <si>
    <t>Sep</t>
  </si>
  <si>
    <t>Oct</t>
  </si>
  <si>
    <t>Nov</t>
  </si>
  <si>
    <t>Dec</t>
  </si>
  <si>
    <t>Count of Order ID</t>
  </si>
  <si>
    <t>Average of Customer Rating</t>
  </si>
  <si>
    <t>Sum of Discount Amount (Rs)</t>
  </si>
  <si>
    <t>Average of Discount %</t>
  </si>
  <si>
    <t>Sum of Units Sold</t>
  </si>
  <si>
    <t>8) City-wise Net Sales (Top 10 Cities)</t>
  </si>
  <si>
    <t>1) Monthly Net Sales Performance</t>
  </si>
  <si>
    <t>2) Customer Segment Revenue Analysis</t>
  </si>
  <si>
    <t>3) Payment Method Distribution</t>
  </si>
  <si>
    <t>4) Product Return Analysis</t>
  </si>
  <si>
    <t>5) Brand-wise Customer Satisfaction</t>
  </si>
  <si>
    <t>6) Brand Discount Performance Analysis</t>
  </si>
  <si>
    <t>7) Top 10 Best-Selling Products</t>
  </si>
  <si>
    <t xml:space="preserve"> </t>
  </si>
  <si>
    <t>Total net sale</t>
  </si>
  <si>
    <t>Total orders</t>
  </si>
  <si>
    <t>Avg rating</t>
  </si>
  <si>
    <t>total net sale</t>
  </si>
  <si>
    <t>avg customer rating</t>
  </si>
  <si>
    <t>total discount amount</t>
  </si>
  <si>
    <t>top payment mode</t>
  </si>
  <si>
    <t>wallet</t>
  </si>
  <si>
    <t>Top Selling Brand</t>
  </si>
  <si>
    <t>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</si>
</sst>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
    <numFmt numFmtId="166" formatCode="&quot;₹&quot;\ #,##0.0"/>
    <numFmt numFmtId="167" formatCode="&quot;₹&quot;\ #,##0.00"/>
  </numFmts>
  <fonts count="14" x14ac:knownFonts="1">
    <font>
      <sz val="11"/>
      <color theme="1"/>
      <name val="Calibri"/>
      <family val="2"/>
      <charset val="1"/>
    </font>
    <font>
      <b/>
      <sz val="11"/>
      <color rgb="FFFFFFFF"/>
      <name val="Arial"/>
      <charset val="1"/>
    </font>
    <font>
      <sz val="10"/>
      <name val="Arial"/>
      <charset val="1"/>
    </font>
    <font>
      <b/>
      <sz val="18"/>
      <color rgb="FFFFFFFF"/>
      <name val="Arial"/>
      <charset val="1"/>
    </font>
    <font>
      <b/>
      <sz val="11"/>
      <color rgb="FF6A1B4D"/>
      <name val="Arial"/>
      <charset val="1"/>
    </font>
    <font>
      <b/>
      <sz val="20"/>
      <color rgb="FF222222"/>
      <name val="Arial"/>
      <charset val="1"/>
    </font>
    <font>
      <b/>
      <sz val="16"/>
      <color rgb="FF222222"/>
      <name val="Arial"/>
      <charset val="1"/>
    </font>
    <font>
      <b/>
      <sz val="14"/>
      <color rgb="FF6A1B4D"/>
      <name val="Arial"/>
      <charset val="1"/>
    </font>
    <font>
      <sz val="11"/>
      <color rgb="FF333333"/>
      <name val="Arial"/>
      <charset val="1"/>
    </font>
    <font>
      <b/>
      <sz val="12"/>
      <color rgb="FF6A1B4D"/>
      <name val="Arial"/>
      <charset val="1"/>
    </font>
    <font>
      <sz val="10"/>
      <name val="Arial"/>
      <family val="2"/>
    </font>
    <font>
      <b/>
      <sz val="11"/>
      <color theme="1"/>
      <name val="Arial"/>
      <family val="2"/>
    </font>
    <font>
      <b/>
      <sz val="11"/>
      <color theme="1"/>
      <name val="Calibri"/>
      <family val="2"/>
    </font>
    <font>
      <sz val="11"/>
      <color theme="1"/>
      <name val="Calibri"/>
      <family val="2"/>
      <charset val="1"/>
    </font>
  </fonts>
  <fills count="7">
    <fill>
      <patternFill patternType="none"/>
    </fill>
    <fill>
      <patternFill patternType="gray125"/>
    </fill>
    <fill>
      <patternFill patternType="solid">
        <fgColor rgb="FF6A1B4D"/>
        <bgColor rgb="FF800080"/>
      </patternFill>
    </fill>
    <fill>
      <patternFill patternType="solid">
        <fgColor rgb="FFFDEBF3"/>
        <bgColor rgb="FFF9F9F9"/>
      </patternFill>
    </fill>
    <fill>
      <patternFill patternType="solid">
        <fgColor rgb="FFFFFF00"/>
        <bgColor rgb="FF800080"/>
      </patternFill>
    </fill>
    <fill>
      <patternFill patternType="solid">
        <fgColor rgb="FFFFFF00"/>
        <bgColor indexed="64"/>
      </patternFill>
    </fill>
    <fill>
      <patternFill patternType="solid">
        <fgColor rgb="FFFFCCFF"/>
        <bgColor indexed="64"/>
      </patternFill>
    </fill>
  </fills>
  <borders count="3">
    <border>
      <left/>
      <right/>
      <top/>
      <bottom/>
      <diagonal/>
    </border>
    <border>
      <left style="thin">
        <color rgb="FFD8A7C4"/>
      </left>
      <right style="thin">
        <color rgb="FFD8A7C4"/>
      </right>
      <top style="thin">
        <color rgb="FFD8A7C4"/>
      </top>
      <bottom style="thin">
        <color rgb="FFD8A7C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3" fillId="0" borderId="0" applyFont="0" applyFill="0" applyBorder="0" applyAlignment="0" applyProtection="0"/>
  </cellStyleXfs>
  <cellXfs count="32">
    <xf numFmtId="0" fontId="0" fillId="0" borderId="0" xfId="0"/>
    <xf numFmtId="0" fontId="0" fillId="3" borderId="1" xfId="0" applyFill="1" applyBorder="1" applyAlignment="1">
      <alignment horizontal="center" vertical="center" wrapText="1"/>
    </xf>
    <xf numFmtId="0" fontId="1" fillId="2" borderId="0" xfId="0" applyFont="1" applyFill="1" applyAlignment="1">
      <alignment horizontal="center"/>
    </xf>
    <xf numFmtId="0" fontId="4" fillId="0" borderId="0" xfId="0" applyFont="1"/>
    <xf numFmtId="3" fontId="5" fillId="0" borderId="0" xfId="0" applyNumberFormat="1" applyFont="1"/>
    <xf numFmtId="164" fontId="6" fillId="0" borderId="0" xfId="0" applyNumberFormat="1" applyFont="1"/>
    <xf numFmtId="165" fontId="6" fillId="0" borderId="0" xfId="0" applyNumberFormat="1" applyFont="1"/>
    <xf numFmtId="0" fontId="7" fillId="0" borderId="0" xfId="0" applyFont="1"/>
    <xf numFmtId="0" fontId="8" fillId="0" borderId="0" xfId="0" applyFont="1"/>
    <xf numFmtId="0" fontId="9" fillId="0" borderId="0" xfId="0" applyFont="1"/>
    <xf numFmtId="0" fontId="2" fillId="0" borderId="2" xfId="0" applyFont="1" applyBorder="1"/>
    <xf numFmtId="0" fontId="0" fillId="0" borderId="0" xfId="0" pivotButton="1"/>
    <xf numFmtId="0" fontId="0" fillId="0" borderId="0" xfId="0" applyAlignment="1">
      <alignment horizontal="left"/>
    </xf>
    <xf numFmtId="0" fontId="2" fillId="0" borderId="2" xfId="0" applyFont="1" applyBorder="1" applyAlignment="1">
      <alignment horizontal="center"/>
    </xf>
    <xf numFmtId="14" fontId="2" fillId="0" borderId="2" xfId="0" applyNumberFormat="1" applyFont="1" applyBorder="1" applyAlignment="1">
      <alignment horizontal="center"/>
    </xf>
    <xf numFmtId="0" fontId="10" fillId="0" borderId="2" xfId="0" applyFont="1" applyBorder="1" applyAlignment="1">
      <alignment horizontal="center"/>
    </xf>
    <xf numFmtId="0" fontId="11" fillId="4" borderId="0" xfId="0" applyFont="1" applyFill="1" applyAlignment="1">
      <alignment horizontal="center"/>
    </xf>
    <xf numFmtId="14" fontId="11" fillId="4" borderId="0" xfId="0" applyNumberFormat="1" applyFont="1" applyFill="1" applyAlignment="1">
      <alignment horizontal="center"/>
    </xf>
    <xf numFmtId="165" fontId="0" fillId="0" borderId="0" xfId="0" applyNumberFormat="1"/>
    <xf numFmtId="166" fontId="0" fillId="0" borderId="0" xfId="0" applyNumberFormat="1"/>
    <xf numFmtId="167" fontId="11" fillId="4" borderId="0" xfId="0" applyNumberFormat="1" applyFont="1" applyFill="1" applyAlignment="1">
      <alignment horizontal="center"/>
    </xf>
    <xf numFmtId="167" fontId="2" fillId="0" borderId="2" xfId="0" applyNumberFormat="1" applyFont="1" applyBorder="1" applyAlignment="1">
      <alignment horizontal="center"/>
    </xf>
    <xf numFmtId="9" fontId="11" fillId="4" borderId="0" xfId="0" applyNumberFormat="1" applyFont="1" applyFill="1" applyAlignment="1">
      <alignment horizontal="center"/>
    </xf>
    <xf numFmtId="9" fontId="2" fillId="0" borderId="2" xfId="0" applyNumberFormat="1" applyFont="1" applyBorder="1" applyAlignment="1">
      <alignment horizontal="center"/>
    </xf>
    <xf numFmtId="167" fontId="0" fillId="0" borderId="2" xfId="0" applyNumberFormat="1" applyBorder="1"/>
    <xf numFmtId="0" fontId="0" fillId="0" borderId="2" xfId="0" applyBorder="1"/>
    <xf numFmtId="0" fontId="12" fillId="5" borderId="2" xfId="0" applyFont="1" applyFill="1" applyBorder="1" applyAlignment="1">
      <alignment horizontal="right"/>
    </xf>
    <xf numFmtId="165" fontId="0" fillId="0" borderId="2" xfId="0" applyNumberFormat="1" applyBorder="1"/>
    <xf numFmtId="0" fontId="0" fillId="6" borderId="0" xfId="0" applyFill="1"/>
    <xf numFmtId="9" fontId="0" fillId="0" borderId="0" xfId="1" applyFont="1"/>
    <xf numFmtId="0" fontId="0" fillId="3" borderId="1" xfId="0" applyFill="1" applyBorder="1" applyAlignment="1">
      <alignment horizontal="center" vertical="center" wrapText="1"/>
    </xf>
    <xf numFmtId="0" fontId="3" fillId="2" borderId="0" xfId="0" applyFont="1" applyFill="1" applyAlignment="1">
      <alignment horizontal="center" vertical="center"/>
    </xf>
  </cellXfs>
  <cellStyles count="2">
    <cellStyle name="Normal" xfId="0" builtinId="0"/>
    <cellStyle name="Percent" xfId="1" builtinId="5"/>
  </cellStyles>
  <dxfs count="40">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charset val="1"/>
        <scheme val="none"/>
      </font>
      <numFmt numFmtId="1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7"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charset val="1"/>
        <scheme val="none"/>
      </font>
      <numFmt numFmtId="19" formatCode="dd/mm/yyyy"/>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dxf>
    <dxf>
      <font>
        <b/>
        <strike val="0"/>
        <outline val="0"/>
        <shadow val="0"/>
        <u val="none"/>
        <vertAlign val="baseline"/>
        <sz val="11"/>
        <color theme="1"/>
        <name val="Arial"/>
        <scheme val="none"/>
      </font>
      <fill>
        <patternFill patternType="solid">
          <fgColor rgb="FF800080"/>
          <bgColor rgb="FFFFFF0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1"/>
        <color theme="1"/>
      </font>
      <fill>
        <patternFill>
          <bgColor rgb="FFFF99FF"/>
        </patternFill>
      </fill>
      <border>
        <left style="thin">
          <color rgb="FFFF99FF"/>
        </left>
        <right style="thin">
          <color rgb="FFFF99FF"/>
        </right>
        <top style="thin">
          <color rgb="FFFF99FF"/>
        </top>
        <bottom style="thin">
          <color rgb="FFFF99FF"/>
        </bottom>
      </border>
    </dxf>
    <dxf>
      <fill>
        <patternFill patternType="solid">
          <fgColor theme="0"/>
          <bgColor rgb="FFFFCCFF"/>
        </patternFill>
      </fill>
      <border>
        <left style="thin">
          <color rgb="FFFFCCFF"/>
        </left>
        <right style="thin">
          <color rgb="FFFFCCFF"/>
        </right>
        <top style="thin">
          <color rgb="FFFFCCFF"/>
        </top>
        <bottom style="thin">
          <color rgb="FFFFCCFF"/>
        </bottom>
      </border>
    </dxf>
    <dxf>
      <font>
        <sz val="14"/>
      </font>
      <fill>
        <patternFill>
          <bgColor rgb="FFFF99FF"/>
        </patternFill>
      </fill>
    </dxf>
    <dxf>
      <font>
        <b/>
        <i val="0"/>
        <sz val="16"/>
      </font>
      <fill>
        <patternFill>
          <bgColor rgb="FFFFCCFF"/>
        </patternFill>
      </fill>
    </dxf>
  </dxfs>
  <tableStyles count="2" defaultTableStyle="TableStyleMedium2" defaultPivotStyle="PivotStyleLight16">
    <tableStyle name="Slicer Style 1" pivot="0" table="0" count="3" xr9:uid="{B528B1ED-3A7E-4B67-94FF-3CA50EFD8B4E}">
      <tableStyleElement type="wholeTable" dxfId="39"/>
      <tableStyleElement type="headerRow" dxfId="38"/>
    </tableStyle>
    <tableStyle name="Timeline Style 1" pivot="0" table="0" count="9" xr9:uid="{D532EA93-9ADB-4C66-B533-79147A01B912}">
      <tableStyleElement type="wholeTable" dxfId="37"/>
      <tableStyleElement type="headerRow" dxfId="36"/>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9F9F9"/>
      <rgbColor rgb="FFFDEBF3"/>
      <rgbColor rgb="FF6A1B4D"/>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D8A7C4"/>
      <rgbColor rgb="FFFFCC99"/>
      <rgbColor rgb="FF4F81BD"/>
      <rgbColor rgb="FF33CCCC"/>
      <rgbColor rgb="FF9BBB59"/>
      <rgbColor rgb="FFFFCC00"/>
      <rgbColor rgb="FFFF9900"/>
      <rgbColor rgb="FFFF6600"/>
      <rgbColor rgb="FF4A7EBB"/>
      <rgbColor rgb="FF969696"/>
      <rgbColor rgb="FF003366"/>
      <rgbColor rgb="FF339966"/>
      <rgbColor rgb="FF003300"/>
      <rgbColor rgb="FF222222"/>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CCFF"/>
      <color rgb="FFFF99FF"/>
      <color rgb="FFC2185B"/>
      <color rgb="FFFF66FF"/>
      <color rgb="FFCC00CC"/>
      <color rgb="FFD4AF37"/>
      <color rgb="FFFFC000"/>
      <color rgb="FFFF33CC"/>
      <color rgb="FF333333"/>
      <color rgb="FFFF00FF"/>
    </mruColors>
  </colors>
  <extLst>
    <ext xmlns:x14="http://schemas.microsoft.com/office/spreadsheetml/2009/9/main" uri="{46F421CA-312F-682f-3DD2-61675219B42D}">
      <x14:dxfs count="1">
        <dxf>
          <fill>
            <patternFill>
              <bgColor rgb="FFFF99FF"/>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7">
        <dxf>
          <fill>
            <patternFill>
              <bgColor rgb="FFFF66FF"/>
            </patternFill>
          </fill>
        </dxf>
        <dxf>
          <fill>
            <patternFill patternType="solid">
              <fgColor theme="0" tint="-0.14999847407452621"/>
              <bgColor theme="0" tint="-0.14999847407452621"/>
            </patternFill>
          </fill>
          <border>
            <left style="thin">
              <color rgb="FFFF66FF"/>
            </left>
            <right style="thin">
              <color rgb="FFFF66FF"/>
            </right>
            <top style="thin">
              <color rgb="FFFF66FF"/>
            </top>
            <bottom style="thin">
              <color rgb="FFFF66FF"/>
            </bottom>
          </border>
        </dxf>
        <dxf>
          <fill>
            <patternFill patternType="solid">
              <fgColor theme="0"/>
              <bgColor theme="0"/>
            </patternFill>
          </fill>
        </dxf>
        <dxf>
          <font>
            <sz val="9"/>
            <color theme="1"/>
            <name val="Calibri"/>
            <family val="2"/>
            <scheme val="minor"/>
          </font>
        </dxf>
        <dxf>
          <font>
            <sz val="9"/>
            <color theme="1"/>
            <name val="Calibri"/>
            <family val="2"/>
            <scheme val="minor"/>
          </font>
        </dxf>
        <dxf>
          <font>
            <sz val="9"/>
            <color theme="1"/>
            <name val="Calibri"/>
            <family val="2"/>
            <scheme val="minor"/>
          </font>
        </dxf>
        <dxf>
          <font>
            <sz val="10"/>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PVIOTS!$B$4:$B$16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PVIOTS!$C$4:$C$16</c:f>
              <c:numCache>
                <c:formatCode>General</c:formatCode>
                <c:ptCount val="12"/>
                <c:pt idx="0">
                  <c:v>161556</c:v>
                </c:pt>
                <c:pt idx="1">
                  <c:v>109091</c:v>
                </c:pt>
                <c:pt idx="2">
                  <c:v>127770</c:v>
                </c:pt>
                <c:pt idx="3">
                  <c:v>137619</c:v>
                </c:pt>
                <c:pt idx="4">
                  <c:v>181959</c:v>
                </c:pt>
                <c:pt idx="5">
                  <c:v>147218</c:v>
                </c:pt>
                <c:pt idx="6">
                  <c:v>133870</c:v>
                </c:pt>
                <c:pt idx="7">
                  <c:v>209278</c:v>
                </c:pt>
                <c:pt idx="8">
                  <c:v>217240</c:v>
                </c:pt>
                <c:pt idx="9">
                  <c:v>176944</c:v>
                </c:pt>
                <c:pt idx="10">
                  <c:v>113563</c:v>
                </c:pt>
                <c:pt idx="11">
                  <c:v>190538</c:v>
                </c:pt>
              </c:numCache>
            </c:numRef>
          </c:val>
          <c:smooth val="0"/>
          <c:extLst>
            <c:ext xmlns:c16="http://schemas.microsoft.com/office/drawing/2014/chart" uri="{C3380CC4-5D6E-409C-BE32-E72D297353CC}">
              <c16:uniqueId val="{00000000-D892-4834-9D91-05D3DDC81F71}"/>
            </c:ext>
          </c:extLst>
        </c:ser>
        <c:dLbls>
          <c:showLegendKey val="0"/>
          <c:showVal val="0"/>
          <c:showCatName val="0"/>
          <c:showSerName val="0"/>
          <c:showPercent val="0"/>
          <c:showBubbleSize val="0"/>
        </c:dLbls>
        <c:marker val="1"/>
        <c:smooth val="0"/>
        <c:axId val="1166009327"/>
        <c:axId val="1032064367"/>
      </c:lineChart>
      <c:catAx>
        <c:axId val="116600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64367"/>
        <c:crosses val="autoZero"/>
        <c:auto val="1"/>
        <c:lblAlgn val="ctr"/>
        <c:lblOffset val="100"/>
        <c:noMultiLvlLbl val="0"/>
      </c:catAx>
      <c:valAx>
        <c:axId val="103206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00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PVIOTS!$C$23</c:f>
              <c:strCache>
                <c:ptCount val="1"/>
                <c:pt idx="0">
                  <c:v>Total</c:v>
                </c:pt>
              </c:strCache>
            </c:strRef>
          </c:tx>
          <c:spPr>
            <a:solidFill>
              <a:schemeClr val="accent1"/>
            </a:solidFill>
            <a:ln>
              <a:noFill/>
            </a:ln>
            <a:effectLst/>
          </c:spPr>
          <c:invertIfNegative val="0"/>
          <c:cat>
            <c:strRef>
              <c:f>PVIOTS!$B$24:$B$27</c:f>
              <c:strCache>
                <c:ptCount val="3"/>
                <c:pt idx="0">
                  <c:v>New Customer</c:v>
                </c:pt>
                <c:pt idx="1">
                  <c:v>Premium Member</c:v>
                </c:pt>
                <c:pt idx="2">
                  <c:v>Repeat Customer</c:v>
                </c:pt>
              </c:strCache>
            </c:strRef>
          </c:cat>
          <c:val>
            <c:numRef>
              <c:f>PVIOTS!$C$24:$C$27</c:f>
              <c:numCache>
                <c:formatCode>General</c:formatCode>
                <c:ptCount val="3"/>
                <c:pt idx="0">
                  <c:v>780722</c:v>
                </c:pt>
                <c:pt idx="1">
                  <c:v>294093</c:v>
                </c:pt>
                <c:pt idx="2">
                  <c:v>831831</c:v>
                </c:pt>
              </c:numCache>
            </c:numRef>
          </c:val>
          <c:extLst>
            <c:ext xmlns:c16="http://schemas.microsoft.com/office/drawing/2014/chart" uri="{C3380CC4-5D6E-409C-BE32-E72D297353CC}">
              <c16:uniqueId val="{00000000-6566-49D0-B81A-81F4F9B9297D}"/>
            </c:ext>
          </c:extLst>
        </c:ser>
        <c:dLbls>
          <c:showLegendKey val="0"/>
          <c:showVal val="0"/>
          <c:showCatName val="0"/>
          <c:showSerName val="0"/>
          <c:showPercent val="0"/>
          <c:showBubbleSize val="0"/>
        </c:dLbls>
        <c:gapWidth val="219"/>
        <c:overlap val="-27"/>
        <c:axId val="1171254991"/>
        <c:axId val="1032061487"/>
      </c:barChart>
      <c:catAx>
        <c:axId val="117125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61487"/>
        <c:crosses val="autoZero"/>
        <c:auto val="1"/>
        <c:lblAlgn val="ctr"/>
        <c:lblOffset val="100"/>
        <c:noMultiLvlLbl val="0"/>
      </c:catAx>
      <c:valAx>
        <c:axId val="103206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PVIOTS!$C$32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38-4A2C-91D5-1EFFD78055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38-4A2C-91D5-1EFFD78055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38-4A2C-91D5-1EFFD78055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38-4A2C-91D5-1EFFD78055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38-4A2C-91D5-1EFFD78055C9}"/>
              </c:ext>
            </c:extLst>
          </c:dPt>
          <c:cat>
            <c:strRef>
              <c:f>PVIOTS!$B$33:$B$38</c:f>
              <c:strCache>
                <c:ptCount val="5"/>
                <c:pt idx="0">
                  <c:v>COD</c:v>
                </c:pt>
                <c:pt idx="1">
                  <c:v>Credit Card</c:v>
                </c:pt>
                <c:pt idx="2">
                  <c:v>Debit Card</c:v>
                </c:pt>
                <c:pt idx="3">
                  <c:v>UPI</c:v>
                </c:pt>
                <c:pt idx="4">
                  <c:v>Wallet</c:v>
                </c:pt>
              </c:strCache>
            </c:strRef>
          </c:cat>
          <c:val>
            <c:numRef>
              <c:f>PVIOTS!$C$33:$C$38</c:f>
              <c:numCache>
                <c:formatCode>General</c:formatCode>
                <c:ptCount val="5"/>
                <c:pt idx="0">
                  <c:v>400803</c:v>
                </c:pt>
                <c:pt idx="1">
                  <c:v>365038</c:v>
                </c:pt>
                <c:pt idx="2">
                  <c:v>352917</c:v>
                </c:pt>
                <c:pt idx="3">
                  <c:v>361406</c:v>
                </c:pt>
                <c:pt idx="4">
                  <c:v>426482</c:v>
                </c:pt>
              </c:numCache>
            </c:numRef>
          </c:val>
          <c:extLst>
            <c:ext xmlns:c16="http://schemas.microsoft.com/office/drawing/2014/chart" uri="{C3380CC4-5D6E-409C-BE32-E72D297353CC}">
              <c16:uniqueId val="{00000000-D20F-4B86-9CD9-35B7BC51B3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PVIOTS!$C$43</c:f>
              <c:strCache>
                <c:ptCount val="1"/>
                <c:pt idx="0">
                  <c:v>Total</c:v>
                </c:pt>
              </c:strCache>
            </c:strRef>
          </c:tx>
          <c:spPr>
            <a:solidFill>
              <a:schemeClr val="accent1"/>
            </a:solidFill>
            <a:ln w="25400">
              <a:solidFill>
                <a:schemeClr val="lt1"/>
              </a:solidFill>
            </a:ln>
            <a:effectLst/>
            <a:sp3d contourW="25400">
              <a:contourClr>
                <a:schemeClr val="lt1"/>
              </a:contourClr>
            </a:sp3d>
          </c:spPr>
          <c:invertIfNegative val="0"/>
          <c:dPt>
            <c:idx val="0"/>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03-443B-9F33-D0D8A1817DB8}"/>
              </c:ext>
            </c:extLst>
          </c:dPt>
          <c:dPt>
            <c:idx val="1"/>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03-443B-9F33-D0D8A1817DB8}"/>
              </c:ext>
            </c:extLst>
          </c:dPt>
          <c:cat>
            <c:strRef>
              <c:f>PVIOTS!$B$44:$B$46</c:f>
              <c:strCache>
                <c:ptCount val="2"/>
                <c:pt idx="0">
                  <c:v>No</c:v>
                </c:pt>
                <c:pt idx="1">
                  <c:v>Yes</c:v>
                </c:pt>
              </c:strCache>
            </c:strRef>
          </c:cat>
          <c:val>
            <c:numRef>
              <c:f>PVIOTS!$C$44:$C$46</c:f>
              <c:numCache>
                <c:formatCode>General</c:formatCode>
                <c:ptCount val="2"/>
                <c:pt idx="0">
                  <c:v>695</c:v>
                </c:pt>
                <c:pt idx="1">
                  <c:v>55</c:v>
                </c:pt>
              </c:numCache>
            </c:numRef>
          </c:val>
          <c:extLst>
            <c:ext xmlns:c16="http://schemas.microsoft.com/office/drawing/2014/chart" uri="{C3380CC4-5D6E-409C-BE32-E72D297353CC}">
              <c16:uniqueId val="{00000000-25D5-4A1A-8463-89CF884174EB}"/>
            </c:ext>
          </c:extLst>
        </c:ser>
        <c:dLbls>
          <c:showLegendKey val="0"/>
          <c:showVal val="0"/>
          <c:showCatName val="0"/>
          <c:showSerName val="0"/>
          <c:showPercent val="0"/>
          <c:showBubbleSize val="0"/>
        </c:dLbls>
        <c:gapWidth val="100"/>
        <c:shape val="box"/>
        <c:axId val="1188482272"/>
        <c:axId val="1260319472"/>
        <c:axId val="0"/>
      </c:bar3DChart>
      <c:catAx>
        <c:axId val="118848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19472"/>
        <c:crosses val="autoZero"/>
        <c:auto val="1"/>
        <c:lblAlgn val="ctr"/>
        <c:lblOffset val="100"/>
        <c:noMultiLvlLbl val="0"/>
      </c:catAx>
      <c:valAx>
        <c:axId val="126031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48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PVIOTS!$C$51</c:f>
              <c:strCache>
                <c:ptCount val="1"/>
                <c:pt idx="0">
                  <c:v>Total</c:v>
                </c:pt>
              </c:strCache>
            </c:strRef>
          </c:tx>
          <c:spPr>
            <a:solidFill>
              <a:schemeClr val="accent1"/>
            </a:solidFill>
            <a:ln>
              <a:noFill/>
            </a:ln>
            <a:effectLst/>
          </c:spPr>
          <c:invertIfNegative val="0"/>
          <c:cat>
            <c:strRef>
              <c:f>PVIOTS!$B$52:$B$64</c:f>
              <c:strCache>
                <c:ptCount val="12"/>
                <c:pt idx="0">
                  <c:v>Biotique</c:v>
                </c:pt>
                <c:pt idx="1">
                  <c:v>Dot &amp; Key</c:v>
                </c:pt>
                <c:pt idx="2">
                  <c:v>Lakme</c:v>
                </c:pt>
                <c:pt idx="3">
                  <c:v>L'Oreal Paris</c:v>
                </c:pt>
                <c:pt idx="4">
                  <c:v>MamaEarth</c:v>
                </c:pt>
                <c:pt idx="5">
                  <c:v>Maybelline</c:v>
                </c:pt>
                <c:pt idx="6">
                  <c:v>Minimalist</c:v>
                </c:pt>
                <c:pt idx="7">
                  <c:v>Nykaa Cosmetics</c:v>
                </c:pt>
                <c:pt idx="8">
                  <c:v>Plum</c:v>
                </c:pt>
                <c:pt idx="9">
                  <c:v>Sugar Cosmetics</c:v>
                </c:pt>
                <c:pt idx="10">
                  <c:v>The Body Shop</c:v>
                </c:pt>
                <c:pt idx="11">
                  <c:v>Wow Skin Science</c:v>
                </c:pt>
              </c:strCache>
            </c:strRef>
          </c:cat>
          <c:val>
            <c:numRef>
              <c:f>PVIOTS!$C$52:$C$64</c:f>
              <c:numCache>
                <c:formatCode>0.0</c:formatCode>
                <c:ptCount val="12"/>
                <c:pt idx="0">
                  <c:v>4.1018181818181816</c:v>
                </c:pt>
                <c:pt idx="1">
                  <c:v>4.1017857142857137</c:v>
                </c:pt>
                <c:pt idx="2">
                  <c:v>4.0514285714285707</c:v>
                </c:pt>
                <c:pt idx="3">
                  <c:v>4.2014285714285711</c:v>
                </c:pt>
                <c:pt idx="4">
                  <c:v>4.1513513513513516</c:v>
                </c:pt>
                <c:pt idx="5">
                  <c:v>4.125</c:v>
                </c:pt>
                <c:pt idx="6">
                  <c:v>4.1344262295081977</c:v>
                </c:pt>
                <c:pt idx="7">
                  <c:v>4.011111111111112</c:v>
                </c:pt>
                <c:pt idx="8">
                  <c:v>4.1875000000000009</c:v>
                </c:pt>
                <c:pt idx="9">
                  <c:v>4.1049180327868857</c:v>
                </c:pt>
                <c:pt idx="10">
                  <c:v>4.1472727272727266</c:v>
                </c:pt>
                <c:pt idx="11">
                  <c:v>4.3014492753623186</c:v>
                </c:pt>
              </c:numCache>
            </c:numRef>
          </c:val>
          <c:extLst>
            <c:ext xmlns:c16="http://schemas.microsoft.com/office/drawing/2014/chart" uri="{C3380CC4-5D6E-409C-BE32-E72D297353CC}">
              <c16:uniqueId val="{00000000-560F-4E73-9168-A6943EB4EF7E}"/>
            </c:ext>
          </c:extLst>
        </c:ser>
        <c:dLbls>
          <c:showLegendKey val="0"/>
          <c:showVal val="0"/>
          <c:showCatName val="0"/>
          <c:showSerName val="0"/>
          <c:showPercent val="0"/>
          <c:showBubbleSize val="0"/>
        </c:dLbls>
        <c:gapWidth val="182"/>
        <c:axId val="1016404575"/>
        <c:axId val="1032079727"/>
      </c:barChart>
      <c:catAx>
        <c:axId val="101640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79727"/>
        <c:crosses val="autoZero"/>
        <c:auto val="1"/>
        <c:lblAlgn val="ctr"/>
        <c:lblOffset val="100"/>
        <c:noMultiLvlLbl val="0"/>
      </c:catAx>
      <c:valAx>
        <c:axId val="103207972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40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PVIOTS!$C$69</c:f>
              <c:strCache>
                <c:ptCount val="1"/>
                <c:pt idx="0">
                  <c:v>Average of Discount %</c:v>
                </c:pt>
              </c:strCache>
            </c:strRef>
          </c:tx>
          <c:spPr>
            <a:solidFill>
              <a:schemeClr val="accent1"/>
            </a:solidFill>
            <a:ln>
              <a:noFill/>
            </a:ln>
            <a:effectLst/>
          </c:spPr>
          <c:invertIfNegative val="0"/>
          <c:cat>
            <c:strRef>
              <c:f>PVIOTS!$B$70:$B$82</c:f>
              <c:strCache>
                <c:ptCount val="12"/>
                <c:pt idx="0">
                  <c:v>Biotique</c:v>
                </c:pt>
                <c:pt idx="1">
                  <c:v>Dot &amp; Key</c:v>
                </c:pt>
                <c:pt idx="2">
                  <c:v>Lakme</c:v>
                </c:pt>
                <c:pt idx="3">
                  <c:v>L'Oreal Paris</c:v>
                </c:pt>
                <c:pt idx="4">
                  <c:v>MamaEarth</c:v>
                </c:pt>
                <c:pt idx="5">
                  <c:v>Maybelline</c:v>
                </c:pt>
                <c:pt idx="6">
                  <c:v>Minimalist</c:v>
                </c:pt>
                <c:pt idx="7">
                  <c:v>Nykaa Cosmetics</c:v>
                </c:pt>
                <c:pt idx="8">
                  <c:v>Plum</c:v>
                </c:pt>
                <c:pt idx="9">
                  <c:v>Sugar Cosmetics</c:v>
                </c:pt>
                <c:pt idx="10">
                  <c:v>The Body Shop</c:v>
                </c:pt>
                <c:pt idx="11">
                  <c:v>Wow Skin Science</c:v>
                </c:pt>
              </c:strCache>
            </c:strRef>
          </c:cat>
          <c:val>
            <c:numRef>
              <c:f>PVIOTS!$C$70:$C$82</c:f>
              <c:numCache>
                <c:formatCode>0.0</c:formatCode>
                <c:ptCount val="12"/>
                <c:pt idx="0">
                  <c:v>17.181818181818183</c:v>
                </c:pt>
                <c:pt idx="1">
                  <c:v>16.607142857142858</c:v>
                </c:pt>
                <c:pt idx="2">
                  <c:v>11.785714285714286</c:v>
                </c:pt>
                <c:pt idx="3">
                  <c:v>13</c:v>
                </c:pt>
                <c:pt idx="4">
                  <c:v>15.54054054054054</c:v>
                </c:pt>
                <c:pt idx="5">
                  <c:v>14.416666666666666</c:v>
                </c:pt>
                <c:pt idx="6">
                  <c:v>14.754098360655737</c:v>
                </c:pt>
                <c:pt idx="7">
                  <c:v>14.126984126984127</c:v>
                </c:pt>
                <c:pt idx="8">
                  <c:v>15</c:v>
                </c:pt>
                <c:pt idx="9">
                  <c:v>16.885245901639344</c:v>
                </c:pt>
                <c:pt idx="10">
                  <c:v>13.545454545454545</c:v>
                </c:pt>
                <c:pt idx="11">
                  <c:v>15.797101449275363</c:v>
                </c:pt>
              </c:numCache>
            </c:numRef>
          </c:val>
          <c:extLst>
            <c:ext xmlns:c16="http://schemas.microsoft.com/office/drawing/2014/chart" uri="{C3380CC4-5D6E-409C-BE32-E72D297353CC}">
              <c16:uniqueId val="{00000000-4ECC-4C88-8C3F-794F18BDA863}"/>
            </c:ext>
          </c:extLst>
        </c:ser>
        <c:dLbls>
          <c:showLegendKey val="0"/>
          <c:showVal val="0"/>
          <c:showCatName val="0"/>
          <c:showSerName val="0"/>
          <c:showPercent val="0"/>
          <c:showBubbleSize val="0"/>
        </c:dLbls>
        <c:gapWidth val="219"/>
        <c:overlap val="-27"/>
        <c:axId val="1200227743"/>
        <c:axId val="1032070127"/>
      </c:barChart>
      <c:lineChart>
        <c:grouping val="standard"/>
        <c:varyColors val="0"/>
        <c:ser>
          <c:idx val="1"/>
          <c:order val="1"/>
          <c:tx>
            <c:strRef>
              <c:f>PVIOTS!$D$69</c:f>
              <c:strCache>
                <c:ptCount val="1"/>
                <c:pt idx="0">
                  <c:v>Sum of Discount Amount (Rs)</c:v>
                </c:pt>
              </c:strCache>
            </c:strRef>
          </c:tx>
          <c:spPr>
            <a:ln w="28575" cap="rnd">
              <a:solidFill>
                <a:schemeClr val="accent2"/>
              </a:solidFill>
              <a:round/>
            </a:ln>
            <a:effectLst/>
          </c:spPr>
          <c:marker>
            <c:symbol val="none"/>
          </c:marker>
          <c:cat>
            <c:strRef>
              <c:f>PVIOTS!$B$70:$B$82</c:f>
              <c:strCache>
                <c:ptCount val="12"/>
                <c:pt idx="0">
                  <c:v>Biotique</c:v>
                </c:pt>
                <c:pt idx="1">
                  <c:v>Dot &amp; Key</c:v>
                </c:pt>
                <c:pt idx="2">
                  <c:v>Lakme</c:v>
                </c:pt>
                <c:pt idx="3">
                  <c:v>L'Oreal Paris</c:v>
                </c:pt>
                <c:pt idx="4">
                  <c:v>MamaEarth</c:v>
                </c:pt>
                <c:pt idx="5">
                  <c:v>Maybelline</c:v>
                </c:pt>
                <c:pt idx="6">
                  <c:v>Minimalist</c:v>
                </c:pt>
                <c:pt idx="7">
                  <c:v>Nykaa Cosmetics</c:v>
                </c:pt>
                <c:pt idx="8">
                  <c:v>Plum</c:v>
                </c:pt>
                <c:pt idx="9">
                  <c:v>Sugar Cosmetics</c:v>
                </c:pt>
                <c:pt idx="10">
                  <c:v>The Body Shop</c:v>
                </c:pt>
                <c:pt idx="11">
                  <c:v>Wow Skin Science</c:v>
                </c:pt>
              </c:strCache>
            </c:strRef>
          </c:cat>
          <c:val>
            <c:numRef>
              <c:f>PVIOTS!$D$70:$D$82</c:f>
              <c:numCache>
                <c:formatCode>"₹"\ #,##0.0</c:formatCode>
                <c:ptCount val="12"/>
                <c:pt idx="0">
                  <c:v>28658</c:v>
                </c:pt>
                <c:pt idx="1">
                  <c:v>29959</c:v>
                </c:pt>
                <c:pt idx="2">
                  <c:v>27262</c:v>
                </c:pt>
                <c:pt idx="3">
                  <c:v>30644</c:v>
                </c:pt>
                <c:pt idx="4">
                  <c:v>32475</c:v>
                </c:pt>
                <c:pt idx="5">
                  <c:v>24770</c:v>
                </c:pt>
                <c:pt idx="6">
                  <c:v>30844</c:v>
                </c:pt>
                <c:pt idx="7">
                  <c:v>22926</c:v>
                </c:pt>
                <c:pt idx="8">
                  <c:v>26342</c:v>
                </c:pt>
                <c:pt idx="9">
                  <c:v>25314</c:v>
                </c:pt>
                <c:pt idx="10">
                  <c:v>27497</c:v>
                </c:pt>
                <c:pt idx="11">
                  <c:v>32158</c:v>
                </c:pt>
              </c:numCache>
            </c:numRef>
          </c:val>
          <c:smooth val="0"/>
          <c:extLst>
            <c:ext xmlns:c16="http://schemas.microsoft.com/office/drawing/2014/chart" uri="{C3380CC4-5D6E-409C-BE32-E72D297353CC}">
              <c16:uniqueId val="{00000001-4ECC-4C88-8C3F-794F18BDA863}"/>
            </c:ext>
          </c:extLst>
        </c:ser>
        <c:dLbls>
          <c:showLegendKey val="0"/>
          <c:showVal val="0"/>
          <c:showCatName val="0"/>
          <c:showSerName val="0"/>
          <c:showPercent val="0"/>
          <c:showBubbleSize val="0"/>
        </c:dLbls>
        <c:marker val="1"/>
        <c:smooth val="0"/>
        <c:axId val="1200211503"/>
        <c:axId val="1032093647"/>
      </c:lineChart>
      <c:catAx>
        <c:axId val="120022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70127"/>
        <c:crosses val="autoZero"/>
        <c:auto val="1"/>
        <c:lblAlgn val="ctr"/>
        <c:lblOffset val="100"/>
        <c:noMultiLvlLbl val="0"/>
      </c:catAx>
      <c:valAx>
        <c:axId val="10320701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227743"/>
        <c:crosses val="autoZero"/>
        <c:crossBetween val="between"/>
      </c:valAx>
      <c:valAx>
        <c:axId val="1032093647"/>
        <c:scaling>
          <c:orientation val="minMax"/>
        </c:scaling>
        <c:delete val="0"/>
        <c:axPos val="r"/>
        <c:numFmt formatCode="&quot;₹&quot;\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211503"/>
        <c:crosses val="max"/>
        <c:crossBetween val="between"/>
      </c:valAx>
      <c:catAx>
        <c:axId val="1200211503"/>
        <c:scaling>
          <c:orientation val="minMax"/>
        </c:scaling>
        <c:delete val="1"/>
        <c:axPos val="b"/>
        <c:numFmt formatCode="General" sourceLinked="1"/>
        <c:majorTickMark val="out"/>
        <c:minorTickMark val="none"/>
        <c:tickLblPos val="nextTo"/>
        <c:crossAx val="10320936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PVIOTS!$C$88</c:f>
              <c:strCache>
                <c:ptCount val="1"/>
                <c:pt idx="0">
                  <c:v>Total</c:v>
                </c:pt>
              </c:strCache>
            </c:strRef>
          </c:tx>
          <c:spPr>
            <a:solidFill>
              <a:schemeClr val="accent1"/>
            </a:solidFill>
            <a:ln>
              <a:noFill/>
            </a:ln>
            <a:effectLst/>
          </c:spPr>
          <c:invertIfNegative val="0"/>
          <c:cat>
            <c:strRef>
              <c:f>PVIOTS!$B$89:$B$99</c:f>
              <c:strCache>
                <c:ptCount val="10"/>
                <c:pt idx="0">
                  <c:v>Conditioner</c:v>
                </c:pt>
                <c:pt idx="1">
                  <c:v>Deodorant</c:v>
                </c:pt>
                <c:pt idx="2">
                  <c:v>Face Roller</c:v>
                </c:pt>
                <c:pt idx="3">
                  <c:v>Trimmer</c:v>
                </c:pt>
                <c:pt idx="4">
                  <c:v>Perfume</c:v>
                </c:pt>
                <c:pt idx="5">
                  <c:v>Body Mist</c:v>
                </c:pt>
                <c:pt idx="6">
                  <c:v>Body Wash</c:v>
                </c:pt>
                <c:pt idx="7">
                  <c:v>Bath Salt</c:v>
                </c:pt>
                <c:pt idx="8">
                  <c:v>Body Lotion</c:v>
                </c:pt>
                <c:pt idx="9">
                  <c:v>Hair Dryer</c:v>
                </c:pt>
              </c:strCache>
            </c:strRef>
          </c:cat>
          <c:val>
            <c:numRef>
              <c:f>PVIOTS!$C$89:$C$99</c:f>
              <c:numCache>
                <c:formatCode>General</c:formatCode>
                <c:ptCount val="10"/>
                <c:pt idx="0">
                  <c:v>111</c:v>
                </c:pt>
                <c:pt idx="1">
                  <c:v>112</c:v>
                </c:pt>
                <c:pt idx="2">
                  <c:v>112</c:v>
                </c:pt>
                <c:pt idx="3">
                  <c:v>126</c:v>
                </c:pt>
                <c:pt idx="4">
                  <c:v>128</c:v>
                </c:pt>
                <c:pt idx="5">
                  <c:v>134</c:v>
                </c:pt>
                <c:pt idx="6">
                  <c:v>140</c:v>
                </c:pt>
                <c:pt idx="7">
                  <c:v>141</c:v>
                </c:pt>
                <c:pt idx="8">
                  <c:v>146</c:v>
                </c:pt>
                <c:pt idx="9">
                  <c:v>148</c:v>
                </c:pt>
              </c:numCache>
            </c:numRef>
          </c:val>
          <c:extLst>
            <c:ext xmlns:c16="http://schemas.microsoft.com/office/drawing/2014/chart" uri="{C3380CC4-5D6E-409C-BE32-E72D297353CC}">
              <c16:uniqueId val="{00000000-4828-49C9-A563-CBBA33DB45CE}"/>
            </c:ext>
          </c:extLst>
        </c:ser>
        <c:dLbls>
          <c:showLegendKey val="0"/>
          <c:showVal val="0"/>
          <c:showCatName val="0"/>
          <c:showSerName val="0"/>
          <c:showPercent val="0"/>
          <c:showBubbleSize val="0"/>
        </c:dLbls>
        <c:gapWidth val="182"/>
        <c:axId val="1205127199"/>
        <c:axId val="1032064847"/>
      </c:barChart>
      <c:catAx>
        <c:axId val="12051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64847"/>
        <c:crosses val="autoZero"/>
        <c:auto val="1"/>
        <c:lblAlgn val="ctr"/>
        <c:lblOffset val="100"/>
        <c:noMultiLvlLbl val="0"/>
      </c:catAx>
      <c:valAx>
        <c:axId val="1032064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12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PVIOTS!$C$104</c:f>
              <c:strCache>
                <c:ptCount val="1"/>
                <c:pt idx="0">
                  <c:v>Total</c:v>
                </c:pt>
              </c:strCache>
            </c:strRef>
          </c:tx>
          <c:spPr>
            <a:ln w="28575" cap="rnd">
              <a:solidFill>
                <a:schemeClr val="accent1"/>
              </a:solidFill>
              <a:round/>
            </a:ln>
            <a:effectLst/>
          </c:spPr>
          <c:marker>
            <c:symbol val="none"/>
          </c:marker>
          <c:cat>
            <c:strRef>
              <c:f>PVIOTS!$B$105:$B$115</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PVIOTS!$C$105:$C$115</c:f>
              <c:numCache>
                <c:formatCode>General</c:formatCode>
                <c:ptCount val="10"/>
                <c:pt idx="0">
                  <c:v>198196</c:v>
                </c:pt>
                <c:pt idx="1">
                  <c:v>224419</c:v>
                </c:pt>
                <c:pt idx="2">
                  <c:v>168904</c:v>
                </c:pt>
                <c:pt idx="3">
                  <c:v>207127</c:v>
                </c:pt>
                <c:pt idx="4">
                  <c:v>194306</c:v>
                </c:pt>
                <c:pt idx="5">
                  <c:v>180344</c:v>
                </c:pt>
                <c:pt idx="6">
                  <c:v>182351</c:v>
                </c:pt>
                <c:pt idx="7">
                  <c:v>224405</c:v>
                </c:pt>
                <c:pt idx="8">
                  <c:v>154242</c:v>
                </c:pt>
                <c:pt idx="9">
                  <c:v>172352</c:v>
                </c:pt>
              </c:numCache>
            </c:numRef>
          </c:val>
          <c:extLst>
            <c:ext xmlns:c16="http://schemas.microsoft.com/office/drawing/2014/chart" uri="{C3380CC4-5D6E-409C-BE32-E72D297353CC}">
              <c16:uniqueId val="{00000000-59E2-4BD1-872E-AD897D7E269C}"/>
            </c:ext>
          </c:extLst>
        </c:ser>
        <c:dLbls>
          <c:showLegendKey val="0"/>
          <c:showVal val="0"/>
          <c:showCatName val="0"/>
          <c:showSerName val="0"/>
          <c:showPercent val="0"/>
          <c:showBubbleSize val="0"/>
        </c:dLbls>
        <c:axId val="1205166639"/>
        <c:axId val="1012655855"/>
      </c:radarChart>
      <c:catAx>
        <c:axId val="120516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55855"/>
        <c:crosses val="autoZero"/>
        <c:auto val="1"/>
        <c:lblAlgn val="ctr"/>
        <c:lblOffset val="100"/>
        <c:noMultiLvlLbl val="0"/>
      </c:catAx>
      <c:valAx>
        <c:axId val="101265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1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Net Sales Performance</a:t>
            </a:r>
          </a:p>
        </c:rich>
      </c:tx>
      <c:layout>
        <c:manualLayout>
          <c:xMode val="edge"/>
          <c:yMode val="edge"/>
          <c:x val="0.31508355287632961"/>
          <c:y val="7.91072573391377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66FF"/>
            </a:solidFill>
            <a:round/>
          </a:ln>
          <a:effectLst/>
        </c:spPr>
        <c:marker>
          <c:symbol val="circle"/>
          <c:size val="5"/>
          <c:spPr>
            <a:solidFill>
              <a:schemeClr val="accent1"/>
            </a:solidFill>
            <a:ln w="9525">
              <a:solidFill>
                <a:srgbClr val="FF66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PVIOTS!$C$3</c:f>
              <c:strCache>
                <c:ptCount val="1"/>
                <c:pt idx="0">
                  <c:v>Total</c:v>
                </c:pt>
              </c:strCache>
            </c:strRef>
          </c:tx>
          <c:spPr>
            <a:ln w="28575" cap="rnd">
              <a:solidFill>
                <a:srgbClr val="FF66FF"/>
              </a:solidFill>
              <a:round/>
            </a:ln>
            <a:effectLst/>
          </c:spPr>
          <c:marker>
            <c:symbol val="circle"/>
            <c:size val="5"/>
            <c:spPr>
              <a:solidFill>
                <a:schemeClr val="accent1"/>
              </a:solidFill>
              <a:ln w="9525">
                <a:solidFill>
                  <a:srgbClr val="FF66FF"/>
                </a:solidFill>
              </a:ln>
              <a:effectLst/>
            </c:spPr>
          </c:marker>
          <c:cat>
            <c:strRef>
              <c:f>PVIOTS!$B$4:$B$16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PVIOTS!$C$4:$C$16</c:f>
              <c:numCache>
                <c:formatCode>General</c:formatCode>
                <c:ptCount val="12"/>
                <c:pt idx="0">
                  <c:v>161556</c:v>
                </c:pt>
                <c:pt idx="1">
                  <c:v>109091</c:v>
                </c:pt>
                <c:pt idx="2">
                  <c:v>127770</c:v>
                </c:pt>
                <c:pt idx="3">
                  <c:v>137619</c:v>
                </c:pt>
                <c:pt idx="4">
                  <c:v>181959</c:v>
                </c:pt>
                <c:pt idx="5">
                  <c:v>147218</c:v>
                </c:pt>
                <c:pt idx="6">
                  <c:v>133870</c:v>
                </c:pt>
                <c:pt idx="7">
                  <c:v>209278</c:v>
                </c:pt>
                <c:pt idx="8">
                  <c:v>217240</c:v>
                </c:pt>
                <c:pt idx="9">
                  <c:v>176944</c:v>
                </c:pt>
                <c:pt idx="10">
                  <c:v>113563</c:v>
                </c:pt>
                <c:pt idx="11">
                  <c:v>190538</c:v>
                </c:pt>
              </c:numCache>
            </c:numRef>
          </c:val>
          <c:smooth val="0"/>
          <c:extLst>
            <c:ext xmlns:c16="http://schemas.microsoft.com/office/drawing/2014/chart" uri="{C3380CC4-5D6E-409C-BE32-E72D297353CC}">
              <c16:uniqueId val="{00000000-609E-4CF9-8FAD-9306725FC675}"/>
            </c:ext>
          </c:extLst>
        </c:ser>
        <c:dLbls>
          <c:showLegendKey val="0"/>
          <c:showVal val="0"/>
          <c:showCatName val="0"/>
          <c:showSerName val="0"/>
          <c:showPercent val="0"/>
          <c:showBubbleSize val="0"/>
        </c:dLbls>
        <c:marker val="1"/>
        <c:smooth val="0"/>
        <c:axId val="1166009327"/>
        <c:axId val="1032064367"/>
      </c:lineChart>
      <c:catAx>
        <c:axId val="116600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2064367"/>
        <c:crosses val="autoZero"/>
        <c:auto val="1"/>
        <c:lblAlgn val="ctr"/>
        <c:lblOffset val="100"/>
        <c:noMultiLvlLbl val="0"/>
      </c:catAx>
      <c:valAx>
        <c:axId val="103206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no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6009327"/>
        <c:crosses val="autoZero"/>
        <c:crossBetween val="between"/>
      </c:valAx>
      <c:spPr>
        <a:noFill/>
        <a:ln>
          <a:noFill/>
        </a:ln>
        <a:effectLst/>
      </c:spPr>
    </c:plotArea>
    <c:legend>
      <c:legendPos val="r"/>
      <c:overlay val="0"/>
      <c:spPr>
        <a:solidFill>
          <a:schemeClr val="lt1"/>
        </a:solid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rgbClr val="FFCC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Brand Discount Performance Analysis</a:t>
            </a:r>
          </a:p>
        </c:rich>
      </c:tx>
      <c:layout>
        <c:manualLayout>
          <c:xMode val="edge"/>
          <c:yMode val="edge"/>
          <c:x val="0.44185020858588175"/>
          <c:y val="3.3862572079741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PVIOTS!$C$69</c:f>
              <c:strCache>
                <c:ptCount val="1"/>
                <c:pt idx="0">
                  <c:v>Average of Discount %</c:v>
                </c:pt>
              </c:strCache>
            </c:strRef>
          </c:tx>
          <c:spPr>
            <a:solidFill>
              <a:srgbClr val="FF00FF"/>
            </a:solidFill>
            <a:ln>
              <a:noFill/>
            </a:ln>
            <a:effectLst/>
          </c:spPr>
          <c:invertIfNegative val="0"/>
          <c:cat>
            <c:strRef>
              <c:f>PVIOTS!$B$70:$B$82</c:f>
              <c:strCache>
                <c:ptCount val="12"/>
                <c:pt idx="0">
                  <c:v>Biotique</c:v>
                </c:pt>
                <c:pt idx="1">
                  <c:v>Dot &amp; Key</c:v>
                </c:pt>
                <c:pt idx="2">
                  <c:v>Lakme</c:v>
                </c:pt>
                <c:pt idx="3">
                  <c:v>L'Oreal Paris</c:v>
                </c:pt>
                <c:pt idx="4">
                  <c:v>MamaEarth</c:v>
                </c:pt>
                <c:pt idx="5">
                  <c:v>Maybelline</c:v>
                </c:pt>
                <c:pt idx="6">
                  <c:v>Minimalist</c:v>
                </c:pt>
                <c:pt idx="7">
                  <c:v>Nykaa Cosmetics</c:v>
                </c:pt>
                <c:pt idx="8">
                  <c:v>Plum</c:v>
                </c:pt>
                <c:pt idx="9">
                  <c:v>Sugar Cosmetics</c:v>
                </c:pt>
                <c:pt idx="10">
                  <c:v>The Body Shop</c:v>
                </c:pt>
                <c:pt idx="11">
                  <c:v>Wow Skin Science</c:v>
                </c:pt>
              </c:strCache>
            </c:strRef>
          </c:cat>
          <c:val>
            <c:numRef>
              <c:f>PVIOTS!$C$70:$C$82</c:f>
              <c:numCache>
                <c:formatCode>0.0</c:formatCode>
                <c:ptCount val="12"/>
                <c:pt idx="0">
                  <c:v>17.181818181818183</c:v>
                </c:pt>
                <c:pt idx="1">
                  <c:v>16.607142857142858</c:v>
                </c:pt>
                <c:pt idx="2">
                  <c:v>11.785714285714286</c:v>
                </c:pt>
                <c:pt idx="3">
                  <c:v>13</c:v>
                </c:pt>
                <c:pt idx="4">
                  <c:v>15.54054054054054</c:v>
                </c:pt>
                <c:pt idx="5">
                  <c:v>14.416666666666666</c:v>
                </c:pt>
                <c:pt idx="6">
                  <c:v>14.754098360655737</c:v>
                </c:pt>
                <c:pt idx="7">
                  <c:v>14.126984126984127</c:v>
                </c:pt>
                <c:pt idx="8">
                  <c:v>15</c:v>
                </c:pt>
                <c:pt idx="9">
                  <c:v>16.885245901639344</c:v>
                </c:pt>
                <c:pt idx="10">
                  <c:v>13.545454545454545</c:v>
                </c:pt>
                <c:pt idx="11">
                  <c:v>15.797101449275363</c:v>
                </c:pt>
              </c:numCache>
            </c:numRef>
          </c:val>
          <c:extLst>
            <c:ext xmlns:c16="http://schemas.microsoft.com/office/drawing/2014/chart" uri="{C3380CC4-5D6E-409C-BE32-E72D297353CC}">
              <c16:uniqueId val="{00000000-7827-4450-A4CE-B5D784F2EE29}"/>
            </c:ext>
          </c:extLst>
        </c:ser>
        <c:dLbls>
          <c:showLegendKey val="0"/>
          <c:showVal val="0"/>
          <c:showCatName val="0"/>
          <c:showSerName val="0"/>
          <c:showPercent val="0"/>
          <c:showBubbleSize val="0"/>
        </c:dLbls>
        <c:gapWidth val="219"/>
        <c:overlap val="-27"/>
        <c:axId val="1200227743"/>
        <c:axId val="1032070127"/>
      </c:barChart>
      <c:lineChart>
        <c:grouping val="standard"/>
        <c:varyColors val="0"/>
        <c:ser>
          <c:idx val="1"/>
          <c:order val="1"/>
          <c:tx>
            <c:strRef>
              <c:f>PVIOTS!$D$69</c:f>
              <c:strCache>
                <c:ptCount val="1"/>
                <c:pt idx="0">
                  <c:v>Sum of Discount Amount (Rs)</c:v>
                </c:pt>
              </c:strCache>
            </c:strRef>
          </c:tx>
          <c:spPr>
            <a:ln w="28575" cap="rnd">
              <a:solidFill>
                <a:schemeClr val="accent2"/>
              </a:solidFill>
              <a:round/>
            </a:ln>
            <a:effectLst/>
          </c:spPr>
          <c:marker>
            <c:symbol val="none"/>
          </c:marker>
          <c:cat>
            <c:strRef>
              <c:f>PVIOTS!$B$70:$B$82</c:f>
              <c:strCache>
                <c:ptCount val="12"/>
                <c:pt idx="0">
                  <c:v>Biotique</c:v>
                </c:pt>
                <c:pt idx="1">
                  <c:v>Dot &amp; Key</c:v>
                </c:pt>
                <c:pt idx="2">
                  <c:v>Lakme</c:v>
                </c:pt>
                <c:pt idx="3">
                  <c:v>L'Oreal Paris</c:v>
                </c:pt>
                <c:pt idx="4">
                  <c:v>MamaEarth</c:v>
                </c:pt>
                <c:pt idx="5">
                  <c:v>Maybelline</c:v>
                </c:pt>
                <c:pt idx="6">
                  <c:v>Minimalist</c:v>
                </c:pt>
                <c:pt idx="7">
                  <c:v>Nykaa Cosmetics</c:v>
                </c:pt>
                <c:pt idx="8">
                  <c:v>Plum</c:v>
                </c:pt>
                <c:pt idx="9">
                  <c:v>Sugar Cosmetics</c:v>
                </c:pt>
                <c:pt idx="10">
                  <c:v>The Body Shop</c:v>
                </c:pt>
                <c:pt idx="11">
                  <c:v>Wow Skin Science</c:v>
                </c:pt>
              </c:strCache>
            </c:strRef>
          </c:cat>
          <c:val>
            <c:numRef>
              <c:f>PVIOTS!$D$70:$D$82</c:f>
              <c:numCache>
                <c:formatCode>"₹"\ #,##0.0</c:formatCode>
                <c:ptCount val="12"/>
                <c:pt idx="0">
                  <c:v>28658</c:v>
                </c:pt>
                <c:pt idx="1">
                  <c:v>29959</c:v>
                </c:pt>
                <c:pt idx="2">
                  <c:v>27262</c:v>
                </c:pt>
                <c:pt idx="3">
                  <c:v>30644</c:v>
                </c:pt>
                <c:pt idx="4">
                  <c:v>32475</c:v>
                </c:pt>
                <c:pt idx="5">
                  <c:v>24770</c:v>
                </c:pt>
                <c:pt idx="6">
                  <c:v>30844</c:v>
                </c:pt>
                <c:pt idx="7">
                  <c:v>22926</c:v>
                </c:pt>
                <c:pt idx="8">
                  <c:v>26342</c:v>
                </c:pt>
                <c:pt idx="9">
                  <c:v>25314</c:v>
                </c:pt>
                <c:pt idx="10">
                  <c:v>27497</c:v>
                </c:pt>
                <c:pt idx="11">
                  <c:v>32158</c:v>
                </c:pt>
              </c:numCache>
            </c:numRef>
          </c:val>
          <c:smooth val="0"/>
          <c:extLst>
            <c:ext xmlns:c16="http://schemas.microsoft.com/office/drawing/2014/chart" uri="{C3380CC4-5D6E-409C-BE32-E72D297353CC}">
              <c16:uniqueId val="{00000001-7827-4450-A4CE-B5D784F2EE29}"/>
            </c:ext>
          </c:extLst>
        </c:ser>
        <c:dLbls>
          <c:showLegendKey val="0"/>
          <c:showVal val="0"/>
          <c:showCatName val="0"/>
          <c:showSerName val="0"/>
          <c:showPercent val="0"/>
          <c:showBubbleSize val="0"/>
        </c:dLbls>
        <c:marker val="1"/>
        <c:smooth val="0"/>
        <c:axId val="1200211503"/>
        <c:axId val="1032093647"/>
      </c:lineChart>
      <c:catAx>
        <c:axId val="120022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2070127"/>
        <c:crosses val="autoZero"/>
        <c:auto val="1"/>
        <c:lblAlgn val="ctr"/>
        <c:lblOffset val="100"/>
        <c:noMultiLvlLbl val="0"/>
      </c:catAx>
      <c:valAx>
        <c:axId val="10320701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19050" cap="flat" cmpd="sng" algn="ctr">
            <a:solidFill>
              <a:schemeClr val="dk1"/>
            </a:solidFill>
            <a:prstDash val="dash"/>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0227743"/>
        <c:crosses val="autoZero"/>
        <c:crossBetween val="between"/>
      </c:valAx>
      <c:valAx>
        <c:axId val="1032093647"/>
        <c:scaling>
          <c:orientation val="minMax"/>
        </c:scaling>
        <c:delete val="0"/>
        <c:axPos val="r"/>
        <c:numFmt formatCode="&quot;₹&quot;\ #,##0.0" sourceLinked="1"/>
        <c:majorTickMark val="out"/>
        <c:minorTickMark val="none"/>
        <c:tickLblPos val="nextTo"/>
        <c:spPr>
          <a:noFill/>
          <a:ln w="19050" cap="flat" cmpd="sng" algn="ctr">
            <a:solidFill>
              <a:schemeClr val="dk1"/>
            </a:solidFill>
            <a:prstDash val="dash"/>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0211503"/>
        <c:crosses val="max"/>
        <c:crossBetween val="between"/>
      </c:valAx>
      <c:catAx>
        <c:axId val="1200211503"/>
        <c:scaling>
          <c:orientation val="minMax"/>
        </c:scaling>
        <c:delete val="1"/>
        <c:axPos val="b"/>
        <c:numFmt formatCode="General" sourceLinked="1"/>
        <c:majorTickMark val="out"/>
        <c:minorTickMark val="none"/>
        <c:tickLblPos val="nextTo"/>
        <c:crossAx val="1032093647"/>
        <c:crosses val="autoZero"/>
        <c:auto val="1"/>
        <c:lblAlgn val="ctr"/>
        <c:lblOffset val="100"/>
        <c:noMultiLvlLbl val="0"/>
      </c:catAx>
      <c:spPr>
        <a:noFill/>
        <a:ln>
          <a:noFill/>
        </a:ln>
        <a:effectLst/>
      </c:spPr>
    </c:plotArea>
    <c:legend>
      <c:legendPos val="r"/>
      <c:overlay val="0"/>
      <c:spPr>
        <a:solidFill>
          <a:schemeClr val="lt1"/>
        </a:solid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rgbClr val="FFCC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Best-Selling Products</a:t>
            </a:r>
          </a:p>
        </c:rich>
      </c:tx>
      <c:layout>
        <c:manualLayout>
          <c:xMode val="edge"/>
          <c:yMode val="edge"/>
          <c:x val="0.40892825593326992"/>
          <c:y val="6.82735875787901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PVIOTS!$C$88</c:f>
              <c:strCache>
                <c:ptCount val="1"/>
                <c:pt idx="0">
                  <c:v>Total</c:v>
                </c:pt>
              </c:strCache>
            </c:strRef>
          </c:tx>
          <c:spPr>
            <a:solidFill>
              <a:srgbClr val="FF00FF"/>
            </a:solidFill>
            <a:ln>
              <a:noFill/>
            </a:ln>
            <a:effectLst/>
          </c:spPr>
          <c:invertIfNegative val="0"/>
          <c:cat>
            <c:strRef>
              <c:f>PVIOTS!$B$89:$B$99</c:f>
              <c:strCache>
                <c:ptCount val="10"/>
                <c:pt idx="0">
                  <c:v>Conditioner</c:v>
                </c:pt>
                <c:pt idx="1">
                  <c:v>Deodorant</c:v>
                </c:pt>
                <c:pt idx="2">
                  <c:v>Face Roller</c:v>
                </c:pt>
                <c:pt idx="3">
                  <c:v>Trimmer</c:v>
                </c:pt>
                <c:pt idx="4">
                  <c:v>Perfume</c:v>
                </c:pt>
                <c:pt idx="5">
                  <c:v>Body Mist</c:v>
                </c:pt>
                <c:pt idx="6">
                  <c:v>Body Wash</c:v>
                </c:pt>
                <c:pt idx="7">
                  <c:v>Bath Salt</c:v>
                </c:pt>
                <c:pt idx="8">
                  <c:v>Body Lotion</c:v>
                </c:pt>
                <c:pt idx="9">
                  <c:v>Hair Dryer</c:v>
                </c:pt>
              </c:strCache>
            </c:strRef>
          </c:cat>
          <c:val>
            <c:numRef>
              <c:f>PVIOTS!$C$89:$C$99</c:f>
              <c:numCache>
                <c:formatCode>General</c:formatCode>
                <c:ptCount val="10"/>
                <c:pt idx="0">
                  <c:v>111</c:v>
                </c:pt>
                <c:pt idx="1">
                  <c:v>112</c:v>
                </c:pt>
                <c:pt idx="2">
                  <c:v>112</c:v>
                </c:pt>
                <c:pt idx="3">
                  <c:v>126</c:v>
                </c:pt>
                <c:pt idx="4">
                  <c:v>128</c:v>
                </c:pt>
                <c:pt idx="5">
                  <c:v>134</c:v>
                </c:pt>
                <c:pt idx="6">
                  <c:v>140</c:v>
                </c:pt>
                <c:pt idx="7">
                  <c:v>141</c:v>
                </c:pt>
                <c:pt idx="8">
                  <c:v>146</c:v>
                </c:pt>
                <c:pt idx="9">
                  <c:v>148</c:v>
                </c:pt>
              </c:numCache>
            </c:numRef>
          </c:val>
          <c:extLst>
            <c:ext xmlns:c16="http://schemas.microsoft.com/office/drawing/2014/chart" uri="{C3380CC4-5D6E-409C-BE32-E72D297353CC}">
              <c16:uniqueId val="{00000000-555F-40F8-A0A7-779ED5B13BB3}"/>
            </c:ext>
          </c:extLst>
        </c:ser>
        <c:dLbls>
          <c:showLegendKey val="0"/>
          <c:showVal val="0"/>
          <c:showCatName val="0"/>
          <c:showSerName val="0"/>
          <c:showPercent val="0"/>
          <c:showBubbleSize val="0"/>
        </c:dLbls>
        <c:gapWidth val="182"/>
        <c:axId val="1205127199"/>
        <c:axId val="1032064847"/>
      </c:barChart>
      <c:catAx>
        <c:axId val="12051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2064847"/>
        <c:crosses val="autoZero"/>
        <c:auto val="1"/>
        <c:lblAlgn val="ctr"/>
        <c:lblOffset val="100"/>
        <c:noMultiLvlLbl val="0"/>
      </c:catAx>
      <c:valAx>
        <c:axId val="1032064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no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5127199"/>
        <c:crosses val="autoZero"/>
        <c:crossBetween val="between"/>
      </c:valAx>
      <c:spPr>
        <a:noFill/>
        <a:ln>
          <a:noFill/>
        </a:ln>
        <a:effectLst/>
      </c:spPr>
    </c:plotArea>
    <c:legend>
      <c:legendPos val="r"/>
      <c:overlay val="0"/>
      <c:spPr>
        <a:solidFill>
          <a:schemeClr val="lt1"/>
        </a:solid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rgbClr val="FFCC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Segment Revenue Analysis</a:t>
            </a:r>
          </a:p>
        </c:rich>
      </c:tx>
      <c:layout>
        <c:manualLayout>
          <c:xMode val="edge"/>
          <c:yMode val="edge"/>
          <c:x val="0.3449913565723377"/>
          <c:y val="7.0397615649516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FF"/>
          </a:solidFill>
          <a:ln>
            <a:solidFill>
              <a:srgbClr val="FF33C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PVIOTS!$C$23</c:f>
              <c:strCache>
                <c:ptCount val="1"/>
                <c:pt idx="0">
                  <c:v>Total</c:v>
                </c:pt>
              </c:strCache>
            </c:strRef>
          </c:tx>
          <c:spPr>
            <a:solidFill>
              <a:srgbClr val="FF00FF"/>
            </a:solidFill>
            <a:ln>
              <a:solidFill>
                <a:srgbClr val="FF33CC"/>
              </a:solidFill>
            </a:ln>
            <a:effectLst/>
          </c:spPr>
          <c:invertIfNegative val="0"/>
          <c:cat>
            <c:strRef>
              <c:f>PVIOTS!$B$24:$B$27</c:f>
              <c:strCache>
                <c:ptCount val="3"/>
                <c:pt idx="0">
                  <c:v>New Customer</c:v>
                </c:pt>
                <c:pt idx="1">
                  <c:v>Premium Member</c:v>
                </c:pt>
                <c:pt idx="2">
                  <c:v>Repeat Customer</c:v>
                </c:pt>
              </c:strCache>
            </c:strRef>
          </c:cat>
          <c:val>
            <c:numRef>
              <c:f>PVIOTS!$C$24:$C$27</c:f>
              <c:numCache>
                <c:formatCode>General</c:formatCode>
                <c:ptCount val="3"/>
                <c:pt idx="0">
                  <c:v>780722</c:v>
                </c:pt>
                <c:pt idx="1">
                  <c:v>294093</c:v>
                </c:pt>
                <c:pt idx="2">
                  <c:v>831831</c:v>
                </c:pt>
              </c:numCache>
            </c:numRef>
          </c:val>
          <c:extLst>
            <c:ext xmlns:c16="http://schemas.microsoft.com/office/drawing/2014/chart" uri="{C3380CC4-5D6E-409C-BE32-E72D297353CC}">
              <c16:uniqueId val="{00000000-E12D-4603-ABF1-8328C15E5BC4}"/>
            </c:ext>
          </c:extLst>
        </c:ser>
        <c:dLbls>
          <c:showLegendKey val="0"/>
          <c:showVal val="0"/>
          <c:showCatName val="0"/>
          <c:showSerName val="0"/>
          <c:showPercent val="0"/>
          <c:showBubbleSize val="0"/>
        </c:dLbls>
        <c:gapWidth val="219"/>
        <c:overlap val="-27"/>
        <c:axId val="1171254991"/>
        <c:axId val="1032061487"/>
      </c:barChart>
      <c:catAx>
        <c:axId val="117125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2061487"/>
        <c:crosses val="autoZero"/>
        <c:auto val="1"/>
        <c:lblAlgn val="ctr"/>
        <c:lblOffset val="100"/>
        <c:noMultiLvlLbl val="0"/>
      </c:catAx>
      <c:valAx>
        <c:axId val="103206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no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1254991"/>
        <c:crosses val="autoZero"/>
        <c:crossBetween val="between"/>
      </c:valAx>
      <c:spPr>
        <a:noFill/>
        <a:ln>
          <a:noFill/>
        </a:ln>
        <a:effectLst/>
      </c:spPr>
    </c:plotArea>
    <c:legend>
      <c:legendPos val="r"/>
      <c:overlay val="0"/>
      <c:spPr>
        <a:solidFill>
          <a:schemeClr val="lt1"/>
        </a:solid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rgbClr val="FFCC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a:t>Payment Method Distribution</a:t>
            </a:r>
          </a:p>
        </c:rich>
      </c:tx>
      <c:layout>
        <c:manualLayout>
          <c:xMode val="edge"/>
          <c:yMode val="edge"/>
          <c:x val="0.34082622326131268"/>
          <c:y val="4.8600386957061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CFF"/>
          </a:solidFill>
          <a:ln w="19050">
            <a:solidFill>
              <a:schemeClr val="lt1"/>
            </a:solidFill>
          </a:ln>
          <a:effectLst/>
        </c:spPr>
        <c:dLbl>
          <c:idx val="0"/>
          <c:layout>
            <c:manualLayout>
              <c:x val="8.1976913063591172E-2"/>
              <c:y val="-7.6136886999317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00CC"/>
          </a:solidFill>
          <a:ln w="19050">
            <a:solidFill>
              <a:schemeClr val="lt1"/>
            </a:solidFill>
          </a:ln>
          <a:effectLst/>
        </c:spPr>
        <c:dLbl>
          <c:idx val="0"/>
          <c:layout>
            <c:manualLayout>
              <c:x val="0.10019400485550045"/>
              <c:y val="5.822232535241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FF"/>
          </a:solidFill>
          <a:ln w="19050">
            <a:solidFill>
              <a:schemeClr val="lt1"/>
            </a:solidFill>
          </a:ln>
          <a:effectLst/>
        </c:spPr>
        <c:dLbl>
          <c:idx val="0"/>
          <c:layout>
            <c:manualLayout>
              <c:x val="-9.108545895954584E-2"/>
              <c:y val="8.06155274110425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66FF"/>
          </a:solidFill>
          <a:ln w="19050">
            <a:solidFill>
              <a:schemeClr val="lt1"/>
            </a:solidFill>
          </a:ln>
          <a:effectLst/>
        </c:spPr>
        <c:dLbl>
          <c:idx val="0"/>
          <c:layout>
            <c:manualLayout>
              <c:x val="-0.11233873271677325"/>
              <c:y val="4.92650445289704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99FF"/>
          </a:solidFill>
          <a:ln w="19050">
            <a:solidFill>
              <a:schemeClr val="lt1"/>
            </a:solidFill>
          </a:ln>
          <a:effectLst/>
        </c:spPr>
        <c:dLbl>
          <c:idx val="0"/>
          <c:layout>
            <c:manualLayout>
              <c:x val="-8.8049276994227654E-2"/>
              <c:y val="-8.0615527411042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PVIOTS!$C$32</c:f>
              <c:strCache>
                <c:ptCount val="1"/>
                <c:pt idx="0">
                  <c:v>Total</c:v>
                </c:pt>
              </c:strCache>
            </c:strRef>
          </c:tx>
          <c:dPt>
            <c:idx val="0"/>
            <c:bubble3D val="0"/>
            <c:spPr>
              <a:solidFill>
                <a:srgbClr val="FFCCFF"/>
              </a:solidFill>
              <a:ln w="19050">
                <a:solidFill>
                  <a:schemeClr val="lt1"/>
                </a:solidFill>
              </a:ln>
              <a:effectLst/>
            </c:spPr>
            <c:extLst>
              <c:ext xmlns:c16="http://schemas.microsoft.com/office/drawing/2014/chart" uri="{C3380CC4-5D6E-409C-BE32-E72D297353CC}">
                <c16:uniqueId val="{00000001-9FEE-43D7-9A86-C4FE3D62D975}"/>
              </c:ext>
            </c:extLst>
          </c:dPt>
          <c:dPt>
            <c:idx val="1"/>
            <c:bubble3D val="0"/>
            <c:spPr>
              <a:solidFill>
                <a:srgbClr val="CC00CC"/>
              </a:solidFill>
              <a:ln w="19050">
                <a:solidFill>
                  <a:schemeClr val="lt1"/>
                </a:solidFill>
              </a:ln>
              <a:effectLst/>
            </c:spPr>
            <c:extLst>
              <c:ext xmlns:c16="http://schemas.microsoft.com/office/drawing/2014/chart" uri="{C3380CC4-5D6E-409C-BE32-E72D297353CC}">
                <c16:uniqueId val="{00000003-9FEE-43D7-9A86-C4FE3D62D975}"/>
              </c:ext>
            </c:extLst>
          </c:dPt>
          <c:dPt>
            <c:idx val="2"/>
            <c:bubble3D val="0"/>
            <c:spPr>
              <a:solidFill>
                <a:srgbClr val="FF00FF"/>
              </a:solidFill>
              <a:ln w="19050">
                <a:solidFill>
                  <a:schemeClr val="lt1"/>
                </a:solidFill>
              </a:ln>
              <a:effectLst/>
            </c:spPr>
            <c:extLst>
              <c:ext xmlns:c16="http://schemas.microsoft.com/office/drawing/2014/chart" uri="{C3380CC4-5D6E-409C-BE32-E72D297353CC}">
                <c16:uniqueId val="{00000005-9FEE-43D7-9A86-C4FE3D62D975}"/>
              </c:ext>
            </c:extLst>
          </c:dPt>
          <c:dPt>
            <c:idx val="3"/>
            <c:bubble3D val="0"/>
            <c:spPr>
              <a:solidFill>
                <a:srgbClr val="FF66FF"/>
              </a:solidFill>
              <a:ln w="19050">
                <a:solidFill>
                  <a:schemeClr val="lt1"/>
                </a:solidFill>
              </a:ln>
              <a:effectLst/>
            </c:spPr>
            <c:extLst>
              <c:ext xmlns:c16="http://schemas.microsoft.com/office/drawing/2014/chart" uri="{C3380CC4-5D6E-409C-BE32-E72D297353CC}">
                <c16:uniqueId val="{00000007-9FEE-43D7-9A86-C4FE3D62D975}"/>
              </c:ext>
            </c:extLst>
          </c:dPt>
          <c:dPt>
            <c:idx val="4"/>
            <c:bubble3D val="0"/>
            <c:spPr>
              <a:solidFill>
                <a:srgbClr val="FF99FF"/>
              </a:solidFill>
              <a:ln w="19050">
                <a:solidFill>
                  <a:schemeClr val="lt1"/>
                </a:solidFill>
              </a:ln>
              <a:effectLst/>
            </c:spPr>
            <c:extLst>
              <c:ext xmlns:c16="http://schemas.microsoft.com/office/drawing/2014/chart" uri="{C3380CC4-5D6E-409C-BE32-E72D297353CC}">
                <c16:uniqueId val="{00000009-9FEE-43D7-9A86-C4FE3D62D975}"/>
              </c:ext>
            </c:extLst>
          </c:dPt>
          <c:dLbls>
            <c:dLbl>
              <c:idx val="0"/>
              <c:layout>
                <c:manualLayout>
                  <c:x val="8.1976913063591172E-2"/>
                  <c:y val="-7.6136886999317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EE-43D7-9A86-C4FE3D62D975}"/>
                </c:ext>
              </c:extLst>
            </c:dLbl>
            <c:dLbl>
              <c:idx val="1"/>
              <c:layout>
                <c:manualLayout>
                  <c:x val="0.10019400485550045"/>
                  <c:y val="5.8222325352419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EE-43D7-9A86-C4FE3D62D975}"/>
                </c:ext>
              </c:extLst>
            </c:dLbl>
            <c:dLbl>
              <c:idx val="2"/>
              <c:layout>
                <c:manualLayout>
                  <c:x val="-9.108545895954584E-2"/>
                  <c:y val="8.0615527411042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EE-43D7-9A86-C4FE3D62D975}"/>
                </c:ext>
              </c:extLst>
            </c:dLbl>
            <c:dLbl>
              <c:idx val="3"/>
              <c:layout>
                <c:manualLayout>
                  <c:x val="-0.11233873271677325"/>
                  <c:y val="4.9265044528970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EE-43D7-9A86-C4FE3D62D975}"/>
                </c:ext>
              </c:extLst>
            </c:dLbl>
            <c:dLbl>
              <c:idx val="4"/>
              <c:layout>
                <c:manualLayout>
                  <c:x val="-8.8049276994227654E-2"/>
                  <c:y val="-8.0615527411042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FEE-43D7-9A86-C4FE3D62D9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PVIOTS!$B$33:$B$38</c:f>
              <c:strCache>
                <c:ptCount val="5"/>
                <c:pt idx="0">
                  <c:v>COD</c:v>
                </c:pt>
                <c:pt idx="1">
                  <c:v>Credit Card</c:v>
                </c:pt>
                <c:pt idx="2">
                  <c:v>Debit Card</c:v>
                </c:pt>
                <c:pt idx="3">
                  <c:v>UPI</c:v>
                </c:pt>
                <c:pt idx="4">
                  <c:v>Wallet</c:v>
                </c:pt>
              </c:strCache>
            </c:strRef>
          </c:cat>
          <c:val>
            <c:numRef>
              <c:f>PVIOTS!$C$33:$C$38</c:f>
              <c:numCache>
                <c:formatCode>General</c:formatCode>
                <c:ptCount val="5"/>
                <c:pt idx="0">
                  <c:v>400803</c:v>
                </c:pt>
                <c:pt idx="1">
                  <c:v>365038</c:v>
                </c:pt>
                <c:pt idx="2">
                  <c:v>352917</c:v>
                </c:pt>
                <c:pt idx="3">
                  <c:v>361406</c:v>
                </c:pt>
                <c:pt idx="4">
                  <c:v>426482</c:v>
                </c:pt>
              </c:numCache>
            </c:numRef>
          </c:val>
          <c:extLst>
            <c:ext xmlns:c16="http://schemas.microsoft.com/office/drawing/2014/chart" uri="{C3380CC4-5D6E-409C-BE32-E72D297353CC}">
              <c16:uniqueId val="{0000000A-9FEE-43D7-9A86-C4FE3D62D9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lt1"/>
        </a:solid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rgbClr val="FFCC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Brand-wise Customer Satisfaction</a:t>
            </a:r>
          </a:p>
        </c:rich>
      </c:tx>
      <c:layout>
        <c:manualLayout>
          <c:xMode val="edge"/>
          <c:yMode val="edge"/>
          <c:x val="0.40783560880564224"/>
          <c:y val="7.00487684839265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FF"/>
          </a:solidFill>
          <a:ln>
            <a:solidFill>
              <a:srgbClr val="FFCC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PVIOTS!$C$51</c:f>
              <c:strCache>
                <c:ptCount val="1"/>
                <c:pt idx="0">
                  <c:v>Total</c:v>
                </c:pt>
              </c:strCache>
            </c:strRef>
          </c:tx>
          <c:spPr>
            <a:solidFill>
              <a:srgbClr val="FF00FF"/>
            </a:solidFill>
            <a:ln>
              <a:solidFill>
                <a:srgbClr val="FFCCFF"/>
              </a:solidFill>
            </a:ln>
            <a:effectLst/>
          </c:spPr>
          <c:invertIfNegative val="0"/>
          <c:cat>
            <c:strRef>
              <c:f>PVIOTS!$B$52:$B$64</c:f>
              <c:strCache>
                <c:ptCount val="12"/>
                <c:pt idx="0">
                  <c:v>Biotique</c:v>
                </c:pt>
                <c:pt idx="1">
                  <c:v>Dot &amp; Key</c:v>
                </c:pt>
                <c:pt idx="2">
                  <c:v>Lakme</c:v>
                </c:pt>
                <c:pt idx="3">
                  <c:v>L'Oreal Paris</c:v>
                </c:pt>
                <c:pt idx="4">
                  <c:v>MamaEarth</c:v>
                </c:pt>
                <c:pt idx="5">
                  <c:v>Maybelline</c:v>
                </c:pt>
                <c:pt idx="6">
                  <c:v>Minimalist</c:v>
                </c:pt>
                <c:pt idx="7">
                  <c:v>Nykaa Cosmetics</c:v>
                </c:pt>
                <c:pt idx="8">
                  <c:v>Plum</c:v>
                </c:pt>
                <c:pt idx="9">
                  <c:v>Sugar Cosmetics</c:v>
                </c:pt>
                <c:pt idx="10">
                  <c:v>The Body Shop</c:v>
                </c:pt>
                <c:pt idx="11">
                  <c:v>Wow Skin Science</c:v>
                </c:pt>
              </c:strCache>
            </c:strRef>
          </c:cat>
          <c:val>
            <c:numRef>
              <c:f>PVIOTS!$C$52:$C$64</c:f>
              <c:numCache>
                <c:formatCode>0.0</c:formatCode>
                <c:ptCount val="12"/>
                <c:pt idx="0">
                  <c:v>4.1018181818181816</c:v>
                </c:pt>
                <c:pt idx="1">
                  <c:v>4.1017857142857137</c:v>
                </c:pt>
                <c:pt idx="2">
                  <c:v>4.0514285714285707</c:v>
                </c:pt>
                <c:pt idx="3">
                  <c:v>4.2014285714285711</c:v>
                </c:pt>
                <c:pt idx="4">
                  <c:v>4.1513513513513516</c:v>
                </c:pt>
                <c:pt idx="5">
                  <c:v>4.125</c:v>
                </c:pt>
                <c:pt idx="6">
                  <c:v>4.1344262295081977</c:v>
                </c:pt>
                <c:pt idx="7">
                  <c:v>4.011111111111112</c:v>
                </c:pt>
                <c:pt idx="8">
                  <c:v>4.1875000000000009</c:v>
                </c:pt>
                <c:pt idx="9">
                  <c:v>4.1049180327868857</c:v>
                </c:pt>
                <c:pt idx="10">
                  <c:v>4.1472727272727266</c:v>
                </c:pt>
                <c:pt idx="11">
                  <c:v>4.3014492753623186</c:v>
                </c:pt>
              </c:numCache>
            </c:numRef>
          </c:val>
          <c:extLst>
            <c:ext xmlns:c16="http://schemas.microsoft.com/office/drawing/2014/chart" uri="{C3380CC4-5D6E-409C-BE32-E72D297353CC}">
              <c16:uniqueId val="{00000000-0F7C-4A37-BFE2-03FDB03A03F7}"/>
            </c:ext>
          </c:extLst>
        </c:ser>
        <c:dLbls>
          <c:showLegendKey val="0"/>
          <c:showVal val="0"/>
          <c:showCatName val="0"/>
          <c:showSerName val="0"/>
          <c:showPercent val="0"/>
          <c:showBubbleSize val="0"/>
        </c:dLbls>
        <c:gapWidth val="182"/>
        <c:axId val="1016404575"/>
        <c:axId val="1032079727"/>
      </c:barChart>
      <c:catAx>
        <c:axId val="101640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2079727"/>
        <c:crosses val="autoZero"/>
        <c:auto val="1"/>
        <c:lblAlgn val="ctr"/>
        <c:lblOffset val="100"/>
        <c:noMultiLvlLbl val="0"/>
      </c:catAx>
      <c:valAx>
        <c:axId val="103207972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no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6404575"/>
        <c:crosses val="autoZero"/>
        <c:crossBetween val="between"/>
      </c:valAx>
      <c:spPr>
        <a:noFill/>
        <a:ln>
          <a:noFill/>
        </a:ln>
        <a:effectLst/>
      </c:spPr>
    </c:plotArea>
    <c:legend>
      <c:legendPos val="r"/>
      <c:overlay val="0"/>
      <c:spPr>
        <a:solidFill>
          <a:schemeClr val="lt1"/>
        </a:solid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rgbClr val="FFCC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City-wise Net Sales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C00CC"/>
            </a:solidFill>
            <a:round/>
          </a:ln>
          <a:effectLst/>
        </c:spPr>
        <c:marker>
          <c:symbol val="none"/>
        </c:marker>
      </c:pivotFmt>
    </c:pivotFmts>
    <c:plotArea>
      <c:layout/>
      <c:radarChart>
        <c:radarStyle val="marker"/>
        <c:varyColors val="0"/>
        <c:ser>
          <c:idx val="0"/>
          <c:order val="0"/>
          <c:tx>
            <c:strRef>
              <c:f>PVIOTS!$C$104</c:f>
              <c:strCache>
                <c:ptCount val="1"/>
                <c:pt idx="0">
                  <c:v>Total</c:v>
                </c:pt>
              </c:strCache>
            </c:strRef>
          </c:tx>
          <c:spPr>
            <a:ln w="28575" cap="rnd">
              <a:solidFill>
                <a:srgbClr val="CC00CC"/>
              </a:solidFill>
              <a:round/>
            </a:ln>
            <a:effectLst/>
          </c:spPr>
          <c:marker>
            <c:symbol val="none"/>
          </c:marker>
          <c:cat>
            <c:strRef>
              <c:f>PVIOTS!$B$105:$B$115</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PVIOTS!$C$105:$C$115</c:f>
              <c:numCache>
                <c:formatCode>General</c:formatCode>
                <c:ptCount val="10"/>
                <c:pt idx="0">
                  <c:v>198196</c:v>
                </c:pt>
                <c:pt idx="1">
                  <c:v>224419</c:v>
                </c:pt>
                <c:pt idx="2">
                  <c:v>168904</c:v>
                </c:pt>
                <c:pt idx="3">
                  <c:v>207127</c:v>
                </c:pt>
                <c:pt idx="4">
                  <c:v>194306</c:v>
                </c:pt>
                <c:pt idx="5">
                  <c:v>180344</c:v>
                </c:pt>
                <c:pt idx="6">
                  <c:v>182351</c:v>
                </c:pt>
                <c:pt idx="7">
                  <c:v>224405</c:v>
                </c:pt>
                <c:pt idx="8">
                  <c:v>154242</c:v>
                </c:pt>
                <c:pt idx="9">
                  <c:v>172352</c:v>
                </c:pt>
              </c:numCache>
            </c:numRef>
          </c:val>
          <c:extLst>
            <c:ext xmlns:c16="http://schemas.microsoft.com/office/drawing/2014/chart" uri="{C3380CC4-5D6E-409C-BE32-E72D297353CC}">
              <c16:uniqueId val="{00000000-8BBF-4ADC-9235-ED45EC9A93FD}"/>
            </c:ext>
          </c:extLst>
        </c:ser>
        <c:dLbls>
          <c:showLegendKey val="0"/>
          <c:showVal val="0"/>
          <c:showCatName val="0"/>
          <c:showSerName val="0"/>
          <c:showPercent val="0"/>
          <c:showBubbleSize val="0"/>
        </c:dLbls>
        <c:axId val="1205166639"/>
        <c:axId val="1012655855"/>
      </c:radarChart>
      <c:catAx>
        <c:axId val="120516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2655855"/>
        <c:crosses val="autoZero"/>
        <c:auto val="1"/>
        <c:lblAlgn val="ctr"/>
        <c:lblOffset val="100"/>
        <c:noMultiLvlLbl val="0"/>
      </c:catAx>
      <c:valAx>
        <c:axId val="1012655855"/>
        <c:scaling>
          <c:orientation val="minMax"/>
        </c:scaling>
        <c:delete val="0"/>
        <c:axPos val="l"/>
        <c:majorGridlines>
          <c:spPr>
            <a:ln w="9525" cap="flat" cmpd="sng" algn="ctr">
              <a:solidFill>
                <a:srgbClr val="FF00FF"/>
              </a:solidFill>
              <a:round/>
            </a:ln>
            <a:effectLst/>
          </c:spPr>
        </c:majorGridlines>
        <c:numFmt formatCode="General" sourceLinked="1"/>
        <c:majorTickMark val="none"/>
        <c:minorTickMark val="none"/>
        <c:tickLblPos val="nextTo"/>
        <c:spPr>
          <a:noFill/>
          <a:ln w="9525" cap="flat" cmpd="sng" algn="ctr">
            <a:no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5166639"/>
        <c:crosses val="autoZero"/>
        <c:crossBetween val="between"/>
      </c:valAx>
      <c:spPr>
        <a:noFill/>
        <a:ln>
          <a:noFill/>
        </a:ln>
        <a:effectLst/>
      </c:spPr>
    </c:plotArea>
    <c:legend>
      <c:legendPos val="r"/>
      <c:overlay val="0"/>
      <c:spPr>
        <a:solidFill>
          <a:schemeClr val="lt1"/>
        </a:solid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rgbClr val="FFCC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[Nykaa_Sales_Dashboard.xlsx]PVIOTS!PivotTable6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Return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rgbClr val="FF33CC"/>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33CC"/>
          </a:solidFill>
          <a:ln w="25400">
            <a:solidFill>
              <a:schemeClr val="lt1"/>
            </a:solidFill>
          </a:ln>
          <a:effectLst/>
          <a:sp3d contourW="25400">
            <a:contourClr>
              <a:schemeClr val="lt1"/>
            </a:contourClr>
          </a:sp3d>
        </c:spPr>
      </c:pivotFmt>
      <c:pivotFmt>
        <c:idx val="8"/>
        <c:spPr>
          <a:solidFill>
            <a:srgbClr val="FF33CC"/>
          </a:solidFill>
          <a:ln w="25400">
            <a:solidFill>
              <a:schemeClr val="lt1"/>
            </a:solidFill>
          </a:ln>
          <a:effectLst/>
          <a:sp3d contourW="25400">
            <a:contourClr>
              <a:schemeClr val="lt1"/>
            </a:contourClr>
          </a:sp3d>
        </c:spPr>
      </c:pivotFmt>
    </c:pivotFmts>
    <c:view3D>
      <c:rotX val="15"/>
      <c:rotY val="20"/>
      <c:rAngAx val="0"/>
    </c:view3D>
    <c:floor>
      <c:thickness val="0"/>
      <c:spPr>
        <a:noFill/>
        <a:ln>
          <a:noFill/>
        </a:ln>
        <a:effectLst/>
        <a:sp3d/>
      </c:spPr>
    </c:floor>
    <c:sideWall>
      <c:thickness val="0"/>
      <c:spPr>
        <a:noFill/>
        <a:ln w="9525" cap="flat" cmpd="sng" algn="ctr">
          <a:solidFill>
            <a:schemeClr val="dk1"/>
          </a:solidFill>
          <a:prstDash val="solid"/>
          <a:round/>
          <a:headEnd type="none" w="med" len="med"/>
          <a:tailEnd type="none" w="med" len="med"/>
        </a:ln>
        <a:effectLst/>
        <a:sp3d contourW="9525">
          <a:contourClr>
            <a:schemeClr val="dk1"/>
          </a:contourClr>
        </a:sp3d>
      </c:spPr>
    </c:sideWall>
    <c:backWall>
      <c:thickness val="0"/>
      <c:spPr>
        <a:noFill/>
        <a:ln w="9525" cap="flat" cmpd="sng" algn="ctr">
          <a:solidFill>
            <a:schemeClr val="dk1"/>
          </a:solidFill>
          <a:prstDash val="solid"/>
          <a:round/>
          <a:headEnd type="none" w="med" len="med"/>
          <a:tailEnd type="none" w="med" len="med"/>
        </a:ln>
        <a:effectLst/>
        <a:sp3d contourW="9525">
          <a:contourClr>
            <a:schemeClr val="dk1"/>
          </a:contourClr>
        </a:sp3d>
      </c:spPr>
    </c:backWall>
    <c:plotArea>
      <c:layout/>
      <c:bar3DChart>
        <c:barDir val="col"/>
        <c:grouping val="stacked"/>
        <c:varyColors val="0"/>
        <c:ser>
          <c:idx val="0"/>
          <c:order val="0"/>
          <c:tx>
            <c:strRef>
              <c:f>PVIOTS!$C$43</c:f>
              <c:strCache>
                <c:ptCount val="1"/>
                <c:pt idx="0">
                  <c:v>Total</c:v>
                </c:pt>
              </c:strCache>
            </c:strRef>
          </c:tx>
          <c:spPr>
            <a:solidFill>
              <a:srgbClr val="FF33CC"/>
            </a:solidFill>
            <a:ln w="25400">
              <a:solidFill>
                <a:schemeClr val="lt1"/>
              </a:solidFill>
            </a:ln>
            <a:effectLst/>
            <a:sp3d contourW="25400">
              <a:contourClr>
                <a:schemeClr val="lt1"/>
              </a:contourClr>
            </a:sp3d>
          </c:spPr>
          <c:invertIfNegative val="0"/>
          <c:dPt>
            <c:idx val="0"/>
            <c:invertIfNegative val="0"/>
            <c:bubble3D val="0"/>
            <c:spPr>
              <a:solidFill>
                <a:srgbClr val="FF33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4D54-4E65-BE12-D70A76F0632F}"/>
              </c:ext>
            </c:extLst>
          </c:dPt>
          <c:dPt>
            <c:idx val="1"/>
            <c:invertIfNegative val="0"/>
            <c:bubble3D val="0"/>
            <c:spPr>
              <a:solidFill>
                <a:srgbClr val="FF33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4D54-4E65-BE12-D70A76F0632F}"/>
              </c:ext>
            </c:extLst>
          </c:dPt>
          <c:cat>
            <c:strRef>
              <c:f>PVIOTS!$B$44:$B$46</c:f>
              <c:strCache>
                <c:ptCount val="2"/>
                <c:pt idx="0">
                  <c:v>No</c:v>
                </c:pt>
                <c:pt idx="1">
                  <c:v>Yes</c:v>
                </c:pt>
              </c:strCache>
            </c:strRef>
          </c:cat>
          <c:val>
            <c:numRef>
              <c:f>PVIOTS!$C$44:$C$46</c:f>
              <c:numCache>
                <c:formatCode>General</c:formatCode>
                <c:ptCount val="2"/>
                <c:pt idx="0">
                  <c:v>695</c:v>
                </c:pt>
                <c:pt idx="1">
                  <c:v>55</c:v>
                </c:pt>
              </c:numCache>
            </c:numRef>
          </c:val>
          <c:extLst>
            <c:ext xmlns:c16="http://schemas.microsoft.com/office/drawing/2014/chart" uri="{C3380CC4-5D6E-409C-BE32-E72D297353CC}">
              <c16:uniqueId val="{00000004-4D54-4E65-BE12-D70A76F0632F}"/>
            </c:ext>
          </c:extLst>
        </c:ser>
        <c:dLbls>
          <c:showLegendKey val="0"/>
          <c:showVal val="0"/>
          <c:showCatName val="0"/>
          <c:showSerName val="0"/>
          <c:showPercent val="0"/>
          <c:showBubbleSize val="0"/>
        </c:dLbls>
        <c:gapWidth val="100"/>
        <c:shape val="box"/>
        <c:axId val="1188482272"/>
        <c:axId val="1260319472"/>
        <c:axId val="0"/>
      </c:bar3DChart>
      <c:catAx>
        <c:axId val="118848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0319472"/>
        <c:crosses val="autoZero"/>
        <c:auto val="1"/>
        <c:lblAlgn val="ctr"/>
        <c:lblOffset val="100"/>
        <c:noMultiLvlLbl val="0"/>
      </c:catAx>
      <c:valAx>
        <c:axId val="126031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no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8482272"/>
        <c:crosses val="autoZero"/>
        <c:crossBetween val="between"/>
      </c:valAx>
      <c:spPr>
        <a:noFill/>
        <a:ln>
          <a:noFill/>
        </a:ln>
        <a:effectLst/>
      </c:spPr>
    </c:plotArea>
    <c:legend>
      <c:legendPos val="r"/>
      <c:overlay val="0"/>
      <c:spPr>
        <a:solidFill>
          <a:schemeClr val="lt1"/>
        </a:solidFill>
        <a:ln w="25400" cap="flat" cmpd="sng" algn="ctr">
          <a:no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rgbClr val="FFCC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Net Sales by Category</a:t>
            </a:r>
          </a:p>
        </c:rich>
      </c:tx>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D068-435D-9031-4359BF40FAA3}"/>
            </c:ext>
          </c:extLst>
        </c:ser>
        <c:dLbls>
          <c:showLegendKey val="0"/>
          <c:showVal val="0"/>
          <c:showCatName val="0"/>
          <c:showSerName val="0"/>
          <c:showPercent val="0"/>
          <c:showBubbleSize val="0"/>
        </c:dLbls>
        <c:gapWidth val="150"/>
        <c:axId val="56106094"/>
        <c:axId val="45635746"/>
      </c:barChart>
      <c:catAx>
        <c:axId val="561060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635746"/>
        <c:crosses val="autoZero"/>
        <c:auto val="1"/>
        <c:lblAlgn val="ctr"/>
        <c:lblOffset val="100"/>
        <c:noMultiLvlLbl val="0"/>
      </c:catAx>
      <c:valAx>
        <c:axId val="4563574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Net Sales (Rs)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10609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Share by Channel</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749C-484A-A6AD-420BEE25D07C}"/>
              </c:ext>
            </c:extLst>
          </c:dPt>
          <c:dPt>
            <c:idx val="1"/>
            <c:bubble3D val="0"/>
            <c:spPr>
              <a:solidFill>
                <a:srgbClr val="C0504D"/>
              </a:solidFill>
              <a:ln w="0">
                <a:noFill/>
              </a:ln>
            </c:spPr>
            <c:extLst>
              <c:ext xmlns:c16="http://schemas.microsoft.com/office/drawing/2014/chart" uri="{C3380CC4-5D6E-409C-BE32-E72D297353CC}">
                <c16:uniqueId val="{00000003-749C-484A-A6AD-420BEE25D07C}"/>
              </c:ext>
            </c:extLst>
          </c:dPt>
          <c:dPt>
            <c:idx val="2"/>
            <c:bubble3D val="0"/>
            <c:spPr>
              <a:solidFill>
                <a:srgbClr val="9BBB59"/>
              </a:solidFill>
              <a:ln w="0">
                <a:noFill/>
              </a:ln>
            </c:spPr>
            <c:extLst>
              <c:ext xmlns:c16="http://schemas.microsoft.com/office/drawing/2014/chart" uri="{C3380CC4-5D6E-409C-BE32-E72D297353CC}">
                <c16:uniqueId val="{00000005-749C-484A-A6AD-420BEE25D07C}"/>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49C-484A-A6AD-420BEE25D07C}"/>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49C-484A-A6AD-420BEE25D07C}"/>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49C-484A-A6AD-420BEE25D07C}"/>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6-749C-484A-A6AD-420BEE25D07C}"/>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Cities by Net Sales</a:t>
            </a:r>
          </a:p>
        </c:rich>
      </c:tx>
      <c:overlay val="0"/>
      <c:spPr>
        <a:noFill/>
        <a:ln w="0">
          <a:noFill/>
        </a:ln>
      </c:spPr>
    </c:title>
    <c:autoTitleDeleted val="0"/>
    <c:plotArea>
      <c:layout/>
      <c:barChart>
        <c:barDir val="bar"/>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27BD-4A0C-A43D-0DB5925AB796}"/>
            </c:ext>
          </c:extLst>
        </c:ser>
        <c:dLbls>
          <c:showLegendKey val="0"/>
          <c:showVal val="0"/>
          <c:showCatName val="0"/>
          <c:showSerName val="0"/>
          <c:showPercent val="0"/>
          <c:showBubbleSize val="0"/>
        </c:dLbls>
        <c:gapWidth val="150"/>
        <c:axId val="41719351"/>
        <c:axId val="48422101"/>
      </c:barChart>
      <c:catAx>
        <c:axId val="41719351"/>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422101"/>
        <c:crosses val="autoZero"/>
        <c:auto val="1"/>
        <c:lblAlgn val="ctr"/>
        <c:lblOffset val="100"/>
        <c:noMultiLvlLbl val="0"/>
      </c:catAx>
      <c:valAx>
        <c:axId val="48422101"/>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71935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Sales Trend</a:t>
            </a:r>
          </a:p>
        </c:rich>
      </c:tx>
      <c:overlay val="0"/>
      <c:spPr>
        <a:noFill/>
        <a:ln w="0">
          <a:noFill/>
        </a:ln>
      </c:spPr>
    </c:title>
    <c:autoTitleDeleted val="0"/>
    <c:plotArea>
      <c:layout/>
      <c:lineChart>
        <c:grouping val="standard"/>
        <c:varyColors val="0"/>
        <c:ser>
          <c:idx val="0"/>
          <c:order val="0"/>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DB90-453F-A347-3BB4972C2D75}"/>
            </c:ext>
          </c:extLst>
        </c:ser>
        <c:dLbls>
          <c:showLegendKey val="0"/>
          <c:showVal val="0"/>
          <c:showCatName val="0"/>
          <c:showSerName val="0"/>
          <c:showPercent val="0"/>
          <c:showBubbleSize val="0"/>
        </c:dLbls>
        <c:hiLowLines>
          <c:spPr>
            <a:ln w="0">
              <a:noFill/>
            </a:ln>
          </c:spPr>
        </c:hiLowLines>
        <c:smooth val="0"/>
        <c:axId val="73339868"/>
        <c:axId val="71817474"/>
      </c:lineChart>
      <c:catAx>
        <c:axId val="733398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817474"/>
        <c:crosses val="autoZero"/>
        <c:auto val="1"/>
        <c:lblAlgn val="ctr"/>
        <c:lblOffset val="100"/>
        <c:noMultiLvlLbl val="0"/>
      </c:catAx>
      <c:valAx>
        <c:axId val="7181747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Net Sales (Rs)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33986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svg"/><Relationship Id="rId2" Type="http://schemas.openxmlformats.org/officeDocument/2006/relationships/chart" Target="../charts/chart10.xml"/><Relationship Id="rId16" Type="http://schemas.openxmlformats.org/officeDocument/2006/relationships/image" Target="../media/image8.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6.svg"/></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266700</xdr:colOff>
      <xdr:row>1</xdr:row>
      <xdr:rowOff>100012</xdr:rowOff>
    </xdr:from>
    <xdr:to>
      <xdr:col>8</xdr:col>
      <xdr:colOff>581025</xdr:colOff>
      <xdr:row>15</xdr:row>
      <xdr:rowOff>176212</xdr:rowOff>
    </xdr:to>
    <xdr:graphicFrame macro="">
      <xdr:nvGraphicFramePr>
        <xdr:cNvPr id="2" name="Chart 1">
          <a:extLst>
            <a:ext uri="{FF2B5EF4-FFF2-40B4-BE49-F238E27FC236}">
              <a16:creationId xmlns:a16="http://schemas.microsoft.com/office/drawing/2014/main" id="{EC70411F-F145-3E07-45BE-8D86CA04D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17</xdr:row>
      <xdr:rowOff>71437</xdr:rowOff>
    </xdr:from>
    <xdr:to>
      <xdr:col>8</xdr:col>
      <xdr:colOff>542925</xdr:colOff>
      <xdr:row>29</xdr:row>
      <xdr:rowOff>104775</xdr:rowOff>
    </xdr:to>
    <xdr:graphicFrame macro="">
      <xdr:nvGraphicFramePr>
        <xdr:cNvPr id="3" name="Chart 2">
          <a:extLst>
            <a:ext uri="{FF2B5EF4-FFF2-40B4-BE49-F238E27FC236}">
              <a16:creationId xmlns:a16="http://schemas.microsoft.com/office/drawing/2014/main" id="{0CA280A7-3BC4-BA7D-CBC1-E8ACE1C86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495300</xdr:colOff>
      <xdr:row>30</xdr:row>
      <xdr:rowOff>23812</xdr:rowOff>
    </xdr:from>
    <xdr:to>
      <xdr:col>5</xdr:col>
      <xdr:colOff>219075</xdr:colOff>
      <xdr:row>38</xdr:row>
      <xdr:rowOff>85725</xdr:rowOff>
    </xdr:to>
    <xdr:graphicFrame macro="">
      <xdr:nvGraphicFramePr>
        <xdr:cNvPr id="4" name="Chart 3">
          <a:extLst>
            <a:ext uri="{FF2B5EF4-FFF2-40B4-BE49-F238E27FC236}">
              <a16:creationId xmlns:a16="http://schemas.microsoft.com/office/drawing/2014/main" id="{A7911A47-C312-D9D4-B6FA-5BCF93FC2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333374</xdr:colOff>
      <xdr:row>39</xdr:row>
      <xdr:rowOff>42863</xdr:rowOff>
    </xdr:from>
    <xdr:to>
      <xdr:col>6</xdr:col>
      <xdr:colOff>142874</xdr:colOff>
      <xdr:row>48</xdr:row>
      <xdr:rowOff>133351</xdr:rowOff>
    </xdr:to>
    <xdr:graphicFrame macro="">
      <xdr:nvGraphicFramePr>
        <xdr:cNvPr id="5" name="Chart 4">
          <a:extLst>
            <a:ext uri="{FF2B5EF4-FFF2-40B4-BE49-F238E27FC236}">
              <a16:creationId xmlns:a16="http://schemas.microsoft.com/office/drawing/2014/main" id="{F6917FFF-73D5-1174-3254-268218E7F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314325</xdr:colOff>
      <xdr:row>49</xdr:row>
      <xdr:rowOff>157162</xdr:rowOff>
    </xdr:from>
    <xdr:to>
      <xdr:col>9</xdr:col>
      <xdr:colOff>19050</xdr:colOff>
      <xdr:row>64</xdr:row>
      <xdr:rowOff>42862</xdr:rowOff>
    </xdr:to>
    <xdr:graphicFrame macro="">
      <xdr:nvGraphicFramePr>
        <xdr:cNvPr id="7" name="Chart 6">
          <a:extLst>
            <a:ext uri="{FF2B5EF4-FFF2-40B4-BE49-F238E27FC236}">
              <a16:creationId xmlns:a16="http://schemas.microsoft.com/office/drawing/2014/main" id="{A46ACEB2-EFB7-BC47-10EA-2E44887D2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323850</xdr:colOff>
      <xdr:row>67</xdr:row>
      <xdr:rowOff>176212</xdr:rowOff>
    </xdr:from>
    <xdr:to>
      <xdr:col>12</xdr:col>
      <xdr:colOff>19050</xdr:colOff>
      <xdr:row>82</xdr:row>
      <xdr:rowOff>61912</xdr:rowOff>
    </xdr:to>
    <xdr:graphicFrame macro="">
      <xdr:nvGraphicFramePr>
        <xdr:cNvPr id="8" name="Chart 7">
          <a:extLst>
            <a:ext uri="{FF2B5EF4-FFF2-40B4-BE49-F238E27FC236}">
              <a16:creationId xmlns:a16="http://schemas.microsoft.com/office/drawing/2014/main" id="{14DEB9B6-6A50-D528-A034-400606EF5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542925</xdr:colOff>
      <xdr:row>85</xdr:row>
      <xdr:rowOff>90487</xdr:rowOff>
    </xdr:from>
    <xdr:to>
      <xdr:col>9</xdr:col>
      <xdr:colOff>247650</xdr:colOff>
      <xdr:row>99</xdr:row>
      <xdr:rowOff>166687</xdr:rowOff>
    </xdr:to>
    <xdr:graphicFrame macro="">
      <xdr:nvGraphicFramePr>
        <xdr:cNvPr id="9" name="Chart 8">
          <a:extLst>
            <a:ext uri="{FF2B5EF4-FFF2-40B4-BE49-F238E27FC236}">
              <a16:creationId xmlns:a16="http://schemas.microsoft.com/office/drawing/2014/main" id="{9858C0E6-E6B6-A32B-1C0E-AC3770DDD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514350</xdr:colOff>
      <xdr:row>102</xdr:row>
      <xdr:rowOff>52387</xdr:rowOff>
    </xdr:from>
    <xdr:to>
      <xdr:col>9</xdr:col>
      <xdr:colOff>219075</xdr:colOff>
      <xdr:row>116</xdr:row>
      <xdr:rowOff>128587</xdr:rowOff>
    </xdr:to>
    <xdr:graphicFrame macro="">
      <xdr:nvGraphicFramePr>
        <xdr:cNvPr id="10" name="Chart 9">
          <a:extLst>
            <a:ext uri="{FF2B5EF4-FFF2-40B4-BE49-F238E27FC236}">
              <a16:creationId xmlns:a16="http://schemas.microsoft.com/office/drawing/2014/main" id="{197EAAAE-2014-30C6-426D-E08F61496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240926</xdr:colOff>
      <xdr:row>2</xdr:row>
      <xdr:rowOff>86285</xdr:rowOff>
    </xdr:from>
    <xdr:to>
      <xdr:col>22</xdr:col>
      <xdr:colOff>507648</xdr:colOff>
      <xdr:row>12</xdr:row>
      <xdr:rowOff>183173</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98EDB4A0-2208-D5C0-5141-F4F1BD02F2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396882" y="478491"/>
              <a:ext cx="1841686" cy="205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209550</xdr:colOff>
      <xdr:row>2</xdr:row>
      <xdr:rowOff>104774</xdr:rowOff>
    </xdr:from>
    <xdr:to>
      <xdr:col>19</xdr:col>
      <xdr:colOff>822803</xdr:colOff>
      <xdr:row>21</xdr:row>
      <xdr:rowOff>24423</xdr:rowOff>
    </xdr:to>
    <mc:AlternateContent xmlns:mc="http://schemas.openxmlformats.org/markup-compatibility/2006" xmlns:a14="http://schemas.microsoft.com/office/drawing/2010/main">
      <mc:Choice Requires="a14">
        <xdr:graphicFrame macro="">
          <xdr:nvGraphicFramePr>
            <xdr:cNvPr id="12" name="Brand">
              <a:extLst>
                <a:ext uri="{FF2B5EF4-FFF2-40B4-BE49-F238E27FC236}">
                  <a16:creationId xmlns:a16="http://schemas.microsoft.com/office/drawing/2014/main" id="{4BD2B2DC-E5A2-4EC6-1874-7B75C7E4D73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900212" y="496980"/>
              <a:ext cx="1848970" cy="3645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568570</xdr:colOff>
      <xdr:row>4</xdr:row>
      <xdr:rowOff>96717</xdr:rowOff>
    </xdr:from>
    <xdr:to>
      <xdr:col>16</xdr:col>
      <xdr:colOff>568570</xdr:colOff>
      <xdr:row>10</xdr:row>
      <xdr:rowOff>122117</xdr:rowOff>
    </xdr:to>
    <mc:AlternateContent xmlns:mc="http://schemas.openxmlformats.org/markup-compatibility/2006" xmlns:a14="http://schemas.microsoft.com/office/drawing/2010/main">
      <mc:Choice Requires="a14">
        <xdr:graphicFrame macro="">
          <xdr:nvGraphicFramePr>
            <xdr:cNvPr id="13" name="Customer Segment">
              <a:extLst>
                <a:ext uri="{FF2B5EF4-FFF2-40B4-BE49-F238E27FC236}">
                  <a16:creationId xmlns:a16="http://schemas.microsoft.com/office/drawing/2014/main" id="{C8ABDF43-283B-40FE-F640-8C7419D3DDA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793938" y="881129"/>
              <a:ext cx="1848970" cy="1202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280377</xdr:colOff>
      <xdr:row>2</xdr:row>
      <xdr:rowOff>155087</xdr:rowOff>
    </xdr:from>
    <xdr:to>
      <xdr:col>13</xdr:col>
      <xdr:colOff>280377</xdr:colOff>
      <xdr:row>11</xdr:row>
      <xdr:rowOff>122115</xdr:rowOff>
    </xdr:to>
    <mc:AlternateContent xmlns:mc="http://schemas.openxmlformats.org/markup-compatibility/2006" xmlns:a14="http://schemas.microsoft.com/office/drawing/2010/main">
      <mc:Choice Requires="a14">
        <xdr:graphicFrame macro="">
          <xdr:nvGraphicFramePr>
            <xdr:cNvPr id="14" name="Payment Mode">
              <a:extLst>
                <a:ext uri="{FF2B5EF4-FFF2-40B4-BE49-F238E27FC236}">
                  <a16:creationId xmlns:a16="http://schemas.microsoft.com/office/drawing/2014/main" id="{E7C3052F-1053-C5AD-36BC-BFB0EB44F5E8}"/>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8656774" y="547293"/>
              <a:ext cx="1848971" cy="1731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359752</xdr:colOff>
      <xdr:row>11</xdr:row>
      <xdr:rowOff>166810</xdr:rowOff>
    </xdr:from>
    <xdr:to>
      <xdr:col>16</xdr:col>
      <xdr:colOff>356821</xdr:colOff>
      <xdr:row>24</xdr:row>
      <xdr:rowOff>150935</xdr:rowOff>
    </xdr:to>
    <mc:AlternateContent xmlns:mc="http://schemas.openxmlformats.org/markup-compatibility/2006" xmlns:a14="http://schemas.microsoft.com/office/drawing/2010/main">
      <mc:Choice Requires="a14">
        <xdr:graphicFrame macro="">
          <xdr:nvGraphicFramePr>
            <xdr:cNvPr id="15" name="Channel">
              <a:extLst>
                <a:ext uri="{FF2B5EF4-FFF2-40B4-BE49-F238E27FC236}">
                  <a16:creationId xmlns:a16="http://schemas.microsoft.com/office/drawing/2014/main" id="{3C11C548-F50C-F620-70BA-8713D72E84B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585120" y="2323942"/>
              <a:ext cx="1846039" cy="2533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35</xdr:col>
      <xdr:colOff>56066</xdr:colOff>
      <xdr:row>3</xdr:row>
      <xdr:rowOff>150465</xdr:rowOff>
    </xdr:from>
    <xdr:to>
      <xdr:col>43</xdr:col>
      <xdr:colOff>243009</xdr:colOff>
      <xdr:row>11</xdr:row>
      <xdr:rowOff>1747</xdr:rowOff>
    </xdr:to>
    <xdr:sp macro="" textlink="">
      <xdr:nvSpPr>
        <xdr:cNvPr id="9" name="Rectangle: Rounded Corners 8">
          <a:extLst>
            <a:ext uri="{FF2B5EF4-FFF2-40B4-BE49-F238E27FC236}">
              <a16:creationId xmlns:a16="http://schemas.microsoft.com/office/drawing/2014/main" id="{04AB1C6F-EA3D-4D61-9626-AA560A1E65A7}"/>
            </a:ext>
          </a:extLst>
        </xdr:cNvPr>
        <xdr:cNvSpPr/>
      </xdr:nvSpPr>
      <xdr:spPr>
        <a:xfrm>
          <a:off x="19452430" y="345295"/>
          <a:ext cx="5036034" cy="1409918"/>
        </a:xfrm>
        <a:prstGeom prst="roundRect">
          <a:avLst>
            <a:gd name="adj" fmla="val 20041"/>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174852</xdr:colOff>
      <xdr:row>32</xdr:row>
      <xdr:rowOff>7746</xdr:rowOff>
    </xdr:from>
    <xdr:to>
      <xdr:col>34</xdr:col>
      <xdr:colOff>251333</xdr:colOff>
      <xdr:row>70</xdr:row>
      <xdr:rowOff>41185</xdr:rowOff>
    </xdr:to>
    <xdr:sp macro="" textlink="">
      <xdr:nvSpPr>
        <xdr:cNvPr id="23" name="Rectangle: Rounded Corners 22">
          <a:extLst>
            <a:ext uri="{FF2B5EF4-FFF2-40B4-BE49-F238E27FC236}">
              <a16:creationId xmlns:a16="http://schemas.microsoft.com/office/drawing/2014/main" id="{97B1DFDE-469F-44FE-8518-350FB0FAD899}"/>
            </a:ext>
          </a:extLst>
        </xdr:cNvPr>
        <xdr:cNvSpPr/>
      </xdr:nvSpPr>
      <xdr:spPr>
        <a:xfrm>
          <a:off x="8686554" y="5479555"/>
          <a:ext cx="10412119" cy="6964396"/>
        </a:xfrm>
        <a:prstGeom prst="roundRect">
          <a:avLst>
            <a:gd name="adj" fmla="val 5027"/>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150511</xdr:colOff>
      <xdr:row>31</xdr:row>
      <xdr:rowOff>178593</xdr:rowOff>
    </xdr:from>
    <xdr:to>
      <xdr:col>16</xdr:col>
      <xdr:colOff>344392</xdr:colOff>
      <xdr:row>50</xdr:row>
      <xdr:rowOff>88450</xdr:rowOff>
    </xdr:to>
    <xdr:sp macro="" textlink="">
      <xdr:nvSpPr>
        <xdr:cNvPr id="20" name="Rectangle: Rounded Corners 19">
          <a:extLst>
            <a:ext uri="{FF2B5EF4-FFF2-40B4-BE49-F238E27FC236}">
              <a16:creationId xmlns:a16="http://schemas.microsoft.com/office/drawing/2014/main" id="{AD27AC01-350C-4118-A08A-A6A93BB4F01D}"/>
            </a:ext>
          </a:extLst>
        </xdr:cNvPr>
        <xdr:cNvSpPr/>
      </xdr:nvSpPr>
      <xdr:spPr>
        <a:xfrm>
          <a:off x="3190405" y="5468008"/>
          <a:ext cx="5057710" cy="3375336"/>
        </a:xfrm>
        <a:prstGeom prst="roundRect">
          <a:avLst>
            <a:gd name="adj" fmla="val 7661"/>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147171</xdr:colOff>
      <xdr:row>12</xdr:row>
      <xdr:rowOff>6864</xdr:rowOff>
    </xdr:from>
    <xdr:to>
      <xdr:col>16</xdr:col>
      <xdr:colOff>332221</xdr:colOff>
      <xdr:row>30</xdr:row>
      <xdr:rowOff>97080</xdr:rowOff>
    </xdr:to>
    <xdr:sp macro="" textlink="">
      <xdr:nvSpPr>
        <xdr:cNvPr id="17" name="Rectangle: Rounded Corners 16">
          <a:extLst>
            <a:ext uri="{FF2B5EF4-FFF2-40B4-BE49-F238E27FC236}">
              <a16:creationId xmlns:a16="http://schemas.microsoft.com/office/drawing/2014/main" id="{94421782-C0C8-5E5E-CF4D-2B6D408EA272}"/>
            </a:ext>
          </a:extLst>
        </xdr:cNvPr>
        <xdr:cNvSpPr/>
      </xdr:nvSpPr>
      <xdr:spPr>
        <a:xfrm>
          <a:off x="3187065" y="1830800"/>
          <a:ext cx="5048879" cy="3373301"/>
        </a:xfrm>
        <a:prstGeom prst="roundRect">
          <a:avLst>
            <a:gd name="adj" fmla="val 7655"/>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302774</xdr:colOff>
      <xdr:row>14</xdr:row>
      <xdr:rowOff>51705</xdr:rowOff>
    </xdr:from>
    <xdr:to>
      <xdr:col>16</xdr:col>
      <xdr:colOff>7901</xdr:colOff>
      <xdr:row>28</xdr:row>
      <xdr:rowOff>139826</xdr:rowOff>
    </xdr:to>
    <xdr:graphicFrame macro="">
      <xdr:nvGraphicFramePr>
        <xdr:cNvPr id="2" name="Chart 1">
          <a:extLst>
            <a:ext uri="{FF2B5EF4-FFF2-40B4-BE49-F238E27FC236}">
              <a16:creationId xmlns:a16="http://schemas.microsoft.com/office/drawing/2014/main" id="{D42EF854-31B2-41BA-AA34-49334F85C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509868</xdr:colOff>
      <xdr:row>36</xdr:row>
      <xdr:rowOff>91514</xdr:rowOff>
    </xdr:from>
    <xdr:to>
      <xdr:col>33</xdr:col>
      <xdr:colOff>168088</xdr:colOff>
      <xdr:row>66</xdr:row>
      <xdr:rowOff>0</xdr:rowOff>
    </xdr:to>
    <xdr:graphicFrame macro="">
      <xdr:nvGraphicFramePr>
        <xdr:cNvPr id="7" name="Chart 6">
          <a:extLst>
            <a:ext uri="{FF2B5EF4-FFF2-40B4-BE49-F238E27FC236}">
              <a16:creationId xmlns:a16="http://schemas.microsoft.com/office/drawing/2014/main" id="{E2CBD1AE-B9A7-4E4B-9CD9-D9B7598B1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447556</xdr:colOff>
      <xdr:row>34</xdr:row>
      <xdr:rowOff>17137</xdr:rowOff>
    </xdr:from>
    <xdr:to>
      <xdr:col>16</xdr:col>
      <xdr:colOff>213927</xdr:colOff>
      <xdr:row>48</xdr:row>
      <xdr:rowOff>136934</xdr:rowOff>
    </xdr:to>
    <xdr:graphicFrame macro="">
      <xdr:nvGraphicFramePr>
        <xdr:cNvPr id="8" name="Chart 7">
          <a:extLst>
            <a:ext uri="{FF2B5EF4-FFF2-40B4-BE49-F238E27FC236}">
              <a16:creationId xmlns:a16="http://schemas.microsoft.com/office/drawing/2014/main" id="{27A5D372-9BDB-4B62-AC69-89307FC85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139818</xdr:colOff>
      <xdr:row>3</xdr:row>
      <xdr:rowOff>70734</xdr:rowOff>
    </xdr:from>
    <xdr:to>
      <xdr:col>8</xdr:col>
      <xdr:colOff>325003</xdr:colOff>
      <xdr:row>9</xdr:row>
      <xdr:rowOff>60595</xdr:rowOff>
    </xdr:to>
    <xdr:sp macro="" textlink="">
      <xdr:nvSpPr>
        <xdr:cNvPr id="15" name="TextBox 14">
          <a:extLst>
            <a:ext uri="{FF2B5EF4-FFF2-40B4-BE49-F238E27FC236}">
              <a16:creationId xmlns:a16="http://schemas.microsoft.com/office/drawing/2014/main" id="{A84B1E5A-2DBA-2BF5-7428-752806908904}"/>
            </a:ext>
          </a:extLst>
        </xdr:cNvPr>
        <xdr:cNvSpPr txBox="1"/>
      </xdr:nvSpPr>
      <xdr:spPr>
        <a:xfrm>
          <a:off x="749418" y="261234"/>
          <a:ext cx="2623585" cy="1132861"/>
        </a:xfrm>
        <a:prstGeom prst="rect">
          <a:avLst/>
        </a:prstGeom>
        <a:solidFill>
          <a:srgbClr val="FFCCFF"/>
        </a:solidFill>
        <a:ln w="9525" cmpd="sng">
          <a:solidFill>
            <a:srgbClr val="FFCC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0" b="1">
              <a:solidFill>
                <a:srgbClr val="FF33CC"/>
              </a:solidFill>
              <a:effectLst>
                <a:outerShdw blurRad="50800" dist="38100" dir="2700000" algn="tl" rotWithShape="0">
                  <a:prstClr val="black">
                    <a:alpha val="40000"/>
                  </a:prstClr>
                </a:outerShdw>
              </a:effectLst>
              <a:latin typeface="Freestyle Script" panose="030804020302050B0404" pitchFamily="66" charset="0"/>
              <a:cs typeface="MV Boli" panose="02000500030200090000" pitchFamily="2" charset="0"/>
            </a:rPr>
            <a:t>NYKAA</a:t>
          </a:r>
        </a:p>
      </xdr:txBody>
    </xdr:sp>
    <xdr:clientData/>
  </xdr:twoCellAnchor>
  <xdr:twoCellAnchor>
    <xdr:from>
      <xdr:col>2</xdr:col>
      <xdr:colOff>559270</xdr:colOff>
      <xdr:row>8</xdr:row>
      <xdr:rowOff>119462</xdr:rowOff>
    </xdr:from>
    <xdr:to>
      <xdr:col>10</xdr:col>
      <xdr:colOff>463378</xdr:colOff>
      <xdr:row>10</xdr:row>
      <xdr:rowOff>187820</xdr:rowOff>
    </xdr:to>
    <xdr:sp macro="" textlink="">
      <xdr:nvSpPr>
        <xdr:cNvPr id="16" name="TextBox 15">
          <a:extLst>
            <a:ext uri="{FF2B5EF4-FFF2-40B4-BE49-F238E27FC236}">
              <a16:creationId xmlns:a16="http://schemas.microsoft.com/office/drawing/2014/main" id="{FE525897-5782-E5E6-588A-804C3497D8D1}"/>
            </a:ext>
          </a:extLst>
        </xdr:cNvPr>
        <xdr:cNvSpPr txBox="1"/>
      </xdr:nvSpPr>
      <xdr:spPr>
        <a:xfrm>
          <a:off x="1769202" y="1664057"/>
          <a:ext cx="4743838" cy="454506"/>
        </a:xfrm>
        <a:prstGeom prst="rect">
          <a:avLst/>
        </a:prstGeom>
        <a:solidFill>
          <a:srgbClr val="FFCCFF"/>
        </a:solidFill>
        <a:ln w="9525" cmpd="sng">
          <a:solidFill>
            <a:srgbClr val="FFCC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a:noFill/>
              </a:ln>
              <a:solidFill>
                <a:schemeClr val="tx1"/>
              </a:solidFill>
              <a:effectLst/>
              <a:latin typeface="MV Boli" panose="02000500030200090000" pitchFamily="2" charset="0"/>
              <a:cs typeface="MV Boli" panose="02000500030200090000" pitchFamily="2" charset="0"/>
            </a:rPr>
            <a:t>INSPIRED ANALYTICS DASHBOARD</a:t>
          </a:r>
        </a:p>
      </xdr:txBody>
    </xdr:sp>
    <xdr:clientData/>
  </xdr:twoCellAnchor>
  <xdr:twoCellAnchor>
    <xdr:from>
      <xdr:col>17</xdr:col>
      <xdr:colOff>140865</xdr:colOff>
      <xdr:row>11</xdr:row>
      <xdr:rowOff>173439</xdr:rowOff>
    </xdr:from>
    <xdr:to>
      <xdr:col>25</xdr:col>
      <xdr:colOff>315696</xdr:colOff>
      <xdr:row>30</xdr:row>
      <xdr:rowOff>125066</xdr:rowOff>
    </xdr:to>
    <xdr:sp macro="" textlink="">
      <xdr:nvSpPr>
        <xdr:cNvPr id="18" name="Rectangle: Rounded Corners 17">
          <a:extLst>
            <a:ext uri="{FF2B5EF4-FFF2-40B4-BE49-F238E27FC236}">
              <a16:creationId xmlns:a16="http://schemas.microsoft.com/office/drawing/2014/main" id="{A7C3272A-BABF-4A59-9602-211786DB4C77}"/>
            </a:ext>
          </a:extLst>
        </xdr:cNvPr>
        <xdr:cNvSpPr/>
      </xdr:nvSpPr>
      <xdr:spPr>
        <a:xfrm>
          <a:off x="8652567" y="1814982"/>
          <a:ext cx="5038661" cy="3417105"/>
        </a:xfrm>
        <a:prstGeom prst="roundRect">
          <a:avLst>
            <a:gd name="adj" fmla="val 8281"/>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384466</xdr:colOff>
      <xdr:row>14</xdr:row>
      <xdr:rowOff>28546</xdr:rowOff>
    </xdr:from>
    <xdr:to>
      <xdr:col>25</xdr:col>
      <xdr:colOff>117016</xdr:colOff>
      <xdr:row>28</xdr:row>
      <xdr:rowOff>149070</xdr:rowOff>
    </xdr:to>
    <xdr:graphicFrame macro="">
      <xdr:nvGraphicFramePr>
        <xdr:cNvPr id="3" name="Chart 2">
          <a:extLst>
            <a:ext uri="{FF2B5EF4-FFF2-40B4-BE49-F238E27FC236}">
              <a16:creationId xmlns:a16="http://schemas.microsoft.com/office/drawing/2014/main" id="{4F69F875-2196-428E-828C-7B5FFF00E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107083</xdr:colOff>
      <xdr:row>11</xdr:row>
      <xdr:rowOff>163286</xdr:rowOff>
    </xdr:from>
    <xdr:to>
      <xdr:col>34</xdr:col>
      <xdr:colOff>291440</xdr:colOff>
      <xdr:row>30</xdr:row>
      <xdr:rowOff>81080</xdr:rowOff>
    </xdr:to>
    <xdr:sp macro="" textlink="">
      <xdr:nvSpPr>
        <xdr:cNvPr id="19" name="Rectangle: Rounded Corners 18">
          <a:extLst>
            <a:ext uri="{FF2B5EF4-FFF2-40B4-BE49-F238E27FC236}">
              <a16:creationId xmlns:a16="http://schemas.microsoft.com/office/drawing/2014/main" id="{E13CC5C9-AB55-4A32-ABCF-AF79DC459201}"/>
            </a:ext>
          </a:extLst>
        </xdr:cNvPr>
        <xdr:cNvSpPr/>
      </xdr:nvSpPr>
      <xdr:spPr>
        <a:xfrm>
          <a:off x="14090594" y="1804829"/>
          <a:ext cx="5048186" cy="3383272"/>
        </a:xfrm>
        <a:prstGeom prst="roundRect">
          <a:avLst>
            <a:gd name="adj" fmla="val 8880"/>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507395</xdr:colOff>
      <xdr:row>14</xdr:row>
      <xdr:rowOff>19525</xdr:rowOff>
    </xdr:from>
    <xdr:to>
      <xdr:col>33</xdr:col>
      <xdr:colOff>441961</xdr:colOff>
      <xdr:row>28</xdr:row>
      <xdr:rowOff>141003</xdr:rowOff>
    </xdr:to>
    <xdr:graphicFrame macro="">
      <xdr:nvGraphicFramePr>
        <xdr:cNvPr id="4" name="Chart 3">
          <a:extLst>
            <a:ext uri="{FF2B5EF4-FFF2-40B4-BE49-F238E27FC236}">
              <a16:creationId xmlns:a16="http://schemas.microsoft.com/office/drawing/2014/main" id="{5E630B68-29C7-4048-97C0-DB0D1D75B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50715</xdr:colOff>
      <xdr:row>11</xdr:row>
      <xdr:rowOff>181198</xdr:rowOff>
    </xdr:from>
    <xdr:to>
      <xdr:col>6</xdr:col>
      <xdr:colOff>470935</xdr:colOff>
      <xdr:row>26</xdr:row>
      <xdr:rowOff>1</xdr:rowOff>
    </xdr:to>
    <xdr:sp macro="" textlink="">
      <xdr:nvSpPr>
        <xdr:cNvPr id="21" name="Flowchart: Delay 20">
          <a:extLst>
            <a:ext uri="{FF2B5EF4-FFF2-40B4-BE49-F238E27FC236}">
              <a16:creationId xmlns:a16="http://schemas.microsoft.com/office/drawing/2014/main" id="{E2380513-4869-66D8-9B14-E0FC24798D72}"/>
            </a:ext>
          </a:extLst>
        </xdr:cNvPr>
        <xdr:cNvSpPr/>
      </xdr:nvSpPr>
      <xdr:spPr>
        <a:xfrm>
          <a:off x="50715" y="1927448"/>
          <a:ext cx="2272303" cy="2729220"/>
        </a:xfrm>
        <a:prstGeom prst="flowChartDelay">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348037</xdr:colOff>
      <xdr:row>15</xdr:row>
      <xdr:rowOff>44031</xdr:rowOff>
    </xdr:from>
    <xdr:to>
      <xdr:col>5</xdr:col>
      <xdr:colOff>486833</xdr:colOff>
      <xdr:row>23</xdr:row>
      <xdr:rowOff>84666</xdr:rowOff>
    </xdr:to>
    <mc:AlternateContent xmlns:mc="http://schemas.openxmlformats.org/markup-compatibility/2006" xmlns:a14="http://schemas.microsoft.com/office/drawing/2010/main">
      <mc:Choice Requires="a14">
        <xdr:graphicFrame macro="">
          <xdr:nvGraphicFramePr>
            <xdr:cNvPr id="11" name="Channel 1">
              <a:extLst>
                <a:ext uri="{FF2B5EF4-FFF2-40B4-BE49-F238E27FC236}">
                  <a16:creationId xmlns:a16="http://schemas.microsoft.com/office/drawing/2014/main" id="{407287EB-6301-4959-8CD8-855875A9B027}"/>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2166446" y="2966474"/>
              <a:ext cx="1351069" cy="1599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27</xdr:row>
      <xdr:rowOff>127000</xdr:rowOff>
    </xdr:from>
    <xdr:to>
      <xdr:col>6</xdr:col>
      <xdr:colOff>420220</xdr:colOff>
      <xdr:row>40</xdr:row>
      <xdr:rowOff>70555</xdr:rowOff>
    </xdr:to>
    <xdr:sp macro="" textlink="">
      <xdr:nvSpPr>
        <xdr:cNvPr id="22" name="Flowchart: Delay 21">
          <a:extLst>
            <a:ext uri="{FF2B5EF4-FFF2-40B4-BE49-F238E27FC236}">
              <a16:creationId xmlns:a16="http://schemas.microsoft.com/office/drawing/2014/main" id="{CF1D0858-4E2E-47D5-99B2-A0976188BBC5}"/>
            </a:ext>
          </a:extLst>
        </xdr:cNvPr>
        <xdr:cNvSpPr/>
      </xdr:nvSpPr>
      <xdr:spPr>
        <a:xfrm>
          <a:off x="0" y="4977694"/>
          <a:ext cx="2272303" cy="2465917"/>
        </a:xfrm>
        <a:prstGeom prst="flowChartDelay">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184356</xdr:colOff>
      <xdr:row>52</xdr:row>
      <xdr:rowOff>30725</xdr:rowOff>
    </xdr:from>
    <xdr:to>
      <xdr:col>16</xdr:col>
      <xdr:colOff>378237</xdr:colOff>
      <xdr:row>70</xdr:row>
      <xdr:rowOff>124937</xdr:rowOff>
    </xdr:to>
    <xdr:sp macro="" textlink="">
      <xdr:nvSpPr>
        <xdr:cNvPr id="24" name="Rectangle: Rounded Corners 23">
          <a:extLst>
            <a:ext uri="{FF2B5EF4-FFF2-40B4-BE49-F238E27FC236}">
              <a16:creationId xmlns:a16="http://schemas.microsoft.com/office/drawing/2014/main" id="{5C7EACD6-BE95-42C9-BA6F-02B1A05CE3FE}"/>
            </a:ext>
          </a:extLst>
        </xdr:cNvPr>
        <xdr:cNvSpPr/>
      </xdr:nvSpPr>
      <xdr:spPr>
        <a:xfrm>
          <a:off x="3224250" y="9150406"/>
          <a:ext cx="5057710" cy="3377297"/>
        </a:xfrm>
        <a:prstGeom prst="roundRect">
          <a:avLst>
            <a:gd name="adj" fmla="val 8266"/>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335845</xdr:colOff>
      <xdr:row>31</xdr:row>
      <xdr:rowOff>138291</xdr:rowOff>
    </xdr:from>
    <xdr:to>
      <xdr:col>5</xdr:col>
      <xdr:colOff>552036</xdr:colOff>
      <xdr:row>38</xdr:row>
      <xdr:rowOff>105833</xdr:rowOff>
    </xdr:to>
    <mc:AlternateContent xmlns:mc="http://schemas.openxmlformats.org/markup-compatibility/2006" xmlns:a14="http://schemas.microsoft.com/office/drawing/2010/main">
      <mc:Choice Requires="a14">
        <xdr:graphicFrame macro="">
          <xdr:nvGraphicFramePr>
            <xdr:cNvPr id="25" name="Returned">
              <a:extLst>
                <a:ext uri="{FF2B5EF4-FFF2-40B4-BE49-F238E27FC236}">
                  <a16:creationId xmlns:a16="http://schemas.microsoft.com/office/drawing/2014/main" id="{BDD129D9-D1A9-6F1F-5D95-C3EAC6DE50B3}"/>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335845" y="5919744"/>
              <a:ext cx="1456656" cy="1205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42</xdr:row>
      <xdr:rowOff>45563</xdr:rowOff>
    </xdr:from>
    <xdr:to>
      <xdr:col>6</xdr:col>
      <xdr:colOff>420220</xdr:colOff>
      <xdr:row>70</xdr:row>
      <xdr:rowOff>162128</xdr:rowOff>
    </xdr:to>
    <xdr:sp macro="" textlink="">
      <xdr:nvSpPr>
        <xdr:cNvPr id="26" name="Flowchart: Delay 25">
          <a:extLst>
            <a:ext uri="{FF2B5EF4-FFF2-40B4-BE49-F238E27FC236}">
              <a16:creationId xmlns:a16="http://schemas.microsoft.com/office/drawing/2014/main" id="{2B2249A4-0CEF-4ED4-BEE4-EE057FE68B08}"/>
            </a:ext>
          </a:extLst>
        </xdr:cNvPr>
        <xdr:cNvSpPr/>
      </xdr:nvSpPr>
      <xdr:spPr>
        <a:xfrm>
          <a:off x="0" y="7341308"/>
          <a:ext cx="2244156" cy="5223586"/>
        </a:xfrm>
        <a:prstGeom prst="flowChartDelay">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186453</xdr:colOff>
      <xdr:row>49</xdr:row>
      <xdr:rowOff>78883</xdr:rowOff>
    </xdr:from>
    <xdr:to>
      <xdr:col>5</xdr:col>
      <xdr:colOff>593465</xdr:colOff>
      <xdr:row>64</xdr:row>
      <xdr:rowOff>71525</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003D9BCB-D391-4D7C-BC14-1F2CC5E2B9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6453" y="9448825"/>
              <a:ext cx="1647477" cy="2983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370035</xdr:colOff>
      <xdr:row>54</xdr:row>
      <xdr:rowOff>42118</xdr:rowOff>
    </xdr:from>
    <xdr:to>
      <xdr:col>16</xdr:col>
      <xdr:colOff>122992</xdr:colOff>
      <xdr:row>68</xdr:row>
      <xdr:rowOff>167597</xdr:rowOff>
    </xdr:to>
    <xdr:graphicFrame macro="">
      <xdr:nvGraphicFramePr>
        <xdr:cNvPr id="6" name="Chart 5">
          <a:extLst>
            <a:ext uri="{FF2B5EF4-FFF2-40B4-BE49-F238E27FC236}">
              <a16:creationId xmlns:a16="http://schemas.microsoft.com/office/drawing/2014/main" id="{547FECCD-31CA-43EE-BEB8-84148E321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98535</xdr:colOff>
      <xdr:row>11</xdr:row>
      <xdr:rowOff>164224</xdr:rowOff>
    </xdr:from>
    <xdr:to>
      <xdr:col>43</xdr:col>
      <xdr:colOff>282891</xdr:colOff>
      <xdr:row>50</xdr:row>
      <xdr:rowOff>131381</xdr:rowOff>
    </xdr:to>
    <xdr:sp macro="" textlink="">
      <xdr:nvSpPr>
        <xdr:cNvPr id="28" name="Rectangle: Rounded Corners 27">
          <a:extLst>
            <a:ext uri="{FF2B5EF4-FFF2-40B4-BE49-F238E27FC236}">
              <a16:creationId xmlns:a16="http://schemas.microsoft.com/office/drawing/2014/main" id="{CBF6A088-EFD8-464C-85DC-E0205A624AC1}"/>
            </a:ext>
          </a:extLst>
        </xdr:cNvPr>
        <xdr:cNvSpPr/>
      </xdr:nvSpPr>
      <xdr:spPr>
        <a:xfrm>
          <a:off x="19945977" y="1958468"/>
          <a:ext cx="5146216" cy="7742215"/>
        </a:xfrm>
        <a:prstGeom prst="roundRect">
          <a:avLst>
            <a:gd name="adj" fmla="val 5867"/>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323970</xdr:colOff>
      <xdr:row>14</xdr:row>
      <xdr:rowOff>42550</xdr:rowOff>
    </xdr:from>
    <xdr:to>
      <xdr:col>43</xdr:col>
      <xdr:colOff>32845</xdr:colOff>
      <xdr:row>49</xdr:row>
      <xdr:rowOff>0</xdr:rowOff>
    </xdr:to>
    <xdr:graphicFrame macro="">
      <xdr:nvGraphicFramePr>
        <xdr:cNvPr id="27" name="Chart 26">
          <a:extLst>
            <a:ext uri="{FF2B5EF4-FFF2-40B4-BE49-F238E27FC236}">
              <a16:creationId xmlns:a16="http://schemas.microsoft.com/office/drawing/2014/main" id="{72EE686D-A3E0-4F22-97D3-4D8A1BC68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148831</xdr:colOff>
      <xdr:row>52</xdr:row>
      <xdr:rowOff>66455</xdr:rowOff>
    </xdr:from>
    <xdr:to>
      <xdr:col>43</xdr:col>
      <xdr:colOff>265815</xdr:colOff>
      <xdr:row>70</xdr:row>
      <xdr:rowOff>22151</xdr:rowOff>
    </xdr:to>
    <xdr:sp macro="" textlink="">
      <xdr:nvSpPr>
        <xdr:cNvPr id="29" name="Rectangle: Rounded Corners 28">
          <a:extLst>
            <a:ext uri="{FF2B5EF4-FFF2-40B4-BE49-F238E27FC236}">
              <a16:creationId xmlns:a16="http://schemas.microsoft.com/office/drawing/2014/main" id="{C21852DD-9C89-4CC9-B90C-AED2D0E01BD1}"/>
            </a:ext>
          </a:extLst>
        </xdr:cNvPr>
        <xdr:cNvSpPr/>
      </xdr:nvSpPr>
      <xdr:spPr>
        <a:xfrm>
          <a:off x="19996273" y="10034478"/>
          <a:ext cx="5078844" cy="3544185"/>
        </a:xfrm>
        <a:prstGeom prst="roundRect">
          <a:avLst>
            <a:gd name="adj" fmla="val 5027"/>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416718</xdr:colOff>
      <xdr:row>54</xdr:row>
      <xdr:rowOff>59531</xdr:rowOff>
    </xdr:from>
    <xdr:to>
      <xdr:col>43</xdr:col>
      <xdr:colOff>178593</xdr:colOff>
      <xdr:row>68</xdr:row>
      <xdr:rowOff>89296</xdr:rowOff>
    </xdr:to>
    <xdr:graphicFrame macro="">
      <xdr:nvGraphicFramePr>
        <xdr:cNvPr id="31" name="Chart 30">
          <a:extLst>
            <a:ext uri="{FF2B5EF4-FFF2-40B4-BE49-F238E27FC236}">
              <a16:creationId xmlns:a16="http://schemas.microsoft.com/office/drawing/2014/main" id="{90459E98-01C2-47BF-A5A6-F226FCCA6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35</xdr:col>
      <xdr:colOff>361306</xdr:colOff>
      <xdr:row>4</xdr:row>
      <xdr:rowOff>108775</xdr:rowOff>
    </xdr:from>
    <xdr:to>
      <xdr:col>42</xdr:col>
      <xdr:colOff>513030</xdr:colOff>
      <xdr:row>10</xdr:row>
      <xdr:rowOff>24356</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4F99D4A1-2B6C-FF5B-3653-98A5E82F76A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2069446" y="906217"/>
              <a:ext cx="4493351" cy="111174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29</xdr:col>
      <xdr:colOff>29764</xdr:colOff>
      <xdr:row>3</xdr:row>
      <xdr:rowOff>175659</xdr:rowOff>
    </xdr:from>
    <xdr:to>
      <xdr:col>34</xdr:col>
      <xdr:colOff>282772</xdr:colOff>
      <xdr:row>10</xdr:row>
      <xdr:rowOff>163778</xdr:rowOff>
    </xdr:to>
    <xdr:sp macro="" textlink="PROCESSING!S5">
      <xdr:nvSpPr>
        <xdr:cNvPr id="10" name="Rectangle: Rounded Corners 9">
          <a:extLst>
            <a:ext uri="{FF2B5EF4-FFF2-40B4-BE49-F238E27FC236}">
              <a16:creationId xmlns:a16="http://schemas.microsoft.com/office/drawing/2014/main" id="{9BDBFD77-3947-430F-A06B-24E1376A7CE9}"/>
            </a:ext>
          </a:extLst>
        </xdr:cNvPr>
        <xdr:cNvSpPr/>
      </xdr:nvSpPr>
      <xdr:spPr>
        <a:xfrm>
          <a:off x="15847409" y="366159"/>
          <a:ext cx="3294863" cy="1321619"/>
        </a:xfrm>
        <a:prstGeom prst="roundRect">
          <a:avLst>
            <a:gd name="adj" fmla="val 20041"/>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97D2879-65DE-4898-BD00-A1A5AFD99649}" type="TxLink">
            <a:rPr lang="en-US" sz="3200" b="0" i="0" u="none" strike="noStrike">
              <a:ln>
                <a:noFill/>
              </a:ln>
              <a:solidFill>
                <a:srgbClr val="CC00CC"/>
              </a:solidFill>
              <a:latin typeface="Segoe UI Bold" panose="020B0802040204020203" pitchFamily="34" charset="0"/>
              <a:ea typeface="Calibri"/>
              <a:cs typeface="Segoe UI Bold" panose="020B0802040204020203" pitchFamily="34" charset="0"/>
            </a:rPr>
            <a:pPr algn="ctr"/>
            <a:t>4.1</a:t>
          </a:fld>
          <a:endParaRPr lang="en-IN" sz="3200">
            <a:ln>
              <a:noFill/>
            </a:ln>
            <a:solidFill>
              <a:srgbClr val="CC00CC"/>
            </a:solidFill>
            <a:latin typeface="Segoe UI Bold" panose="020B0802040204020203" pitchFamily="34" charset="0"/>
            <a:cs typeface="Segoe UI Bold" panose="020B0802040204020203" pitchFamily="34" charset="0"/>
          </a:endParaRPr>
        </a:p>
      </xdr:txBody>
    </xdr:sp>
    <xdr:clientData/>
  </xdr:twoCellAnchor>
  <xdr:twoCellAnchor>
    <xdr:from>
      <xdr:col>30</xdr:col>
      <xdr:colOff>118120</xdr:colOff>
      <xdr:row>5</xdr:row>
      <xdr:rowOff>14481</xdr:rowOff>
    </xdr:from>
    <xdr:to>
      <xdr:col>34</xdr:col>
      <xdr:colOff>46982</xdr:colOff>
      <xdr:row>7</xdr:row>
      <xdr:rowOff>41103</xdr:rowOff>
    </xdr:to>
    <xdr:sp macro="" textlink="">
      <xdr:nvSpPr>
        <xdr:cNvPr id="12" name="TextBox 11">
          <a:extLst>
            <a:ext uri="{FF2B5EF4-FFF2-40B4-BE49-F238E27FC236}">
              <a16:creationId xmlns:a16="http://schemas.microsoft.com/office/drawing/2014/main" id="{BFC6A988-81A4-61F6-081D-B5F007415454}"/>
            </a:ext>
          </a:extLst>
        </xdr:cNvPr>
        <xdr:cNvSpPr txBox="1"/>
      </xdr:nvSpPr>
      <xdr:spPr>
        <a:xfrm>
          <a:off x="16577320" y="585981"/>
          <a:ext cx="2367262" cy="407622"/>
        </a:xfrm>
        <a:prstGeom prst="rect">
          <a:avLst/>
        </a:prstGeom>
        <a:solidFill>
          <a:srgbClr val="FFCCFF"/>
        </a:solidFill>
        <a:ln w="9525" cmpd="sng">
          <a:solidFill>
            <a:srgbClr val="FFCC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i="0" u="none">
              <a:solidFill>
                <a:schemeClr val="tx1"/>
              </a:solidFill>
              <a:latin typeface="Bahnschrift SemiBold SemiConden" panose="020B0502040204020203" pitchFamily="34" charset="0"/>
              <a:cs typeface="Segoe UI Semibold" panose="020B0702040204020203" pitchFamily="34" charset="0"/>
            </a:rPr>
            <a:t>Average Rating</a:t>
          </a:r>
        </a:p>
      </xdr:txBody>
    </xdr:sp>
    <xdr:clientData/>
  </xdr:twoCellAnchor>
  <xdr:twoCellAnchor editAs="oneCell">
    <xdr:from>
      <xdr:col>29</xdr:col>
      <xdr:colOff>272004</xdr:colOff>
      <xdr:row>5</xdr:row>
      <xdr:rowOff>37379</xdr:rowOff>
    </xdr:from>
    <xdr:to>
      <xdr:col>30</xdr:col>
      <xdr:colOff>76788</xdr:colOff>
      <xdr:row>7</xdr:row>
      <xdr:rowOff>62953</xdr:rowOff>
    </xdr:to>
    <xdr:pic>
      <xdr:nvPicPr>
        <xdr:cNvPr id="30" name="Graphic 29" descr="Star with solid fill">
          <a:extLst>
            <a:ext uri="{FF2B5EF4-FFF2-40B4-BE49-F238E27FC236}">
              <a16:creationId xmlns:a16="http://schemas.microsoft.com/office/drawing/2014/main" id="{9BB2E0D0-8392-1A3D-C87D-3515D37DF33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070366" y="628586"/>
          <a:ext cx="412412" cy="419712"/>
        </a:xfrm>
        <a:prstGeom prst="rect">
          <a:avLst/>
        </a:prstGeom>
        <a:ln>
          <a:noFill/>
        </a:ln>
        <a:effectLst>
          <a:outerShdw blurRad="44450" dist="27940" dir="5400000" algn="ctr">
            <a:srgbClr val="000000">
              <a:alpha val="32000"/>
            </a:srgbClr>
          </a:outerShdw>
        </a:effectLst>
      </xdr:spPr>
    </xdr:pic>
    <xdr:clientData/>
  </xdr:twoCellAnchor>
  <xdr:twoCellAnchor>
    <xdr:from>
      <xdr:col>23</xdr:col>
      <xdr:colOff>63114</xdr:colOff>
      <xdr:row>3</xdr:row>
      <xdr:rowOff>174321</xdr:rowOff>
    </xdr:from>
    <xdr:to>
      <xdr:col>28</xdr:col>
      <xdr:colOff>281415</xdr:colOff>
      <xdr:row>10</xdr:row>
      <xdr:rowOff>170203</xdr:rowOff>
    </xdr:to>
    <xdr:sp macro="" textlink="PROCESSING!S8">
      <xdr:nvSpPr>
        <xdr:cNvPr id="33" name="Rectangle: Rounded Corners 32">
          <a:extLst>
            <a:ext uri="{FF2B5EF4-FFF2-40B4-BE49-F238E27FC236}">
              <a16:creationId xmlns:a16="http://schemas.microsoft.com/office/drawing/2014/main" id="{B789757D-452A-4002-A905-ACBC7CE2A81A}"/>
            </a:ext>
          </a:extLst>
        </xdr:cNvPr>
        <xdr:cNvSpPr/>
      </xdr:nvSpPr>
      <xdr:spPr>
        <a:xfrm>
          <a:off x="12222688" y="356715"/>
          <a:ext cx="3258195" cy="1272637"/>
        </a:xfrm>
        <a:prstGeom prst="roundRect">
          <a:avLst>
            <a:gd name="adj" fmla="val 22192"/>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7658F35-0018-4711-B841-CFD78A755C9A}" type="TxLink">
            <a:rPr lang="en-US" sz="2800" b="1" i="0" u="none" strike="noStrike">
              <a:ln>
                <a:noFill/>
              </a:ln>
              <a:solidFill>
                <a:srgbClr val="CC00CC"/>
              </a:solidFill>
              <a:latin typeface="Segoe UI Bold" panose="020B0802040204020203" pitchFamily="34" charset="0"/>
              <a:ea typeface="Calibri"/>
              <a:cs typeface="Segoe UI Bold" panose="020B0802040204020203" pitchFamily="34" charset="0"/>
            </a:rPr>
            <a:pPr algn="ctr"/>
            <a:t>₹ 19,06,646.00</a:t>
          </a:fld>
          <a:endParaRPr lang="en-IN" sz="2800" b="1">
            <a:ln>
              <a:noFill/>
            </a:ln>
            <a:solidFill>
              <a:srgbClr val="CC00CC"/>
            </a:solidFill>
            <a:latin typeface="Segoe UI Bold" panose="020B0802040204020203" pitchFamily="34" charset="0"/>
            <a:cs typeface="Segoe UI Bold" panose="020B0802040204020203" pitchFamily="34" charset="0"/>
          </a:endParaRPr>
        </a:p>
      </xdr:txBody>
    </xdr:sp>
    <xdr:clientData/>
  </xdr:twoCellAnchor>
  <xdr:twoCellAnchor>
    <xdr:from>
      <xdr:col>24</xdr:col>
      <xdr:colOff>62789</xdr:colOff>
      <xdr:row>5</xdr:row>
      <xdr:rowOff>10234</xdr:rowOff>
    </xdr:from>
    <xdr:to>
      <xdr:col>28</xdr:col>
      <xdr:colOff>27120</xdr:colOff>
      <xdr:row>7</xdr:row>
      <xdr:rowOff>84296</xdr:rowOff>
    </xdr:to>
    <xdr:sp macro="" textlink="">
      <xdr:nvSpPr>
        <xdr:cNvPr id="36" name="TextBox 35">
          <a:extLst>
            <a:ext uri="{FF2B5EF4-FFF2-40B4-BE49-F238E27FC236}">
              <a16:creationId xmlns:a16="http://schemas.microsoft.com/office/drawing/2014/main" id="{1DA2E4BD-0175-48C7-A29D-5362D30D7EA0}"/>
            </a:ext>
          </a:extLst>
        </xdr:cNvPr>
        <xdr:cNvSpPr txBox="1"/>
      </xdr:nvSpPr>
      <xdr:spPr>
        <a:xfrm>
          <a:off x="12937961" y="568596"/>
          <a:ext cx="2416745" cy="446303"/>
        </a:xfrm>
        <a:prstGeom prst="rect">
          <a:avLst/>
        </a:prstGeom>
        <a:solidFill>
          <a:srgbClr val="FFCCFF"/>
        </a:solidFill>
        <a:ln w="9525" cmpd="sng">
          <a:solidFill>
            <a:srgbClr val="FFCC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a:solidFill>
                <a:schemeClr val="tx1"/>
              </a:solidFill>
              <a:latin typeface="Bahnschrift SemiBold SemiConden" panose="020B0502040204020203" pitchFamily="34" charset="0"/>
            </a:rPr>
            <a:t>Total Net Sales</a:t>
          </a:r>
        </a:p>
        <a:p>
          <a:pPr algn="r"/>
          <a:endParaRPr lang="en-IN" sz="1100">
            <a:solidFill>
              <a:srgbClr val="CC00CC"/>
            </a:solidFill>
            <a:latin typeface="Bahnschrift SemiBold SemiConden" panose="020B0502040204020203" pitchFamily="34" charset="0"/>
          </a:endParaRPr>
        </a:p>
      </xdr:txBody>
    </xdr:sp>
    <xdr:clientData/>
  </xdr:twoCellAnchor>
  <xdr:twoCellAnchor editAs="oneCell">
    <xdr:from>
      <xdr:col>23</xdr:col>
      <xdr:colOff>329045</xdr:colOff>
      <xdr:row>5</xdr:row>
      <xdr:rowOff>34636</xdr:rowOff>
    </xdr:from>
    <xdr:to>
      <xdr:col>24</xdr:col>
      <xdr:colOff>173182</xdr:colOff>
      <xdr:row>7</xdr:row>
      <xdr:rowOff>103909</xdr:rowOff>
    </xdr:to>
    <xdr:pic>
      <xdr:nvPicPr>
        <xdr:cNvPr id="39" name="Graphic 38" descr="Bank with solid fill">
          <a:extLst>
            <a:ext uri="{FF2B5EF4-FFF2-40B4-BE49-F238E27FC236}">
              <a16:creationId xmlns:a16="http://schemas.microsoft.com/office/drawing/2014/main" id="{80F2724E-BC93-1BDA-E5F2-561C92FE949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451772" y="606136"/>
          <a:ext cx="450273" cy="450273"/>
        </a:xfrm>
        <a:prstGeom prst="rect">
          <a:avLst/>
        </a:prstGeom>
      </xdr:spPr>
    </xdr:pic>
    <xdr:clientData/>
  </xdr:twoCellAnchor>
  <xdr:twoCellAnchor>
    <xdr:from>
      <xdr:col>17</xdr:col>
      <xdr:colOff>117075</xdr:colOff>
      <xdr:row>3</xdr:row>
      <xdr:rowOff>168430</xdr:rowOff>
    </xdr:from>
    <xdr:to>
      <xdr:col>22</xdr:col>
      <xdr:colOff>335375</xdr:colOff>
      <xdr:row>10</xdr:row>
      <xdr:rowOff>164312</xdr:rowOff>
    </xdr:to>
    <xdr:sp macro="" textlink="PROCESSING!S11">
      <xdr:nvSpPr>
        <xdr:cNvPr id="40" name="Rectangle: Rounded Corners 39">
          <a:extLst>
            <a:ext uri="{FF2B5EF4-FFF2-40B4-BE49-F238E27FC236}">
              <a16:creationId xmlns:a16="http://schemas.microsoft.com/office/drawing/2014/main" id="{8F23B595-D823-45CB-858F-84C900DE2C7B}"/>
            </a:ext>
          </a:extLst>
        </xdr:cNvPr>
        <xdr:cNvSpPr/>
      </xdr:nvSpPr>
      <xdr:spPr>
        <a:xfrm>
          <a:off x="8645273" y="356715"/>
          <a:ext cx="3264085" cy="1313876"/>
        </a:xfrm>
        <a:prstGeom prst="roundRect">
          <a:avLst>
            <a:gd name="adj" fmla="val 22192"/>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5AE244F-026E-4C59-9EF0-5048D59EB812}" type="TxLink">
            <a:rPr lang="en-US" sz="2800" b="1" i="0" u="none" strike="noStrike">
              <a:ln>
                <a:noFill/>
              </a:ln>
              <a:solidFill>
                <a:srgbClr val="CC00CC"/>
              </a:solidFill>
              <a:latin typeface="Segoe UI Bold" panose="020B0802040204020203" pitchFamily="34" charset="0"/>
              <a:ea typeface="Calibri"/>
              <a:cs typeface="Segoe UI Bold" panose="020B0802040204020203" pitchFamily="34" charset="0"/>
            </a:rPr>
            <a:pPr algn="ctr"/>
            <a:t>750</a:t>
          </a:fld>
          <a:endParaRPr lang="en-US" sz="6000" b="1" i="0" u="none" strike="noStrike">
            <a:ln>
              <a:noFill/>
            </a:ln>
            <a:solidFill>
              <a:srgbClr val="CC00CC"/>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18</xdr:col>
      <xdr:colOff>222402</xdr:colOff>
      <xdr:row>5</xdr:row>
      <xdr:rowOff>4154</xdr:rowOff>
    </xdr:from>
    <xdr:to>
      <xdr:col>21</xdr:col>
      <xdr:colOff>536465</xdr:colOff>
      <xdr:row>7</xdr:row>
      <xdr:rowOff>110380</xdr:rowOff>
    </xdr:to>
    <xdr:sp macro="" textlink="">
      <xdr:nvSpPr>
        <xdr:cNvPr id="41" name="TextBox 40">
          <a:extLst>
            <a:ext uri="{FF2B5EF4-FFF2-40B4-BE49-F238E27FC236}">
              <a16:creationId xmlns:a16="http://schemas.microsoft.com/office/drawing/2014/main" id="{7ACA0024-E4AA-5FCB-470D-7C32DA87FCC6}"/>
            </a:ext>
          </a:extLst>
        </xdr:cNvPr>
        <xdr:cNvSpPr txBox="1"/>
      </xdr:nvSpPr>
      <xdr:spPr>
        <a:xfrm>
          <a:off x="9418954" y="562516"/>
          <a:ext cx="2153373" cy="478467"/>
        </a:xfrm>
        <a:prstGeom prst="rect">
          <a:avLst/>
        </a:prstGeom>
        <a:solidFill>
          <a:srgbClr val="FFCCFF"/>
        </a:solidFill>
        <a:ln w="9525" cmpd="sng">
          <a:solidFill>
            <a:srgbClr val="FFCC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a:solidFill>
                <a:schemeClr val="tx1"/>
              </a:solidFill>
              <a:latin typeface="Bahnschrift SemiBold SemiConden" panose="020B0502040204020203" pitchFamily="34" charset="0"/>
            </a:rPr>
            <a:t>Total Orders</a:t>
          </a:r>
        </a:p>
        <a:p>
          <a:endParaRPr lang="en-IN" sz="1100">
            <a:solidFill>
              <a:schemeClr val="tx1"/>
            </a:solidFill>
            <a:latin typeface="Bahnschrift SemiBold SemiConden" panose="020B0502040204020203" pitchFamily="34" charset="0"/>
          </a:endParaRPr>
        </a:p>
      </xdr:txBody>
    </xdr:sp>
    <xdr:clientData/>
  </xdr:twoCellAnchor>
  <xdr:twoCellAnchor editAs="oneCell">
    <xdr:from>
      <xdr:col>17</xdr:col>
      <xdr:colOff>317501</xdr:colOff>
      <xdr:row>5</xdr:row>
      <xdr:rowOff>59532</xdr:rowOff>
    </xdr:from>
    <xdr:to>
      <xdr:col>18</xdr:col>
      <xdr:colOff>218281</xdr:colOff>
      <xdr:row>7</xdr:row>
      <xdr:rowOff>175026</xdr:rowOff>
    </xdr:to>
    <xdr:pic>
      <xdr:nvPicPr>
        <xdr:cNvPr id="43" name="Graphic 42" descr="Books on shelf with solid fill">
          <a:extLst>
            <a:ext uri="{FF2B5EF4-FFF2-40B4-BE49-F238E27FC236}">
              <a16:creationId xmlns:a16="http://schemas.microsoft.com/office/drawing/2014/main" id="{AF6E212F-3131-6AC4-AA84-B8C098759DB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790782" y="625079"/>
          <a:ext cx="506016" cy="492525"/>
        </a:xfrm>
        <a:prstGeom prst="rect">
          <a:avLst/>
        </a:prstGeom>
      </xdr:spPr>
    </xdr:pic>
    <xdr:clientData/>
  </xdr:twoCellAnchor>
  <xdr:twoCellAnchor>
    <xdr:from>
      <xdr:col>11</xdr:col>
      <xdr:colOff>131384</xdr:colOff>
      <xdr:row>3</xdr:row>
      <xdr:rowOff>171033</xdr:rowOff>
    </xdr:from>
    <xdr:to>
      <xdr:col>16</xdr:col>
      <xdr:colOff>349684</xdr:colOff>
      <xdr:row>10</xdr:row>
      <xdr:rowOff>153298</xdr:rowOff>
    </xdr:to>
    <xdr:sp macro="" textlink="PROCESSING!S14">
      <xdr:nvSpPr>
        <xdr:cNvPr id="44" name="Rectangle: Rounded Corners 43">
          <a:extLst>
            <a:ext uri="{FF2B5EF4-FFF2-40B4-BE49-F238E27FC236}">
              <a16:creationId xmlns:a16="http://schemas.microsoft.com/office/drawing/2014/main" id="{B4735562-147C-4793-95AC-B4F4EC1DE8E7}"/>
            </a:ext>
          </a:extLst>
        </xdr:cNvPr>
        <xdr:cNvSpPr/>
      </xdr:nvSpPr>
      <xdr:spPr>
        <a:xfrm>
          <a:off x="4992418" y="368102"/>
          <a:ext cx="3256447" cy="1361748"/>
        </a:xfrm>
        <a:prstGeom prst="roundRect">
          <a:avLst>
            <a:gd name="adj" fmla="val 22192"/>
          </a:avLst>
        </a:prstGeom>
        <a:solidFill>
          <a:srgbClr val="FFCC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3D43F8A-815F-4B9C-9D96-971BD932A94E}" type="TxLink">
            <a:rPr lang="en-US" sz="2800" b="1" i="0" u="none" strike="noStrike">
              <a:ln>
                <a:noFill/>
              </a:ln>
              <a:solidFill>
                <a:srgbClr val="CC00CC"/>
              </a:solidFill>
              <a:latin typeface="Segoe UI Bold" panose="020B0802040204020203" pitchFamily="34" charset="0"/>
              <a:ea typeface="Calibri"/>
              <a:cs typeface="Segoe UI Bold" panose="020B0802040204020203" pitchFamily="34" charset="0"/>
            </a:rPr>
            <a:pPr algn="ctr"/>
            <a:t>2324</a:t>
          </a:fld>
          <a:endParaRPr lang="en-US" sz="13800" b="1" i="0" u="none" strike="noStrike">
            <a:ln>
              <a:noFill/>
            </a:ln>
            <a:solidFill>
              <a:srgbClr val="CC00CC"/>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12</xdr:col>
      <xdr:colOff>123215</xdr:colOff>
      <xdr:row>5</xdr:row>
      <xdr:rowOff>43793</xdr:rowOff>
    </xdr:from>
    <xdr:to>
      <xdr:col>16</xdr:col>
      <xdr:colOff>113010</xdr:colOff>
      <xdr:row>7</xdr:row>
      <xdr:rowOff>87587</xdr:rowOff>
    </xdr:to>
    <xdr:sp macro="" textlink="">
      <xdr:nvSpPr>
        <xdr:cNvPr id="45" name="TextBox 44">
          <a:extLst>
            <a:ext uri="{FF2B5EF4-FFF2-40B4-BE49-F238E27FC236}">
              <a16:creationId xmlns:a16="http://schemas.microsoft.com/office/drawing/2014/main" id="{9BC8330D-BA4B-4441-0C2C-09E45DE452EC}"/>
            </a:ext>
          </a:extLst>
        </xdr:cNvPr>
        <xdr:cNvSpPr txBox="1"/>
      </xdr:nvSpPr>
      <xdr:spPr>
        <a:xfrm>
          <a:off x="5644486" y="624979"/>
          <a:ext cx="2443693" cy="431252"/>
        </a:xfrm>
        <a:prstGeom prst="rect">
          <a:avLst/>
        </a:prstGeom>
        <a:solidFill>
          <a:srgbClr val="FFCCFF"/>
        </a:solidFill>
        <a:ln w="9525" cmpd="sng">
          <a:solidFill>
            <a:srgbClr val="FFCC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a:ln>
                <a:noFill/>
              </a:ln>
              <a:latin typeface="Bahnschrift SemiBold SemiConden" panose="020B0502040204020203" pitchFamily="34" charset="0"/>
            </a:rPr>
            <a:t>Total Units Sold</a:t>
          </a:r>
        </a:p>
        <a:p>
          <a:pPr algn="r"/>
          <a:endParaRPr lang="en-IN" sz="1800"/>
        </a:p>
      </xdr:txBody>
    </xdr:sp>
    <xdr:clientData/>
  </xdr:twoCellAnchor>
  <xdr:twoCellAnchor editAs="oneCell">
    <xdr:from>
      <xdr:col>11</xdr:col>
      <xdr:colOff>328447</xdr:colOff>
      <xdr:row>5</xdr:row>
      <xdr:rowOff>65689</xdr:rowOff>
    </xdr:from>
    <xdr:to>
      <xdr:col>12</xdr:col>
      <xdr:colOff>186119</xdr:colOff>
      <xdr:row>7</xdr:row>
      <xdr:rowOff>164224</xdr:rowOff>
    </xdr:to>
    <xdr:pic>
      <xdr:nvPicPr>
        <xdr:cNvPr id="47" name="Graphic 46" descr="Bar chart with solid fill">
          <a:extLst>
            <a:ext uri="{FF2B5EF4-FFF2-40B4-BE49-F238E27FC236}">
              <a16:creationId xmlns:a16="http://schemas.microsoft.com/office/drawing/2014/main" id="{A4438C6E-E8A3-A763-977E-958BE026075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233275" y="624051"/>
          <a:ext cx="470776" cy="4707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10800</xdr:rowOff>
    </xdr:from>
    <xdr:to>
      <xdr:col>4</xdr:col>
      <xdr:colOff>15595</xdr:colOff>
      <xdr:row>26</xdr:row>
      <xdr:rowOff>32760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11</xdr:row>
      <xdr:rowOff>10800</xdr:rowOff>
    </xdr:from>
    <xdr:to>
      <xdr:col>7</xdr:col>
      <xdr:colOff>390912</xdr:colOff>
      <xdr:row>26</xdr:row>
      <xdr:rowOff>32760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27</xdr:row>
      <xdr:rowOff>10800</xdr:rowOff>
    </xdr:from>
    <xdr:to>
      <xdr:col>4</xdr:col>
      <xdr:colOff>15595</xdr:colOff>
      <xdr:row>44</xdr:row>
      <xdr:rowOff>11880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27</xdr:row>
      <xdr:rowOff>10800</xdr:rowOff>
    </xdr:from>
    <xdr:to>
      <xdr:col>8</xdr:col>
      <xdr:colOff>300892</xdr:colOff>
      <xdr:row>44</xdr:row>
      <xdr:rowOff>11880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7.707068634256" createdVersion="8" refreshedVersion="8" minRefreshableVersion="3" recordCount="750" xr:uid="{BFD80409-A8DF-46FB-8E43-828BF2F2D3A1}">
  <cacheSource type="worksheet">
    <worksheetSource name="NykaaSalesData3"/>
  </cacheSource>
  <cacheFields count="18">
    <cacheField name="Order ID" numFmtId="0">
      <sharedItems count="750">
        <s v="NYK10417"/>
        <s v="NYK10485"/>
        <s v="NYK10403"/>
        <s v="NYK10511"/>
        <s v="NYK10019"/>
        <s v="NYK10531"/>
        <s v="NYK10330"/>
        <s v="NYK10387"/>
        <s v="NYK10704"/>
        <s v="NYK10701"/>
        <s v="NYK10275"/>
        <s v="NYK10009"/>
        <s v="NYK10335"/>
        <s v="NYK10060"/>
        <s v="NYK10626"/>
        <s v="NYK10586"/>
        <s v="NYK10516"/>
        <s v="NYK10617"/>
        <s v="NYK10415"/>
        <s v="NYK10465"/>
        <s v="NYK10345"/>
        <s v="NYK10128"/>
        <s v="NYK10096"/>
        <s v="NYK10161"/>
        <s v="NYK10105"/>
        <s v="NYK10605"/>
        <s v="NYK10653"/>
        <s v="NYK10663"/>
        <s v="NYK10689"/>
        <s v="NYK10670"/>
        <s v="NYK10064"/>
        <s v="NYK10201"/>
        <s v="NYK10498"/>
        <s v="NYK10006"/>
        <s v="NYK10379"/>
        <s v="NYK10410"/>
        <s v="NYK10426"/>
        <s v="NYK10718"/>
        <s v="NYK10492"/>
        <s v="NYK10696"/>
        <s v="NYK10028"/>
        <s v="NYK10170"/>
        <s v="NYK10227"/>
        <s v="NYK10608"/>
        <s v="NYK10200"/>
        <s v="NYK10134"/>
        <s v="NYK10419"/>
        <s v="NYK10693"/>
        <s v="NYK10579"/>
        <s v="NYK10616"/>
        <s v="NYK10431"/>
        <s v="NYK10107"/>
        <s v="NYK10525"/>
        <s v="NYK10338"/>
        <s v="NYK10574"/>
        <s v="NYK10304"/>
        <s v="NYK10646"/>
        <s v="NYK10684"/>
        <s v="NYK10118"/>
        <s v="NYK10336"/>
        <s v="NYK10283"/>
        <s v="NYK10630"/>
        <s v="NYK10421"/>
        <s v="NYK10399"/>
        <s v="NYK10349"/>
        <s v="NYK10097"/>
        <s v="NYK10514"/>
        <s v="NYK10680"/>
        <s v="NYK10566"/>
        <s v="NYK10184"/>
        <s v="NYK10244"/>
        <s v="NYK10369"/>
        <s v="NYK10061"/>
        <s v="NYK10271"/>
        <s v="NYK10205"/>
        <s v="NYK10278"/>
        <s v="NYK10422"/>
        <s v="NYK10113"/>
        <s v="NYK10249"/>
        <s v="NYK10624"/>
        <s v="NYK10738"/>
        <s v="NYK10150"/>
        <s v="NYK10649"/>
        <s v="NYK10677"/>
        <s v="NYK10535"/>
        <s v="NYK10245"/>
        <s v="NYK10697"/>
        <s v="NYK10490"/>
        <s v="NYK10641"/>
        <s v="NYK10627"/>
        <s v="NYK10112"/>
        <s v="NYK10667"/>
        <s v="NYK10008"/>
        <s v="NYK10729"/>
        <s v="NYK10080"/>
        <s v="NYK10565"/>
        <s v="NYK10282"/>
        <s v="NYK10318"/>
        <s v="NYK10322"/>
        <s v="NYK10429"/>
        <s v="NYK10101"/>
        <s v="NYK10720"/>
        <s v="NYK10638"/>
        <s v="NYK10440"/>
        <s v="NYK10192"/>
        <s v="NYK10682"/>
        <s v="NYK10004"/>
        <s v="NYK10520"/>
        <s v="NYK10509"/>
        <s v="NYK10206"/>
        <s v="NYK10261"/>
        <s v="NYK10238"/>
        <s v="NYK10707"/>
        <s v="NYK10033"/>
        <s v="NYK10288"/>
        <s v="NYK10568"/>
        <s v="NYK10540"/>
        <s v="NYK10497"/>
        <s v="NYK10455"/>
        <s v="NYK10660"/>
        <s v="NYK10108"/>
        <s v="NYK10065"/>
        <s v="NYK10569"/>
        <s v="NYK10609"/>
        <s v="NYK10250"/>
        <s v="NYK10603"/>
        <s v="NYK10389"/>
        <s v="NYK10658"/>
        <s v="NYK10143"/>
        <s v="NYK10003"/>
        <s v="NYK10066"/>
        <s v="NYK10035"/>
        <s v="NYK10286"/>
        <s v="NYK10012"/>
        <s v="NYK10273"/>
        <s v="NYK10331"/>
        <s v="NYK10477"/>
        <s v="NYK10124"/>
        <s v="NYK10457"/>
        <s v="NYK10024"/>
        <s v="NYK10176"/>
        <s v="NYK10359"/>
        <s v="NYK10372"/>
        <s v="NYK10741"/>
        <s v="NYK10074"/>
        <s v="NYK10468"/>
        <s v="NYK10258"/>
        <s v="NYK10181"/>
        <s v="NYK10305"/>
        <s v="NYK10691"/>
        <s v="NYK10655"/>
        <s v="NYK10640"/>
        <s v="NYK10129"/>
        <s v="NYK10123"/>
        <s v="NYK10364"/>
        <s v="NYK10159"/>
        <s v="NYK10007"/>
        <s v="NYK10746"/>
        <s v="NYK10648"/>
        <s v="NYK10231"/>
        <s v="NYK10217"/>
        <s v="NYK10140"/>
        <s v="NYK10078"/>
        <s v="NYK10557"/>
        <s v="NYK10392"/>
        <s v="NYK10377"/>
        <s v="NYK10545"/>
        <s v="NYK10099"/>
        <s v="NYK10459"/>
        <s v="NYK10300"/>
        <s v="NYK10254"/>
        <s v="NYK10510"/>
        <s v="NYK10077"/>
        <s v="NYK10141"/>
        <s v="NYK10489"/>
        <s v="NYK10546"/>
        <s v="NYK10092"/>
        <s v="NYK10578"/>
        <s v="NYK10323"/>
        <s v="NYK10219"/>
        <s v="NYK10645"/>
        <s v="NYK10524"/>
        <s v="NYK10366"/>
        <s v="NYK10507"/>
        <s v="NYK10460"/>
        <s v="NYK10610"/>
        <s v="NYK10346"/>
        <s v="NYK10319"/>
        <s v="NYK10224"/>
        <s v="NYK10398"/>
        <s v="NYK10495"/>
        <s v="NYK10723"/>
        <s v="NYK10517"/>
        <s v="NYK10562"/>
        <s v="NYK10164"/>
        <s v="NYK10036"/>
        <s v="NYK10173"/>
        <s v="NYK10717"/>
        <s v="NYK10295"/>
        <s v="NYK10030"/>
        <s v="NYK10182"/>
        <s v="NYK10385"/>
        <s v="NYK10555"/>
        <s v="NYK10454"/>
        <s v="NYK10480"/>
        <s v="NYK10506"/>
        <s v="NYK10132"/>
        <s v="NYK10142"/>
        <s v="NYK10747"/>
        <s v="NYK10406"/>
        <s v="NYK10418"/>
        <s v="NYK10020"/>
        <s v="NYK10329"/>
        <s v="NYK10158"/>
        <s v="NYK10114"/>
        <s v="NYK10433"/>
        <s v="NYK10038"/>
        <s v="NYK10601"/>
        <s v="NYK10013"/>
        <s v="NYK10265"/>
        <s v="NYK10686"/>
        <s v="NYK10314"/>
        <s v="NYK10508"/>
        <s v="NYK10528"/>
        <s v="NYK10109"/>
        <s v="NYK10476"/>
        <s v="NYK10633"/>
        <s v="NYK10063"/>
        <s v="NYK10352"/>
        <s v="NYK10047"/>
        <s v="NYK10094"/>
        <s v="NYK10376"/>
        <s v="NYK10296"/>
        <s v="NYK10095"/>
        <s v="NYK10593"/>
        <s v="NYK10180"/>
        <s v="NYK10196"/>
        <s v="NYK10240"/>
        <s v="NYK10560"/>
        <s v="NYK10190"/>
        <s v="NYK10342"/>
        <s v="NYK10690"/>
        <s v="NYK10274"/>
        <s v="NYK10449"/>
        <s v="NYK10672"/>
        <s v="NYK10388"/>
        <s v="NYK10237"/>
        <s v="NYK10226"/>
        <s v="NYK10430"/>
        <s v="NYK10702"/>
        <s v="NYK10348"/>
        <s v="NYK10611"/>
        <s v="NYK10183"/>
        <s v="NYK10400"/>
        <s v="NYK10656"/>
        <s v="NYK10315"/>
        <s v="NYK10386"/>
        <s v="NYK10634"/>
        <s v="NYK10647"/>
        <s v="NYK10596"/>
        <s v="NYK10228"/>
        <s v="NYK10544"/>
        <s v="NYK10280"/>
        <s v="NYK10679"/>
        <s v="NYK10337"/>
        <s v="NYK10688"/>
        <s v="NYK10076"/>
        <s v="NYK10482"/>
        <s v="NYK10713"/>
        <s v="NYK10042"/>
        <s v="NYK10745"/>
        <s v="NYK10662"/>
        <s v="NYK10155"/>
        <s v="NYK10344"/>
        <s v="NYK10589"/>
        <s v="NYK10736"/>
        <s v="NYK10737"/>
        <s v="NYK10174"/>
        <s v="NYK10029"/>
        <s v="NYK10719"/>
        <s v="NYK10393"/>
        <s v="NYK10666"/>
        <s v="NYK10592"/>
        <s v="NYK10070"/>
        <s v="NYK10564"/>
        <s v="NYK10375"/>
        <s v="NYK10428"/>
        <s v="NYK10674"/>
        <s v="NYK10668"/>
        <s v="NYK10390"/>
        <s v="NYK10361"/>
        <s v="NYK10289"/>
        <s v="NYK10650"/>
        <s v="NYK10208"/>
        <s v="NYK10204"/>
        <s v="NYK10502"/>
        <s v="NYK10172"/>
        <s v="NYK10197"/>
        <s v="NYK10000"/>
        <s v="NYK10381"/>
        <s v="NYK10475"/>
        <s v="NYK10104"/>
        <s v="NYK10002"/>
        <s v="NYK10673"/>
        <s v="NYK10357"/>
        <s v="NYK10055"/>
        <s v="NYK10391"/>
        <s v="NYK10125"/>
        <s v="NYK10396"/>
        <s v="NYK10103"/>
        <s v="NYK10165"/>
        <s v="NYK10543"/>
        <s v="NYK10501"/>
        <s v="NYK10727"/>
        <s v="NYK10309"/>
        <s v="NYK10185"/>
        <s v="NYK10452"/>
        <s v="NYK10708"/>
        <s v="NYK10073"/>
        <s v="NYK10253"/>
        <s v="NYK10558"/>
        <s v="NYK10135"/>
        <s v="NYK10621"/>
        <s v="NYK10171"/>
        <s v="NYK10461"/>
        <s v="NYK10732"/>
        <s v="NYK10218"/>
        <s v="NYK10644"/>
        <s v="NYK10500"/>
        <s v="NYK10664"/>
        <s v="NYK10441"/>
        <s v="NYK10533"/>
        <s v="NYK10255"/>
        <s v="NYK10494"/>
        <s v="NYK10703"/>
        <s v="NYK10321"/>
        <s v="NYK10154"/>
        <s v="NYK10317"/>
        <s v="NYK10384"/>
        <s v="NYK10597"/>
        <s v="NYK10187"/>
        <s v="NYK10138"/>
        <s v="NYK10011"/>
        <s v="NYK10341"/>
        <s v="NYK10148"/>
        <s v="NYK10661"/>
        <s v="NYK10705"/>
        <s v="NYK10207"/>
        <s v="NYK10120"/>
        <s v="NYK10687"/>
        <s v="NYK10700"/>
        <s v="NYK10711"/>
        <s v="NYK10614"/>
        <s v="NYK10365"/>
        <s v="NYK10027"/>
        <s v="NYK10733"/>
        <s v="NYK10519"/>
        <s v="NYK10303"/>
        <s v="NYK10394"/>
        <s v="NYK10724"/>
        <s v="NYK10552"/>
        <s v="NYK10194"/>
        <s v="NYK10635"/>
        <s v="NYK10137"/>
        <s v="NYK10088"/>
        <s v="NYK10639"/>
        <s v="NYK10152"/>
        <s v="NYK10382"/>
        <s v="NYK10052"/>
        <s v="NYK10270"/>
        <s v="NYK10397"/>
        <s v="NYK10408"/>
        <s v="NYK10026"/>
        <s v="NYK10332"/>
        <s v="NYK10538"/>
        <s v="NYK10057"/>
        <s v="NYK10203"/>
        <s v="NYK10631"/>
        <s v="NYK10654"/>
        <s v="NYK10298"/>
        <s v="NYK10580"/>
        <s v="NYK10229"/>
        <s v="NYK10222"/>
        <s v="NYK10139"/>
        <s v="NYK10491"/>
        <s v="NYK10622"/>
        <s v="NYK10198"/>
        <s v="NYK10268"/>
        <s v="NYK10414"/>
        <s v="NYK10548"/>
        <s v="NYK10356"/>
        <s v="NYK10059"/>
        <s v="NYK10214"/>
        <s v="NYK10243"/>
        <s v="NYK10343"/>
        <s v="NYK10145"/>
        <s v="NYK10294"/>
        <s v="NYK10093"/>
        <s v="NYK10523"/>
        <s v="NYK10221"/>
        <s v="NYK10685"/>
        <s v="NYK10714"/>
        <s v="NYK10487"/>
        <s v="NYK10671"/>
        <s v="NYK10102"/>
        <s v="NYK10248"/>
        <s v="NYK10734"/>
        <s v="NYK10081"/>
        <s v="NYK10223"/>
        <s v="NYK10311"/>
        <s v="NYK10470"/>
        <s v="NYK10340"/>
        <s v="NYK10731"/>
        <s v="NYK10582"/>
        <s v="NYK10162"/>
        <s v="NYK10312"/>
        <s v="NYK10320"/>
        <s v="NYK10166"/>
        <s v="NYK10084"/>
        <s v="NYK10443"/>
        <s v="NYK10728"/>
        <s v="NYK10681"/>
        <s v="NYK10706"/>
        <s v="NYK10157"/>
        <s v="NYK10287"/>
        <s v="NYK10133"/>
        <s v="NYK10405"/>
        <s v="NYK10409"/>
        <s v="NYK10290"/>
        <s v="NYK10260"/>
        <s v="NYK10350"/>
        <s v="NYK10467"/>
        <s v="NYK10380"/>
        <s v="NYK10659"/>
        <s v="NYK10424"/>
        <s v="NYK10310"/>
        <s v="NYK10643"/>
        <s v="NYK10484"/>
        <s v="NYK10625"/>
        <s v="NYK10199"/>
        <s v="NYK10742"/>
        <s v="NYK10739"/>
        <s v="NYK10230"/>
        <s v="NYK10186"/>
        <s v="NYK10276"/>
        <s v="NYK10471"/>
        <s v="NYK10446"/>
        <s v="NYK10551"/>
        <s v="NYK10087"/>
        <s v="NYK10623"/>
        <s v="NYK10709"/>
        <s v="NYK10301"/>
        <s v="NYK10374"/>
        <s v="NYK10213"/>
        <s v="NYK10563"/>
        <s v="NYK10730"/>
        <s v="NYK10572"/>
        <s v="NYK10550"/>
        <s v="NYK10721"/>
        <s v="NYK10111"/>
        <s v="NYK10016"/>
        <s v="NYK10404"/>
        <s v="NYK10210"/>
        <s v="NYK10425"/>
        <s v="NYK10576"/>
        <s v="NYK10100"/>
        <s v="NYK10156"/>
        <s v="NYK10577"/>
        <s v="NYK10698"/>
        <s v="NYK10412"/>
        <s v="NYK10279"/>
        <s v="NYK10692"/>
        <s v="NYK10735"/>
        <s v="NYK10292"/>
        <s v="NYK10083"/>
        <s v="NYK10037"/>
        <s v="NYK10472"/>
        <s v="NYK10549"/>
        <s v="NYK10264"/>
        <s v="NYK10054"/>
        <s v="NYK10220"/>
        <s v="NYK10628"/>
        <s v="NYK10277"/>
        <s v="NYK10179"/>
        <s v="NYK10235"/>
        <s v="NYK10451"/>
        <s v="NYK10479"/>
        <s v="NYK10612"/>
        <s v="NYK10098"/>
        <s v="NYK10023"/>
        <s v="NYK10651"/>
        <s v="NYK10561"/>
        <s v="NYK10031"/>
        <s v="NYK10716"/>
        <s v="NYK10602"/>
        <s v="NYK10212"/>
        <s v="NYK10263"/>
        <s v="NYK10554"/>
        <s v="NYK10259"/>
        <s v="NYK10153"/>
        <s v="NYK10474"/>
        <s v="NYK10049"/>
        <s v="NYK10327"/>
        <s v="NYK10169"/>
        <s v="NYK10432"/>
        <s v="NYK10370"/>
        <s v="NYK10669"/>
        <s v="NYK10056"/>
        <s v="NYK10743"/>
        <s v="NYK10281"/>
        <s v="NYK10167"/>
        <s v="NYK10678"/>
        <s v="NYK10556"/>
        <s v="NYK10015"/>
        <s v="NYK10045"/>
        <s v="NYK10694"/>
        <s v="NYK10740"/>
        <s v="NYK10091"/>
        <s v="NYK10269"/>
        <s v="NYK10532"/>
        <s v="NYK10604"/>
        <s v="NYK10522"/>
        <s v="NYK10071"/>
        <s v="NYK10131"/>
        <s v="NYK10699"/>
        <s v="NYK10163"/>
        <s v="NYK10010"/>
        <s v="NYK10266"/>
        <s v="NYK10567"/>
        <s v="NYK10225"/>
        <s v="NYK10041"/>
        <s v="NYK10117"/>
        <s v="NYK10302"/>
        <s v="NYK10293"/>
        <s v="NYK10116"/>
        <s v="NYK10021"/>
        <s v="NYK10427"/>
        <s v="NYK10360"/>
        <s v="NYK10363"/>
        <s v="NYK10473"/>
        <s v="NYK10127"/>
        <s v="NYK10493"/>
        <s v="NYK10252"/>
        <s v="NYK10676"/>
        <s v="NYK10695"/>
        <s v="NYK10068"/>
        <s v="NYK10503"/>
        <s v="NYK10575"/>
        <s v="NYK10378"/>
        <s v="NYK10053"/>
        <s v="NYK10744"/>
        <s v="NYK10284"/>
        <s v="NYK10146"/>
        <s v="NYK10462"/>
        <s v="NYK10620"/>
        <s v="NYK10126"/>
        <s v="NYK10239"/>
        <s v="NYK10512"/>
        <s v="NYK10149"/>
        <s v="NYK10046"/>
        <s v="NYK10407"/>
        <s v="NYK10017"/>
        <s v="NYK10189"/>
        <s v="NYK10058"/>
        <s v="NYK10089"/>
        <s v="NYK10581"/>
        <s v="NYK10437"/>
        <s v="NYK10048"/>
        <s v="NYK10401"/>
        <s v="NYK10144"/>
        <s v="NYK10195"/>
        <s v="NYK10444"/>
        <s v="NYK10483"/>
        <s v="NYK10416"/>
        <s v="NYK10594"/>
        <s v="NYK10411"/>
        <s v="NYK10324"/>
        <s v="NYK10147"/>
        <s v="NYK10193"/>
        <s v="NYK10333"/>
        <s v="NYK10014"/>
        <s v="NYK10665"/>
        <s v="NYK10423"/>
        <s v="NYK10040"/>
        <s v="NYK10188"/>
        <s v="NYK10001"/>
        <s v="NYK10657"/>
        <s v="NYK10637"/>
        <s v="NYK10326"/>
        <s v="NYK10613"/>
        <s v="NYK10202"/>
        <s v="NYK10115"/>
        <s v="NYK10547"/>
        <s v="NYK10353"/>
        <s v="NYK10553"/>
        <s v="NYK10285"/>
        <s v="NYK10178"/>
        <s v="NYK10710"/>
        <s v="NYK10216"/>
        <s v="NYK10434"/>
        <s v="NYK10044"/>
        <s v="NYK10211"/>
        <s v="NYK10395"/>
        <s v="NYK10373"/>
        <s v="NYK10234"/>
        <s v="NYK10629"/>
        <s v="NYK10050"/>
        <s v="NYK10075"/>
        <s v="NYK10354"/>
        <s v="NYK10082"/>
        <s v="NYK10438"/>
        <s v="NYK10267"/>
        <s v="NYK10527"/>
        <s v="NYK10262"/>
        <s v="NYK10458"/>
        <s v="NYK10530"/>
        <s v="NYK10358"/>
        <s v="NYK10683"/>
        <s v="NYK10413"/>
        <s v="NYK10368"/>
        <s v="NYK10573"/>
        <s v="NYK10652"/>
        <s v="NYK10339"/>
        <s v="NYK10191"/>
        <s v="NYK10481"/>
        <s v="NYK10067"/>
        <s v="NYK10529"/>
        <s v="NYK10748"/>
        <s v="NYK10085"/>
        <s v="NYK10447"/>
        <s v="NYK10749"/>
        <s v="NYK10607"/>
        <s v="NYK10242"/>
        <s v="NYK10005"/>
        <s v="NYK10130"/>
        <s v="NYK10450"/>
        <s v="NYK10119"/>
        <s v="NYK10712"/>
        <s v="NYK10464"/>
        <s v="NYK10583"/>
        <s v="NYK10619"/>
        <s v="NYK10725"/>
        <s v="NYK10435"/>
        <s v="NYK10062"/>
        <s v="NYK10536"/>
        <s v="NYK10436"/>
        <s v="NYK10090"/>
        <s v="NYK10313"/>
        <s v="NYK10584"/>
        <s v="NYK10496"/>
        <s v="NYK10420"/>
        <s v="NYK10488"/>
        <s v="NYK10442"/>
        <s v="NYK10587"/>
        <s v="NYK10209"/>
        <s v="NYK10534"/>
        <s v="NYK10513"/>
        <s v="NYK10599"/>
        <s v="NYK10642"/>
        <s v="NYK10306"/>
        <s v="NYK10106"/>
        <s v="NYK10588"/>
        <s v="NYK10307"/>
        <s v="NYK10246"/>
        <s v="NYK10499"/>
        <s v="NYK10367"/>
        <s v="NYK10505"/>
        <s v="NYK10168"/>
        <s v="NYK10402"/>
        <s v="NYK10466"/>
        <s v="NYK10151"/>
        <s v="NYK10726"/>
        <s v="NYK10032"/>
        <s v="NYK10316"/>
        <s v="NYK10453"/>
        <s v="NYK10541"/>
        <s v="NYK10241"/>
        <s v="NYK10136"/>
        <s v="NYK10297"/>
        <s v="NYK10347"/>
        <s v="NYK10351"/>
        <s v="NYK10215"/>
        <s v="NYK10537"/>
        <s v="NYK10448"/>
        <s v="NYK10272"/>
        <s v="NYK10600"/>
        <s v="NYK10236"/>
        <s v="NYK10585"/>
        <s v="NYK10018"/>
        <s v="NYK10325"/>
        <s v="NYK10515"/>
        <s v="NYK10251"/>
        <s v="NYK10445"/>
        <s v="NYK10722"/>
        <s v="NYK10022"/>
        <s v="NYK10632"/>
        <s v="NYK10247"/>
        <s v="NYK10590"/>
        <s v="NYK10456"/>
        <s v="NYK10615"/>
        <s v="NYK10355"/>
        <s v="NYK10439"/>
        <s v="NYK10595"/>
        <s v="NYK10257"/>
        <s v="NYK10618"/>
        <s v="NYK10542"/>
        <s v="NYK10025"/>
        <s v="NYK10175"/>
        <s v="NYK10069"/>
        <s v="NYK10591"/>
        <s v="NYK10539"/>
        <s v="NYK10079"/>
        <s v="NYK10526"/>
        <s v="NYK10308"/>
        <s v="NYK10518"/>
        <s v="NYK10371"/>
        <s v="NYK10486"/>
        <s v="NYK10469"/>
        <s v="NYK10570"/>
        <s v="NYK10383"/>
        <s v="NYK10675"/>
        <s v="NYK10086"/>
        <s v="NYK10177"/>
        <s v="NYK10299"/>
        <s v="NYK10504"/>
        <s v="NYK10559"/>
        <s v="NYK10122"/>
        <s v="NYK10463"/>
        <s v="NYK10636"/>
        <s v="NYK10606"/>
        <s v="NYK10521"/>
        <s v="NYK10334"/>
        <s v="NYK10715"/>
        <s v="NYK10232"/>
        <s v="NYK10571"/>
        <s v="NYK10051"/>
        <s v="NYK10039"/>
        <s v="NYK10291"/>
        <s v="NYK10598"/>
        <s v="NYK10121"/>
        <s v="NYK10233"/>
        <s v="NYK10478"/>
        <s v="NYK10256"/>
        <s v="NYK10328"/>
        <s v="NYK10110"/>
        <s v="NYK10362"/>
        <s v="NYK10043"/>
        <s v="NYK10160"/>
        <s v="NYK10034"/>
        <s v="NYK10072"/>
      </sharedItems>
    </cacheField>
    <cacheField name="Order Date" numFmtId="14">
      <sharedItems containsSemiMixedTypes="0" containsNonDate="0" containsDate="1" containsString="0" minDate="2025-07-01T00:00:00" maxDate="2026-06-30T00:00:00" count="314">
        <d v="2025-07-01T00:00:00"/>
        <d v="2025-07-02T00:00:00"/>
        <d v="2025-07-03T00:00:00"/>
        <d v="2025-07-04T00:00:00"/>
        <d v="2025-07-05T00:00:00"/>
        <d v="2025-07-06T00:00:00"/>
        <d v="2025-07-07T00:00:00"/>
        <d v="2025-07-08T00:00:00"/>
        <d v="2025-07-10T00:00:00"/>
        <d v="2025-07-11T00:00:00"/>
        <d v="2025-07-13T00:00:00"/>
        <d v="2025-07-14T00:00:00"/>
        <d v="2025-07-15T00:00:00"/>
        <d v="2025-07-16T00:00:00"/>
        <d v="2025-07-17T00:00:00"/>
        <d v="2025-07-18T00:00:00"/>
        <d v="2025-07-19T00:00:00"/>
        <d v="2025-07-20T00:00:00"/>
        <d v="2025-07-22T00:00:00"/>
        <d v="2025-07-23T00:00:00"/>
        <d v="2025-07-24T00:00:00"/>
        <d v="2025-07-25T00:00:00"/>
        <d v="2025-07-26T00:00:00"/>
        <d v="2025-07-27T00:00:00"/>
        <d v="2025-07-28T00:00:00"/>
        <d v="2025-07-31T00:00:00"/>
        <d v="2025-08-01T00:00:00"/>
        <d v="2025-08-02T00:00:00"/>
        <d v="2025-08-03T00:00:00"/>
        <d v="2025-08-04T00:00:00"/>
        <d v="2025-08-05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5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3T00:00:00"/>
        <d v="2025-09-24T00:00:00"/>
        <d v="2025-09-26T00:00:00"/>
        <d v="2025-09-27T00:00:00"/>
        <d v="2025-09-28T00:00:00"/>
        <d v="2025-09-29T00:00:00"/>
        <d v="2025-09-30T00:00:00"/>
        <d v="2025-10-02T00:00:00"/>
        <d v="2025-10-03T00:00:00"/>
        <d v="2025-10-04T00:00:00"/>
        <d v="2025-10-05T00:00:00"/>
        <d v="2025-10-06T00:00:00"/>
        <d v="2025-10-10T00:00:00"/>
        <d v="2025-10-11T00:00:00"/>
        <d v="2025-10-12T00:00:00"/>
        <d v="2025-10-13T00:00:00"/>
        <d v="2025-10-14T00:00:00"/>
        <d v="2025-10-15T00:00:00"/>
        <d v="2025-10-16T00:00:00"/>
        <d v="2025-10-17T00:00:00"/>
        <d v="2025-10-18T00:00:00"/>
        <d v="2025-10-19T00:00:00"/>
        <d v="2025-10-20T00:00:00"/>
        <d v="2025-10-21T00:00:00"/>
        <d v="2025-10-22T00:00:00"/>
        <d v="2025-10-24T00:00:00"/>
        <d v="2025-10-25T00:00:00"/>
        <d v="2025-10-26T00:00:00"/>
        <d v="2025-10-28T00:00:00"/>
        <d v="2025-10-29T00:00:00"/>
        <d v="2025-10-30T00:00:00"/>
        <d v="2025-10-31T00:00:00"/>
        <d v="2025-11-01T00:00:00"/>
        <d v="2025-11-03T00:00:00"/>
        <d v="2025-11-04T00:00:00"/>
        <d v="2025-11-05T00:00:00"/>
        <d v="2025-11-06T00:00:00"/>
        <d v="2025-11-07T00:00:00"/>
        <d v="2025-11-09T00:00:00"/>
        <d v="2025-11-10T00:00:00"/>
        <d v="2025-11-11T00:00:00"/>
        <d v="2025-11-12T00:00:00"/>
        <d v="2025-11-13T00:00:00"/>
        <d v="2025-11-15T00:00:00"/>
        <d v="2025-11-17T00:00:00"/>
        <d v="2025-11-18T00:00:00"/>
        <d v="2025-11-19T00:00:00"/>
        <d v="2025-11-20T00:00:00"/>
        <d v="2025-11-21T00:00:00"/>
        <d v="2025-11-23T00:00:00"/>
        <d v="2025-11-24T00:00:00"/>
        <d v="2025-11-25T00:00:00"/>
        <d v="2025-11-26T00:00:00"/>
        <d v="2025-11-27T00:00:00"/>
        <d v="2025-11-28T00:00:00"/>
        <d v="2025-11-29T00:00:00"/>
        <d v="2025-11-30T00:00:00"/>
        <d v="2025-12-01T00:00:00"/>
        <d v="2025-12-02T00:00:00"/>
        <d v="2025-12-03T00:00:00"/>
        <d v="2025-12-04T00:00:00"/>
        <d v="2025-12-05T00:00:00"/>
        <d v="2025-12-07T00:00:00"/>
        <d v="2025-12-08T00:00:00"/>
        <d v="2025-12-09T00:00:00"/>
        <d v="2025-12-10T00:00:00"/>
        <d v="2025-12-11T00:00:00"/>
        <d v="2025-12-12T00:00:00"/>
        <d v="2025-12-13T00:00:00"/>
        <d v="2025-12-14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6-01-01T00:00:00"/>
        <d v="2026-01-02T00:00:00"/>
        <d v="2026-01-04T00:00:00"/>
        <d v="2026-01-05T00:00:00"/>
        <d v="2026-01-06T00:00:00"/>
        <d v="2026-01-07T00:00:00"/>
        <d v="2026-01-08T00:00:00"/>
        <d v="2026-01-09T00:00:00"/>
        <d v="2026-01-10T00:00:00"/>
        <d v="2026-01-11T00:00:00"/>
        <d v="2026-01-12T00:00:00"/>
        <d v="2026-01-14T00:00:00"/>
        <d v="2026-01-15T00:00:00"/>
        <d v="2026-01-16T00:00:00"/>
        <d v="2026-01-17T00:00:00"/>
        <d v="2026-01-19T00:00:00"/>
        <d v="2026-01-21T00:00:00"/>
        <d v="2026-01-22T00:00:00"/>
        <d v="2026-01-23T00:00:00"/>
        <d v="2026-01-24T00:00:00"/>
        <d v="2026-01-26T00:00:00"/>
        <d v="2026-01-27T00:00:00"/>
        <d v="2026-01-28T00:00:00"/>
        <d v="2026-01-29T00:00:00"/>
        <d v="2026-01-30T00:00:00"/>
        <d v="2026-01-31T00:00:00"/>
        <d v="2026-02-02T00:00:00"/>
        <d v="2026-02-03T00:00:00"/>
        <d v="2026-02-04T00:00:00"/>
        <d v="2026-02-05T00:00:00"/>
        <d v="2026-02-06T00:00:00"/>
        <d v="2026-02-07T00:00:00"/>
        <d v="2026-02-08T00:00:00"/>
        <d v="2026-02-09T00:00:00"/>
        <d v="2026-02-12T00:00:00"/>
        <d v="2026-02-13T00:00:00"/>
        <d v="2026-02-14T00:00:00"/>
        <d v="2026-02-16T00:00:00"/>
        <d v="2026-02-17T00:00:00"/>
        <d v="2026-02-18T00:00:00"/>
        <d v="2026-02-19T00:00:00"/>
        <d v="2026-02-20T00:00:00"/>
        <d v="2026-02-21T00:00:00"/>
        <d v="2026-02-22T00:00:00"/>
        <d v="2026-02-23T00:00:00"/>
        <d v="2026-02-24T00:00:00"/>
        <d v="2026-02-25T00:00:00"/>
        <d v="2026-02-28T00:00:00"/>
        <d v="2026-03-01T00:00:00"/>
        <d v="2026-03-02T00:00:00"/>
        <d v="2026-03-03T00:00:00"/>
        <d v="2026-03-04T00:00:00"/>
        <d v="2026-03-06T00:00:00"/>
        <d v="2026-03-07T00:00:00"/>
        <d v="2026-03-08T00:00:00"/>
        <d v="2026-03-09T00:00:00"/>
        <d v="2026-03-10T00:00:00"/>
        <d v="2026-03-11T00:00:00"/>
        <d v="2026-03-13T00:00:00"/>
        <d v="2026-03-14T00:00:00"/>
        <d v="2026-03-15T00:00:00"/>
        <d v="2026-03-16T00:00:00"/>
        <d v="2026-03-17T00:00:00"/>
        <d v="2026-03-18T00:00:00"/>
        <d v="2026-03-19T00:00:00"/>
        <d v="2026-03-21T00:00:00"/>
        <d v="2026-03-22T00:00:00"/>
        <d v="2026-03-23T00:00:00"/>
        <d v="2026-03-24T00:00:00"/>
        <d v="2026-03-25T00:00:00"/>
        <d v="2026-03-27T00:00:00"/>
        <d v="2026-03-28T00:00:00"/>
        <d v="2026-03-29T00:00:00"/>
        <d v="2026-03-31T00:00:00"/>
        <d v="2026-04-01T00:00:00"/>
        <d v="2026-04-02T00:00:00"/>
        <d v="2026-04-03T00:00:00"/>
        <d v="2026-04-04T00:00:00"/>
        <d v="2026-04-05T00:00:00"/>
        <d v="2026-04-06T00:00:00"/>
        <d v="2026-04-08T00:00:00"/>
        <d v="2026-04-09T00:00:00"/>
        <d v="2026-04-10T00:00:00"/>
        <d v="2026-04-11T00:00:00"/>
        <d v="2026-04-12T00:00:00"/>
        <d v="2026-04-14T00:00:00"/>
        <d v="2026-04-15T00:00:00"/>
        <d v="2026-04-16T00:00:00"/>
        <d v="2026-04-17T00:00:00"/>
        <d v="2026-04-19T00:00:00"/>
        <d v="2026-04-20T00:00:00"/>
        <d v="2026-04-21T00:00:00"/>
        <d v="2026-04-22T00:00:00"/>
        <d v="2026-04-23T00:00:00"/>
        <d v="2026-04-24T00:00:00"/>
        <d v="2026-04-25T00:00:00"/>
        <d v="2026-04-26T00:00:00"/>
        <d v="2026-04-27T00:00:00"/>
        <d v="2026-04-28T00:00:00"/>
        <d v="2026-04-29T00:00:00"/>
        <d v="2026-04-30T00:00:00"/>
        <d v="2026-05-02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9T00:00:00"/>
        <d v="2026-05-20T00:00:00"/>
        <d v="2026-05-21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9T00:00:00"/>
        <d v="2026-06-10T00:00:00"/>
        <d v="2026-06-11T00:00:00"/>
        <d v="2026-06-12T00:00:00"/>
        <d v="2026-06-13T00:00:00"/>
        <d v="2026-06-14T00:00:00"/>
        <d v="2026-06-16T00:00:00"/>
        <d v="2026-06-18T00:00:00"/>
        <d v="2026-06-19T00:00:00"/>
        <d v="2026-06-20T00:00:00"/>
        <d v="2026-06-21T00:00:00"/>
        <d v="2026-06-22T00:00:00"/>
        <d v="2026-06-23T00:00:00"/>
        <d v="2026-06-24T00:00:00"/>
        <d v="2026-06-25T00:00:00"/>
        <d v="2026-06-26T00:00:00"/>
        <d v="2026-06-27T00:00:00"/>
        <d v="2026-06-28T00:00:00"/>
        <d v="2026-06-29T00:00:00"/>
      </sharedItems>
      <fieldGroup par="17"/>
    </cacheField>
    <cacheField name="Category" numFmtId="0">
      <sharedItems count="6">
        <s v="Haircare"/>
        <s v="Makeup"/>
        <s v="Skincare"/>
        <s v="Bath &amp; Body"/>
        <s v="Personal Care"/>
        <s v="Fragrance"/>
      </sharedItems>
    </cacheField>
    <cacheField name="Product Name" numFmtId="0">
      <sharedItems count="23">
        <s v="Hair Oil"/>
        <s v="Mascara"/>
        <s v="Kajal"/>
        <s v="Face Mask"/>
        <s v="Moisturizer"/>
        <s v="Body Lotion"/>
        <s v="Serum"/>
        <s v="Hair Dryer"/>
        <s v="Sunscreen"/>
        <s v="Body Wash"/>
        <s v="Compact"/>
        <s v="Body Mist"/>
        <s v="Lipstick"/>
        <s v="Bath Salt"/>
        <s v="Perfume"/>
        <s v="Face Wash"/>
        <s v="Shampoo"/>
        <s v="Deodorant"/>
        <s v="Conditioner"/>
        <s v="Trimmer"/>
        <s v="Face Roller"/>
        <s v="Foundation"/>
        <s v="Hair Serum"/>
      </sharedItems>
    </cacheField>
    <cacheField name="Brand" numFmtId="0">
      <sharedItems count="12">
        <s v="Biotique"/>
        <s v="Dot &amp; Key"/>
        <s v="Nykaa Cosmetics"/>
        <s v="L'Oreal Paris"/>
        <s v="Sugar Cosmetics"/>
        <s v="Wow Skin Science"/>
        <s v="MamaEarth"/>
        <s v="Plum"/>
        <s v="Lakme"/>
        <s v="Maybelline"/>
        <s v="The Body Shop"/>
        <s v="Minimalist"/>
      </sharedItems>
    </cacheField>
    <cacheField name="City" numFmtId="0">
      <sharedItems count="10">
        <s v="Jaipur"/>
        <s v="Bengaluru"/>
        <s v="Kolkata"/>
        <s v="Ahmedabad"/>
        <s v="Chennai"/>
        <s v="Delhi"/>
        <s v="Lucknow"/>
        <s v="Hyderabad"/>
        <s v="Pune"/>
        <s v="Mumbai"/>
      </sharedItems>
    </cacheField>
    <cacheField name="Channel" numFmtId="0">
      <sharedItems count="3">
        <s v="Nykaa App"/>
        <s v="Nykaa Website"/>
        <s v="Nykaa Offline Store"/>
      </sharedItems>
    </cacheField>
    <cacheField name="Customer Segment" numFmtId="0">
      <sharedItems count="3">
        <s v="New Customer"/>
        <s v="Repeat Customer"/>
        <s v="Premium Member"/>
      </sharedItems>
    </cacheField>
    <cacheField name="Payment Mode" numFmtId="0">
      <sharedItems count="5">
        <s v="UPI"/>
        <s v="Debit Card"/>
        <s v="COD"/>
        <s v="Credit Card"/>
        <s v="Wallet"/>
      </sharedItems>
    </cacheField>
    <cacheField name="Units Sold" numFmtId="0">
      <sharedItems containsSemiMixedTypes="0" containsString="0" containsNumber="1" containsInteger="1" minValue="1" maxValue="5"/>
    </cacheField>
    <cacheField name="Unit Price (Rs)" numFmtId="0">
      <sharedItems containsSemiMixedTypes="0" containsString="0" containsNumber="1" containsInteger="1" minValue="149" maxValue="2973"/>
    </cacheField>
    <cacheField name="Gross Sales (Rs)" numFmtId="0">
      <sharedItems containsSemiMixedTypes="0" containsString="0" containsNumber="1" containsInteger="1" minValue="153" maxValue="14810"/>
    </cacheField>
    <cacheField name="Discount %" numFmtId="0">
      <sharedItems containsSemiMixedTypes="0" containsString="0" containsNumber="1" containsInteger="1" minValue="0" maxValue="30"/>
    </cacheField>
    <cacheField name="Discount Amount (Rs)" numFmtId="0">
      <sharedItems containsSemiMixedTypes="0" containsString="0" containsNumber="1" containsInteger="1" minValue="0" maxValue="4314"/>
    </cacheField>
    <cacheField name="Net Sales (Rs)" numFmtId="0">
      <sharedItems containsSemiMixedTypes="0" containsString="0" containsNumber="1" containsInteger="1" minValue="116" maxValue="12588"/>
    </cacheField>
    <cacheField name="Customer Rating" numFmtId="0">
      <sharedItems containsSemiMixedTypes="0" containsString="0" containsNumber="1" minValue="3.2" maxValue="5"/>
    </cacheField>
    <cacheField name="Returned" numFmtId="0">
      <sharedItems count="2">
        <s v="No"/>
        <s v="Yes"/>
      </sharedItems>
    </cacheField>
    <cacheField name="Months (Order Date)" numFmtId="0" databaseField="0">
      <fieldGroup base="1">
        <rangePr groupBy="months" startDate="2025-07-01T00:00:00" endDate="2026-06-30T00:00:00"/>
        <groupItems count="14">
          <s v="&lt;01-07-2025"/>
          <s v="Jan"/>
          <s v="Feb"/>
          <s v="Mar"/>
          <s v="Apr"/>
          <s v="May"/>
          <s v="Jun"/>
          <s v="Jul"/>
          <s v="Aug"/>
          <s v="Sep"/>
          <s v="Oct"/>
          <s v="Nov"/>
          <s v="Dec"/>
          <s v="&gt;30-06-2026"/>
        </groupItems>
      </fieldGroup>
    </cacheField>
  </cacheFields>
  <extLst>
    <ext xmlns:x14="http://schemas.microsoft.com/office/spreadsheetml/2009/9/main" uri="{725AE2AE-9491-48be-B2B4-4EB974FC3084}">
      <x14:pivotCacheDefinition pivotCacheId="1278131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0.804903240743" createdVersion="8" refreshedVersion="8" minRefreshableVersion="3" recordCount="750" xr:uid="{88CD4B6B-70BA-400A-A7B3-364BDEA9B520}">
  <cacheSource type="worksheet">
    <worksheetSource name="NykaaSalesData"/>
  </cacheSource>
  <cacheFields count="17">
    <cacheField name="Order ID" numFmtId="0">
      <sharedItems/>
    </cacheField>
    <cacheField name="Order Date" numFmtId="0">
      <sharedItems/>
    </cacheField>
    <cacheField name="Category" numFmtId="0">
      <sharedItems/>
    </cacheField>
    <cacheField name="Product Name" numFmtId="0">
      <sharedItems/>
    </cacheField>
    <cacheField name="Brand" numFmtId="0">
      <sharedItems count="12">
        <s v="Biotique"/>
        <s v="Dot &amp; Key"/>
        <s v="Nykaa Cosmetics"/>
        <s v="L'Oreal Paris"/>
        <s v="Sugar Cosmetics"/>
        <s v="Wow Skin Science"/>
        <s v="MamaEarth"/>
        <s v="Plum"/>
        <s v="Lakme"/>
        <s v="Maybelline"/>
        <s v="The Body Shop"/>
        <s v="Minimalist"/>
      </sharedItems>
    </cacheField>
    <cacheField name="City" numFmtId="0">
      <sharedItems/>
    </cacheField>
    <cacheField name="Channel" numFmtId="0">
      <sharedItems/>
    </cacheField>
    <cacheField name="Customer Segment" numFmtId="0">
      <sharedItems/>
    </cacheField>
    <cacheField name="Payment Mode" numFmtId="0">
      <sharedItems count="5">
        <s v="UPI"/>
        <s v="Debit Card"/>
        <s v="COD"/>
        <s v="Credit Card"/>
        <s v="Wallet"/>
      </sharedItems>
    </cacheField>
    <cacheField name="Units Sold" numFmtId="0">
      <sharedItems containsSemiMixedTypes="0" containsString="0" containsNumber="1" containsInteger="1" minValue="1" maxValue="5"/>
    </cacheField>
    <cacheField name="Unit Price (Rs)" numFmtId="0">
      <sharedItems containsSemiMixedTypes="0" containsString="0" containsNumber="1" containsInteger="1" minValue="149" maxValue="2973"/>
    </cacheField>
    <cacheField name="Gross Sales (Rs)" numFmtId="0">
      <sharedItems containsSemiMixedTypes="0" containsString="0" containsNumber="1" containsInteger="1" minValue="153" maxValue="14810"/>
    </cacheField>
    <cacheField name="Discount %" numFmtId="0">
      <sharedItems containsSemiMixedTypes="0" containsString="0" containsNumber="1" containsInteger="1" minValue="0" maxValue="30"/>
    </cacheField>
    <cacheField name="Discount Amount (Rs)" numFmtId="0">
      <sharedItems containsSemiMixedTypes="0" containsString="0" containsNumber="1" containsInteger="1" minValue="0" maxValue="4314"/>
    </cacheField>
    <cacheField name="Net Sales (Rs)" numFmtId="0">
      <sharedItems containsSemiMixedTypes="0" containsString="0" containsNumber="1" containsInteger="1" minValue="116" maxValue="12588"/>
    </cacheField>
    <cacheField name="Customer Rating" numFmtId="0">
      <sharedItems containsSemiMixedTypes="0" containsString="0" containsNumber="1" minValue="3.2" maxValue="5"/>
    </cacheField>
    <cacheField name="Return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x v="0"/>
    <x v="0"/>
    <x v="0"/>
    <x v="0"/>
    <x v="0"/>
    <x v="0"/>
    <x v="0"/>
    <x v="0"/>
    <x v="0"/>
    <n v="5"/>
    <n v="877"/>
    <n v="4385"/>
    <n v="30"/>
    <n v="1316"/>
    <n v="3069"/>
    <n v="4.3"/>
    <x v="0"/>
  </r>
  <r>
    <x v="1"/>
    <x v="0"/>
    <x v="1"/>
    <x v="1"/>
    <x v="1"/>
    <x v="1"/>
    <x v="1"/>
    <x v="1"/>
    <x v="1"/>
    <n v="4"/>
    <n v="876"/>
    <n v="3504"/>
    <n v="15"/>
    <n v="526"/>
    <n v="2978"/>
    <n v="3.6"/>
    <x v="0"/>
  </r>
  <r>
    <x v="2"/>
    <x v="0"/>
    <x v="1"/>
    <x v="2"/>
    <x v="2"/>
    <x v="0"/>
    <x v="1"/>
    <x v="1"/>
    <x v="1"/>
    <n v="3"/>
    <n v="715"/>
    <n v="2145"/>
    <n v="0"/>
    <n v="0"/>
    <n v="2145"/>
    <n v="4.4000000000000004"/>
    <x v="0"/>
  </r>
  <r>
    <x v="3"/>
    <x v="1"/>
    <x v="2"/>
    <x v="3"/>
    <x v="3"/>
    <x v="2"/>
    <x v="2"/>
    <x v="1"/>
    <x v="2"/>
    <n v="1"/>
    <n v="980"/>
    <n v="980"/>
    <n v="10"/>
    <n v="98"/>
    <n v="882"/>
    <n v="3.8"/>
    <x v="0"/>
  </r>
  <r>
    <x v="4"/>
    <x v="1"/>
    <x v="2"/>
    <x v="4"/>
    <x v="4"/>
    <x v="2"/>
    <x v="0"/>
    <x v="1"/>
    <x v="2"/>
    <n v="3"/>
    <n v="807"/>
    <n v="2421"/>
    <n v="25"/>
    <n v="605"/>
    <n v="1816"/>
    <n v="5"/>
    <x v="0"/>
  </r>
  <r>
    <x v="5"/>
    <x v="2"/>
    <x v="3"/>
    <x v="5"/>
    <x v="5"/>
    <x v="2"/>
    <x v="2"/>
    <x v="0"/>
    <x v="2"/>
    <n v="5"/>
    <n v="171"/>
    <n v="855"/>
    <n v="20"/>
    <n v="171"/>
    <n v="684"/>
    <n v="3.9"/>
    <x v="0"/>
  </r>
  <r>
    <x v="6"/>
    <x v="2"/>
    <x v="3"/>
    <x v="5"/>
    <x v="0"/>
    <x v="0"/>
    <x v="1"/>
    <x v="1"/>
    <x v="2"/>
    <n v="5"/>
    <n v="463"/>
    <n v="2315"/>
    <n v="20"/>
    <n v="463"/>
    <n v="1852"/>
    <n v="4.5999999999999996"/>
    <x v="0"/>
  </r>
  <r>
    <x v="7"/>
    <x v="3"/>
    <x v="2"/>
    <x v="6"/>
    <x v="5"/>
    <x v="0"/>
    <x v="2"/>
    <x v="1"/>
    <x v="1"/>
    <n v="5"/>
    <n v="678"/>
    <n v="3390"/>
    <n v="20"/>
    <n v="678"/>
    <n v="2712"/>
    <n v="4.8"/>
    <x v="0"/>
  </r>
  <r>
    <x v="8"/>
    <x v="4"/>
    <x v="3"/>
    <x v="5"/>
    <x v="6"/>
    <x v="3"/>
    <x v="1"/>
    <x v="1"/>
    <x v="1"/>
    <n v="2"/>
    <n v="421"/>
    <n v="842"/>
    <n v="25"/>
    <n v="210"/>
    <n v="632"/>
    <n v="4.5999999999999996"/>
    <x v="0"/>
  </r>
  <r>
    <x v="9"/>
    <x v="4"/>
    <x v="4"/>
    <x v="7"/>
    <x v="6"/>
    <x v="4"/>
    <x v="0"/>
    <x v="0"/>
    <x v="2"/>
    <n v="4"/>
    <n v="2125"/>
    <n v="8500"/>
    <n v="30"/>
    <n v="2550"/>
    <n v="5950"/>
    <n v="4.4000000000000004"/>
    <x v="0"/>
  </r>
  <r>
    <x v="10"/>
    <x v="5"/>
    <x v="2"/>
    <x v="8"/>
    <x v="0"/>
    <x v="4"/>
    <x v="0"/>
    <x v="1"/>
    <x v="1"/>
    <n v="3"/>
    <n v="1243"/>
    <n v="3729"/>
    <n v="25"/>
    <n v="932"/>
    <n v="2797"/>
    <n v="3.2"/>
    <x v="0"/>
  </r>
  <r>
    <x v="11"/>
    <x v="5"/>
    <x v="3"/>
    <x v="9"/>
    <x v="7"/>
    <x v="5"/>
    <x v="1"/>
    <x v="1"/>
    <x v="1"/>
    <n v="3"/>
    <n v="222"/>
    <n v="666"/>
    <n v="15"/>
    <n v="100"/>
    <n v="566"/>
    <n v="3.5"/>
    <x v="0"/>
  </r>
  <r>
    <x v="12"/>
    <x v="6"/>
    <x v="3"/>
    <x v="9"/>
    <x v="4"/>
    <x v="0"/>
    <x v="0"/>
    <x v="0"/>
    <x v="0"/>
    <n v="1"/>
    <n v="279"/>
    <n v="279"/>
    <n v="30"/>
    <n v="84"/>
    <n v="195"/>
    <n v="4.5999999999999996"/>
    <x v="1"/>
  </r>
  <r>
    <x v="13"/>
    <x v="6"/>
    <x v="1"/>
    <x v="10"/>
    <x v="8"/>
    <x v="6"/>
    <x v="0"/>
    <x v="1"/>
    <x v="1"/>
    <n v="2"/>
    <n v="1261"/>
    <n v="2522"/>
    <n v="10"/>
    <n v="252"/>
    <n v="2270"/>
    <n v="4.9000000000000004"/>
    <x v="0"/>
  </r>
  <r>
    <x v="14"/>
    <x v="7"/>
    <x v="2"/>
    <x v="4"/>
    <x v="9"/>
    <x v="7"/>
    <x v="0"/>
    <x v="0"/>
    <x v="3"/>
    <n v="1"/>
    <n v="550"/>
    <n v="550"/>
    <n v="25"/>
    <n v="138"/>
    <n v="412"/>
    <n v="3.5"/>
    <x v="0"/>
  </r>
  <r>
    <x v="15"/>
    <x v="8"/>
    <x v="4"/>
    <x v="7"/>
    <x v="9"/>
    <x v="0"/>
    <x v="1"/>
    <x v="1"/>
    <x v="3"/>
    <n v="4"/>
    <n v="962"/>
    <n v="3848"/>
    <n v="25"/>
    <n v="962"/>
    <n v="2886"/>
    <n v="4.2"/>
    <x v="0"/>
  </r>
  <r>
    <x v="16"/>
    <x v="8"/>
    <x v="1"/>
    <x v="10"/>
    <x v="1"/>
    <x v="3"/>
    <x v="2"/>
    <x v="1"/>
    <x v="3"/>
    <n v="2"/>
    <n v="215"/>
    <n v="430"/>
    <n v="25"/>
    <n v="108"/>
    <n v="322"/>
    <n v="3.3"/>
    <x v="0"/>
  </r>
  <r>
    <x v="17"/>
    <x v="9"/>
    <x v="1"/>
    <x v="10"/>
    <x v="8"/>
    <x v="7"/>
    <x v="0"/>
    <x v="1"/>
    <x v="1"/>
    <n v="2"/>
    <n v="332"/>
    <n v="664"/>
    <n v="15"/>
    <n v="100"/>
    <n v="564"/>
    <n v="4.5999999999999996"/>
    <x v="0"/>
  </r>
  <r>
    <x v="18"/>
    <x v="9"/>
    <x v="5"/>
    <x v="11"/>
    <x v="3"/>
    <x v="2"/>
    <x v="0"/>
    <x v="0"/>
    <x v="0"/>
    <n v="4"/>
    <n v="2266"/>
    <n v="9064"/>
    <n v="20"/>
    <n v="1813"/>
    <n v="7251"/>
    <n v="3.7"/>
    <x v="0"/>
  </r>
  <r>
    <x v="19"/>
    <x v="10"/>
    <x v="1"/>
    <x v="12"/>
    <x v="8"/>
    <x v="3"/>
    <x v="1"/>
    <x v="0"/>
    <x v="3"/>
    <n v="5"/>
    <n v="1298"/>
    <n v="6490"/>
    <n v="15"/>
    <n v="974"/>
    <n v="5516"/>
    <n v="3.3"/>
    <x v="0"/>
  </r>
  <r>
    <x v="20"/>
    <x v="10"/>
    <x v="3"/>
    <x v="13"/>
    <x v="6"/>
    <x v="0"/>
    <x v="1"/>
    <x v="0"/>
    <x v="4"/>
    <n v="4"/>
    <n v="465"/>
    <n v="1860"/>
    <n v="10"/>
    <n v="186"/>
    <n v="1674"/>
    <n v="4.8"/>
    <x v="0"/>
  </r>
  <r>
    <x v="21"/>
    <x v="11"/>
    <x v="1"/>
    <x v="10"/>
    <x v="10"/>
    <x v="2"/>
    <x v="0"/>
    <x v="1"/>
    <x v="3"/>
    <n v="4"/>
    <n v="1293"/>
    <n v="5172"/>
    <n v="10"/>
    <n v="517"/>
    <n v="4655"/>
    <n v="3.6"/>
    <x v="0"/>
  </r>
  <r>
    <x v="22"/>
    <x v="11"/>
    <x v="1"/>
    <x v="12"/>
    <x v="1"/>
    <x v="1"/>
    <x v="0"/>
    <x v="1"/>
    <x v="3"/>
    <n v="5"/>
    <n v="555"/>
    <n v="2775"/>
    <n v="5"/>
    <n v="139"/>
    <n v="2636"/>
    <n v="3.7"/>
    <x v="0"/>
  </r>
  <r>
    <x v="23"/>
    <x v="11"/>
    <x v="4"/>
    <x v="7"/>
    <x v="1"/>
    <x v="6"/>
    <x v="0"/>
    <x v="2"/>
    <x v="4"/>
    <n v="5"/>
    <n v="877"/>
    <n v="4385"/>
    <n v="0"/>
    <n v="0"/>
    <n v="4385"/>
    <n v="4.3"/>
    <x v="0"/>
  </r>
  <r>
    <x v="24"/>
    <x v="12"/>
    <x v="4"/>
    <x v="7"/>
    <x v="6"/>
    <x v="1"/>
    <x v="0"/>
    <x v="1"/>
    <x v="1"/>
    <n v="3"/>
    <n v="412"/>
    <n v="1236"/>
    <n v="30"/>
    <n v="371"/>
    <n v="865"/>
    <n v="3.5"/>
    <x v="0"/>
  </r>
  <r>
    <x v="25"/>
    <x v="12"/>
    <x v="1"/>
    <x v="10"/>
    <x v="9"/>
    <x v="4"/>
    <x v="2"/>
    <x v="0"/>
    <x v="2"/>
    <n v="2"/>
    <n v="606"/>
    <n v="1212"/>
    <n v="25"/>
    <n v="303"/>
    <n v="909"/>
    <n v="4.4000000000000004"/>
    <x v="0"/>
  </r>
  <r>
    <x v="26"/>
    <x v="12"/>
    <x v="0"/>
    <x v="0"/>
    <x v="0"/>
    <x v="1"/>
    <x v="0"/>
    <x v="1"/>
    <x v="0"/>
    <n v="3"/>
    <n v="905"/>
    <n v="2715"/>
    <n v="5"/>
    <n v="136"/>
    <n v="2579"/>
    <n v="3.5"/>
    <x v="0"/>
  </r>
  <r>
    <x v="27"/>
    <x v="12"/>
    <x v="5"/>
    <x v="14"/>
    <x v="0"/>
    <x v="2"/>
    <x v="1"/>
    <x v="2"/>
    <x v="0"/>
    <n v="3"/>
    <n v="1884"/>
    <n v="5652"/>
    <n v="20"/>
    <n v="1130"/>
    <n v="4522"/>
    <n v="4.4000000000000004"/>
    <x v="0"/>
  </r>
  <r>
    <x v="28"/>
    <x v="13"/>
    <x v="2"/>
    <x v="15"/>
    <x v="10"/>
    <x v="0"/>
    <x v="0"/>
    <x v="0"/>
    <x v="3"/>
    <n v="5"/>
    <n v="1394"/>
    <n v="6970"/>
    <n v="10"/>
    <n v="697"/>
    <n v="6273"/>
    <n v="3.3"/>
    <x v="0"/>
  </r>
  <r>
    <x v="29"/>
    <x v="13"/>
    <x v="2"/>
    <x v="15"/>
    <x v="7"/>
    <x v="3"/>
    <x v="1"/>
    <x v="0"/>
    <x v="2"/>
    <n v="5"/>
    <n v="729"/>
    <n v="3645"/>
    <n v="5"/>
    <n v="182"/>
    <n v="3463"/>
    <n v="4.7"/>
    <x v="0"/>
  </r>
  <r>
    <x v="30"/>
    <x v="14"/>
    <x v="3"/>
    <x v="9"/>
    <x v="6"/>
    <x v="7"/>
    <x v="0"/>
    <x v="0"/>
    <x v="2"/>
    <n v="1"/>
    <n v="596"/>
    <n v="596"/>
    <n v="10"/>
    <n v="60"/>
    <n v="536"/>
    <n v="4.5999999999999996"/>
    <x v="0"/>
  </r>
  <r>
    <x v="31"/>
    <x v="14"/>
    <x v="3"/>
    <x v="13"/>
    <x v="1"/>
    <x v="1"/>
    <x v="2"/>
    <x v="0"/>
    <x v="3"/>
    <n v="5"/>
    <n v="243"/>
    <n v="1215"/>
    <n v="30"/>
    <n v="364"/>
    <n v="851"/>
    <n v="4.5"/>
    <x v="0"/>
  </r>
  <r>
    <x v="32"/>
    <x v="14"/>
    <x v="5"/>
    <x v="14"/>
    <x v="7"/>
    <x v="8"/>
    <x v="2"/>
    <x v="2"/>
    <x v="4"/>
    <n v="2"/>
    <n v="2593"/>
    <n v="5186"/>
    <n v="30"/>
    <n v="1556"/>
    <n v="3630"/>
    <n v="5"/>
    <x v="0"/>
  </r>
  <r>
    <x v="33"/>
    <x v="14"/>
    <x v="0"/>
    <x v="16"/>
    <x v="3"/>
    <x v="8"/>
    <x v="0"/>
    <x v="0"/>
    <x v="4"/>
    <n v="3"/>
    <n v="330"/>
    <n v="990"/>
    <n v="15"/>
    <n v="148"/>
    <n v="842"/>
    <n v="3.9"/>
    <x v="0"/>
  </r>
  <r>
    <x v="34"/>
    <x v="15"/>
    <x v="3"/>
    <x v="9"/>
    <x v="3"/>
    <x v="6"/>
    <x v="0"/>
    <x v="1"/>
    <x v="4"/>
    <n v="2"/>
    <n v="587"/>
    <n v="1174"/>
    <n v="10"/>
    <n v="117"/>
    <n v="1057"/>
    <n v="3.6"/>
    <x v="0"/>
  </r>
  <r>
    <x v="35"/>
    <x v="15"/>
    <x v="5"/>
    <x v="17"/>
    <x v="3"/>
    <x v="7"/>
    <x v="0"/>
    <x v="1"/>
    <x v="4"/>
    <n v="2"/>
    <n v="1681"/>
    <n v="3362"/>
    <n v="25"/>
    <n v="840"/>
    <n v="2522"/>
    <n v="4.9000000000000004"/>
    <x v="1"/>
  </r>
  <r>
    <x v="36"/>
    <x v="15"/>
    <x v="5"/>
    <x v="17"/>
    <x v="2"/>
    <x v="4"/>
    <x v="1"/>
    <x v="1"/>
    <x v="1"/>
    <n v="1"/>
    <n v="1250"/>
    <n v="1250"/>
    <n v="5"/>
    <n v="62"/>
    <n v="1188"/>
    <n v="3.6"/>
    <x v="0"/>
  </r>
  <r>
    <x v="37"/>
    <x v="15"/>
    <x v="0"/>
    <x v="18"/>
    <x v="3"/>
    <x v="0"/>
    <x v="0"/>
    <x v="1"/>
    <x v="4"/>
    <n v="1"/>
    <n v="481"/>
    <n v="481"/>
    <n v="10"/>
    <n v="48"/>
    <n v="433"/>
    <n v="4"/>
    <x v="0"/>
  </r>
  <r>
    <x v="38"/>
    <x v="15"/>
    <x v="3"/>
    <x v="13"/>
    <x v="10"/>
    <x v="9"/>
    <x v="1"/>
    <x v="1"/>
    <x v="0"/>
    <n v="5"/>
    <n v="462"/>
    <n v="2310"/>
    <n v="25"/>
    <n v="578"/>
    <n v="1732"/>
    <n v="3.3"/>
    <x v="0"/>
  </r>
  <r>
    <x v="39"/>
    <x v="16"/>
    <x v="4"/>
    <x v="7"/>
    <x v="1"/>
    <x v="7"/>
    <x v="0"/>
    <x v="0"/>
    <x v="3"/>
    <n v="4"/>
    <n v="858"/>
    <n v="3432"/>
    <n v="15"/>
    <n v="515"/>
    <n v="2917"/>
    <n v="4.8"/>
    <x v="0"/>
  </r>
  <r>
    <x v="40"/>
    <x v="16"/>
    <x v="4"/>
    <x v="19"/>
    <x v="7"/>
    <x v="8"/>
    <x v="1"/>
    <x v="0"/>
    <x v="3"/>
    <n v="1"/>
    <n v="1046"/>
    <n v="1046"/>
    <n v="30"/>
    <n v="314"/>
    <n v="732"/>
    <n v="4.9000000000000004"/>
    <x v="0"/>
  </r>
  <r>
    <x v="41"/>
    <x v="17"/>
    <x v="3"/>
    <x v="5"/>
    <x v="7"/>
    <x v="1"/>
    <x v="0"/>
    <x v="1"/>
    <x v="0"/>
    <n v="4"/>
    <n v="661"/>
    <n v="2644"/>
    <n v="5"/>
    <n v="132"/>
    <n v="2512"/>
    <n v="4.9000000000000004"/>
    <x v="1"/>
  </r>
  <r>
    <x v="42"/>
    <x v="18"/>
    <x v="3"/>
    <x v="9"/>
    <x v="7"/>
    <x v="3"/>
    <x v="0"/>
    <x v="2"/>
    <x v="0"/>
    <n v="2"/>
    <n v="343"/>
    <n v="686"/>
    <n v="0"/>
    <n v="0"/>
    <n v="686"/>
    <n v="4"/>
    <x v="0"/>
  </r>
  <r>
    <x v="43"/>
    <x v="18"/>
    <x v="0"/>
    <x v="18"/>
    <x v="7"/>
    <x v="6"/>
    <x v="0"/>
    <x v="0"/>
    <x v="2"/>
    <n v="3"/>
    <n v="895"/>
    <n v="2685"/>
    <n v="5"/>
    <n v="134"/>
    <n v="2551"/>
    <n v="3.4"/>
    <x v="0"/>
  </r>
  <r>
    <x v="44"/>
    <x v="18"/>
    <x v="3"/>
    <x v="5"/>
    <x v="7"/>
    <x v="7"/>
    <x v="0"/>
    <x v="2"/>
    <x v="4"/>
    <n v="4"/>
    <n v="325"/>
    <n v="1300"/>
    <n v="0"/>
    <n v="0"/>
    <n v="1300"/>
    <n v="4.4000000000000004"/>
    <x v="0"/>
  </r>
  <r>
    <x v="45"/>
    <x v="19"/>
    <x v="4"/>
    <x v="20"/>
    <x v="9"/>
    <x v="8"/>
    <x v="0"/>
    <x v="1"/>
    <x v="3"/>
    <n v="4"/>
    <n v="2459"/>
    <n v="9836"/>
    <n v="15"/>
    <n v="1475"/>
    <n v="8361"/>
    <n v="4.3"/>
    <x v="0"/>
  </r>
  <r>
    <x v="46"/>
    <x v="19"/>
    <x v="3"/>
    <x v="13"/>
    <x v="8"/>
    <x v="1"/>
    <x v="0"/>
    <x v="0"/>
    <x v="0"/>
    <n v="4"/>
    <n v="274"/>
    <n v="1096"/>
    <n v="0"/>
    <n v="0"/>
    <n v="1096"/>
    <n v="4.2"/>
    <x v="0"/>
  </r>
  <r>
    <x v="47"/>
    <x v="20"/>
    <x v="5"/>
    <x v="11"/>
    <x v="3"/>
    <x v="6"/>
    <x v="1"/>
    <x v="2"/>
    <x v="1"/>
    <n v="2"/>
    <n v="1318"/>
    <n v="2636"/>
    <n v="0"/>
    <n v="0"/>
    <n v="2636"/>
    <n v="4.3"/>
    <x v="0"/>
  </r>
  <r>
    <x v="48"/>
    <x v="20"/>
    <x v="2"/>
    <x v="15"/>
    <x v="5"/>
    <x v="1"/>
    <x v="1"/>
    <x v="0"/>
    <x v="4"/>
    <n v="1"/>
    <n v="1217"/>
    <n v="1217"/>
    <n v="25"/>
    <n v="304"/>
    <n v="913"/>
    <n v="3.8"/>
    <x v="0"/>
  </r>
  <r>
    <x v="49"/>
    <x v="21"/>
    <x v="0"/>
    <x v="18"/>
    <x v="3"/>
    <x v="4"/>
    <x v="0"/>
    <x v="0"/>
    <x v="0"/>
    <n v="5"/>
    <n v="958"/>
    <n v="4790"/>
    <n v="15"/>
    <n v="718"/>
    <n v="4072"/>
    <n v="3.4"/>
    <x v="0"/>
  </r>
  <r>
    <x v="50"/>
    <x v="22"/>
    <x v="0"/>
    <x v="18"/>
    <x v="9"/>
    <x v="2"/>
    <x v="2"/>
    <x v="1"/>
    <x v="4"/>
    <n v="5"/>
    <n v="226"/>
    <n v="1130"/>
    <n v="15"/>
    <n v="170"/>
    <n v="960"/>
    <n v="3.7"/>
    <x v="0"/>
  </r>
  <r>
    <x v="51"/>
    <x v="23"/>
    <x v="3"/>
    <x v="13"/>
    <x v="8"/>
    <x v="1"/>
    <x v="0"/>
    <x v="1"/>
    <x v="0"/>
    <n v="3"/>
    <n v="437"/>
    <n v="1311"/>
    <n v="15"/>
    <n v="197"/>
    <n v="1114"/>
    <n v="4.0999999999999996"/>
    <x v="0"/>
  </r>
  <r>
    <x v="52"/>
    <x v="23"/>
    <x v="2"/>
    <x v="15"/>
    <x v="11"/>
    <x v="0"/>
    <x v="0"/>
    <x v="1"/>
    <x v="2"/>
    <n v="5"/>
    <n v="438"/>
    <n v="2190"/>
    <n v="5"/>
    <n v="110"/>
    <n v="2080"/>
    <n v="4.5"/>
    <x v="0"/>
  </r>
  <r>
    <x v="53"/>
    <x v="24"/>
    <x v="4"/>
    <x v="20"/>
    <x v="7"/>
    <x v="9"/>
    <x v="1"/>
    <x v="0"/>
    <x v="2"/>
    <n v="2"/>
    <n v="2313"/>
    <n v="4626"/>
    <n v="25"/>
    <n v="1156"/>
    <n v="3470"/>
    <n v="4.5"/>
    <x v="0"/>
  </r>
  <r>
    <x v="54"/>
    <x v="24"/>
    <x v="1"/>
    <x v="12"/>
    <x v="8"/>
    <x v="5"/>
    <x v="0"/>
    <x v="0"/>
    <x v="3"/>
    <n v="4"/>
    <n v="864"/>
    <n v="3456"/>
    <n v="10"/>
    <n v="346"/>
    <n v="3110"/>
    <n v="3.5"/>
    <x v="0"/>
  </r>
  <r>
    <x v="55"/>
    <x v="24"/>
    <x v="5"/>
    <x v="14"/>
    <x v="0"/>
    <x v="6"/>
    <x v="1"/>
    <x v="1"/>
    <x v="2"/>
    <n v="2"/>
    <n v="1750"/>
    <n v="3500"/>
    <n v="30"/>
    <n v="1050"/>
    <n v="2450"/>
    <n v="4.4000000000000004"/>
    <x v="0"/>
  </r>
  <r>
    <x v="56"/>
    <x v="25"/>
    <x v="3"/>
    <x v="5"/>
    <x v="11"/>
    <x v="8"/>
    <x v="0"/>
    <x v="1"/>
    <x v="0"/>
    <n v="1"/>
    <n v="641"/>
    <n v="641"/>
    <n v="0"/>
    <n v="0"/>
    <n v="641"/>
    <n v="4"/>
    <x v="0"/>
  </r>
  <r>
    <x v="57"/>
    <x v="25"/>
    <x v="1"/>
    <x v="21"/>
    <x v="2"/>
    <x v="1"/>
    <x v="0"/>
    <x v="1"/>
    <x v="1"/>
    <n v="3"/>
    <n v="841"/>
    <n v="2523"/>
    <n v="20"/>
    <n v="505"/>
    <n v="2018"/>
    <n v="4.5999999999999996"/>
    <x v="0"/>
  </r>
  <r>
    <x v="58"/>
    <x v="26"/>
    <x v="5"/>
    <x v="11"/>
    <x v="9"/>
    <x v="3"/>
    <x v="0"/>
    <x v="2"/>
    <x v="1"/>
    <n v="1"/>
    <n v="1760"/>
    <n v="1760"/>
    <n v="5"/>
    <n v="88"/>
    <n v="1672"/>
    <n v="3.3"/>
    <x v="0"/>
  </r>
  <r>
    <x v="59"/>
    <x v="26"/>
    <x v="4"/>
    <x v="20"/>
    <x v="9"/>
    <x v="4"/>
    <x v="0"/>
    <x v="1"/>
    <x v="1"/>
    <n v="4"/>
    <n v="614"/>
    <n v="2456"/>
    <n v="30"/>
    <n v="737"/>
    <n v="1719"/>
    <n v="4.4000000000000004"/>
    <x v="0"/>
  </r>
  <r>
    <x v="60"/>
    <x v="26"/>
    <x v="1"/>
    <x v="2"/>
    <x v="5"/>
    <x v="1"/>
    <x v="1"/>
    <x v="1"/>
    <x v="0"/>
    <n v="3"/>
    <n v="1088"/>
    <n v="3264"/>
    <n v="15"/>
    <n v="490"/>
    <n v="2774"/>
    <n v="4.9000000000000004"/>
    <x v="0"/>
  </r>
  <r>
    <x v="61"/>
    <x v="26"/>
    <x v="4"/>
    <x v="20"/>
    <x v="3"/>
    <x v="0"/>
    <x v="0"/>
    <x v="1"/>
    <x v="4"/>
    <n v="1"/>
    <n v="961"/>
    <n v="961"/>
    <n v="25"/>
    <n v="240"/>
    <n v="721"/>
    <n v="4"/>
    <x v="0"/>
  </r>
  <r>
    <x v="62"/>
    <x v="26"/>
    <x v="2"/>
    <x v="6"/>
    <x v="1"/>
    <x v="8"/>
    <x v="1"/>
    <x v="2"/>
    <x v="2"/>
    <n v="3"/>
    <n v="1252"/>
    <n v="3756"/>
    <n v="0"/>
    <n v="0"/>
    <n v="3756"/>
    <n v="4.7"/>
    <x v="0"/>
  </r>
  <r>
    <x v="63"/>
    <x v="27"/>
    <x v="5"/>
    <x v="14"/>
    <x v="8"/>
    <x v="3"/>
    <x v="0"/>
    <x v="0"/>
    <x v="2"/>
    <n v="5"/>
    <n v="2411"/>
    <n v="12055"/>
    <n v="0"/>
    <n v="0"/>
    <n v="12055"/>
    <n v="3.4"/>
    <x v="0"/>
  </r>
  <r>
    <x v="64"/>
    <x v="27"/>
    <x v="4"/>
    <x v="7"/>
    <x v="5"/>
    <x v="6"/>
    <x v="0"/>
    <x v="1"/>
    <x v="1"/>
    <n v="5"/>
    <n v="622"/>
    <n v="3110"/>
    <n v="30"/>
    <n v="933"/>
    <n v="2177"/>
    <n v="4.4000000000000004"/>
    <x v="0"/>
  </r>
  <r>
    <x v="65"/>
    <x v="27"/>
    <x v="5"/>
    <x v="11"/>
    <x v="8"/>
    <x v="3"/>
    <x v="0"/>
    <x v="0"/>
    <x v="4"/>
    <n v="1"/>
    <n v="1629"/>
    <n v="1629"/>
    <n v="5"/>
    <n v="81"/>
    <n v="1548"/>
    <n v="4.9000000000000004"/>
    <x v="0"/>
  </r>
  <r>
    <x v="66"/>
    <x v="27"/>
    <x v="1"/>
    <x v="10"/>
    <x v="4"/>
    <x v="0"/>
    <x v="1"/>
    <x v="1"/>
    <x v="2"/>
    <n v="1"/>
    <n v="240"/>
    <n v="240"/>
    <n v="0"/>
    <n v="0"/>
    <n v="240"/>
    <n v="3.8"/>
    <x v="0"/>
  </r>
  <r>
    <x v="67"/>
    <x v="28"/>
    <x v="5"/>
    <x v="17"/>
    <x v="11"/>
    <x v="1"/>
    <x v="0"/>
    <x v="1"/>
    <x v="0"/>
    <n v="3"/>
    <n v="2026"/>
    <n v="6078"/>
    <n v="15"/>
    <n v="912"/>
    <n v="5166"/>
    <n v="3.3"/>
    <x v="0"/>
  </r>
  <r>
    <x v="68"/>
    <x v="29"/>
    <x v="1"/>
    <x v="1"/>
    <x v="5"/>
    <x v="5"/>
    <x v="1"/>
    <x v="1"/>
    <x v="4"/>
    <n v="2"/>
    <n v="986"/>
    <n v="1972"/>
    <n v="10"/>
    <n v="197"/>
    <n v="1775"/>
    <n v="3.5"/>
    <x v="0"/>
  </r>
  <r>
    <x v="69"/>
    <x v="29"/>
    <x v="2"/>
    <x v="4"/>
    <x v="3"/>
    <x v="5"/>
    <x v="1"/>
    <x v="1"/>
    <x v="0"/>
    <n v="2"/>
    <n v="1188"/>
    <n v="2376"/>
    <n v="15"/>
    <n v="356"/>
    <n v="2020"/>
    <n v="4"/>
    <x v="0"/>
  </r>
  <r>
    <x v="70"/>
    <x v="29"/>
    <x v="2"/>
    <x v="15"/>
    <x v="5"/>
    <x v="9"/>
    <x v="0"/>
    <x v="0"/>
    <x v="0"/>
    <n v="4"/>
    <n v="907"/>
    <n v="3628"/>
    <n v="25"/>
    <n v="907"/>
    <n v="2721"/>
    <n v="4.5"/>
    <x v="0"/>
  </r>
  <r>
    <x v="71"/>
    <x v="30"/>
    <x v="5"/>
    <x v="11"/>
    <x v="5"/>
    <x v="7"/>
    <x v="0"/>
    <x v="0"/>
    <x v="0"/>
    <n v="2"/>
    <n v="1806"/>
    <n v="3612"/>
    <n v="20"/>
    <n v="722"/>
    <n v="2890"/>
    <n v="4.4000000000000004"/>
    <x v="0"/>
  </r>
  <r>
    <x v="72"/>
    <x v="31"/>
    <x v="2"/>
    <x v="6"/>
    <x v="0"/>
    <x v="6"/>
    <x v="1"/>
    <x v="0"/>
    <x v="3"/>
    <n v="5"/>
    <n v="1438"/>
    <n v="7190"/>
    <n v="0"/>
    <n v="0"/>
    <n v="7190"/>
    <n v="5"/>
    <x v="0"/>
  </r>
  <r>
    <x v="73"/>
    <x v="31"/>
    <x v="2"/>
    <x v="3"/>
    <x v="10"/>
    <x v="8"/>
    <x v="1"/>
    <x v="1"/>
    <x v="4"/>
    <n v="1"/>
    <n v="703"/>
    <n v="703"/>
    <n v="10"/>
    <n v="70"/>
    <n v="633"/>
    <n v="3.4"/>
    <x v="0"/>
  </r>
  <r>
    <x v="74"/>
    <x v="31"/>
    <x v="3"/>
    <x v="9"/>
    <x v="3"/>
    <x v="5"/>
    <x v="0"/>
    <x v="0"/>
    <x v="3"/>
    <n v="4"/>
    <n v="355"/>
    <n v="1420"/>
    <n v="0"/>
    <n v="0"/>
    <n v="1420"/>
    <n v="3.4"/>
    <x v="1"/>
  </r>
  <r>
    <x v="75"/>
    <x v="32"/>
    <x v="5"/>
    <x v="14"/>
    <x v="11"/>
    <x v="0"/>
    <x v="2"/>
    <x v="2"/>
    <x v="1"/>
    <n v="5"/>
    <n v="2962"/>
    <n v="14810"/>
    <n v="15"/>
    <n v="2222"/>
    <n v="12588"/>
    <n v="4.5"/>
    <x v="0"/>
  </r>
  <r>
    <x v="76"/>
    <x v="33"/>
    <x v="2"/>
    <x v="15"/>
    <x v="6"/>
    <x v="7"/>
    <x v="2"/>
    <x v="0"/>
    <x v="3"/>
    <n v="5"/>
    <n v="761"/>
    <n v="3805"/>
    <n v="5"/>
    <n v="190"/>
    <n v="3615"/>
    <n v="4.0999999999999996"/>
    <x v="0"/>
  </r>
  <r>
    <x v="77"/>
    <x v="33"/>
    <x v="1"/>
    <x v="2"/>
    <x v="9"/>
    <x v="0"/>
    <x v="1"/>
    <x v="1"/>
    <x v="3"/>
    <n v="3"/>
    <n v="585"/>
    <n v="1755"/>
    <n v="30"/>
    <n v="526"/>
    <n v="1229"/>
    <n v="4.4000000000000004"/>
    <x v="0"/>
  </r>
  <r>
    <x v="78"/>
    <x v="33"/>
    <x v="4"/>
    <x v="7"/>
    <x v="1"/>
    <x v="3"/>
    <x v="0"/>
    <x v="0"/>
    <x v="2"/>
    <n v="5"/>
    <n v="749"/>
    <n v="3745"/>
    <n v="5"/>
    <n v="187"/>
    <n v="3558"/>
    <n v="3.7"/>
    <x v="0"/>
  </r>
  <r>
    <x v="79"/>
    <x v="34"/>
    <x v="1"/>
    <x v="21"/>
    <x v="9"/>
    <x v="6"/>
    <x v="0"/>
    <x v="1"/>
    <x v="2"/>
    <n v="5"/>
    <n v="219"/>
    <n v="1095"/>
    <n v="15"/>
    <n v="164"/>
    <n v="931"/>
    <n v="3.4"/>
    <x v="0"/>
  </r>
  <r>
    <x v="80"/>
    <x v="35"/>
    <x v="5"/>
    <x v="11"/>
    <x v="5"/>
    <x v="0"/>
    <x v="2"/>
    <x v="2"/>
    <x v="3"/>
    <n v="4"/>
    <n v="1131"/>
    <n v="4524"/>
    <n v="10"/>
    <n v="452"/>
    <n v="4072"/>
    <n v="4.0999999999999996"/>
    <x v="0"/>
  </r>
  <r>
    <x v="81"/>
    <x v="35"/>
    <x v="3"/>
    <x v="5"/>
    <x v="2"/>
    <x v="9"/>
    <x v="2"/>
    <x v="1"/>
    <x v="1"/>
    <n v="2"/>
    <n v="648"/>
    <n v="1296"/>
    <n v="15"/>
    <n v="194"/>
    <n v="1102"/>
    <n v="4.3"/>
    <x v="0"/>
  </r>
  <r>
    <x v="82"/>
    <x v="35"/>
    <x v="1"/>
    <x v="10"/>
    <x v="4"/>
    <x v="5"/>
    <x v="0"/>
    <x v="2"/>
    <x v="2"/>
    <n v="2"/>
    <n v="690"/>
    <n v="1380"/>
    <n v="10"/>
    <n v="138"/>
    <n v="1242"/>
    <n v="4.4000000000000004"/>
    <x v="0"/>
  </r>
  <r>
    <x v="83"/>
    <x v="35"/>
    <x v="5"/>
    <x v="14"/>
    <x v="10"/>
    <x v="6"/>
    <x v="1"/>
    <x v="2"/>
    <x v="3"/>
    <n v="4"/>
    <n v="2893"/>
    <n v="11572"/>
    <n v="5"/>
    <n v="579"/>
    <n v="10993"/>
    <n v="3.6"/>
    <x v="0"/>
  </r>
  <r>
    <x v="84"/>
    <x v="35"/>
    <x v="0"/>
    <x v="18"/>
    <x v="1"/>
    <x v="6"/>
    <x v="1"/>
    <x v="1"/>
    <x v="0"/>
    <n v="5"/>
    <n v="953"/>
    <n v="4765"/>
    <n v="25"/>
    <n v="1191"/>
    <n v="3574"/>
    <n v="3.9"/>
    <x v="0"/>
  </r>
  <r>
    <x v="85"/>
    <x v="36"/>
    <x v="5"/>
    <x v="11"/>
    <x v="4"/>
    <x v="0"/>
    <x v="0"/>
    <x v="0"/>
    <x v="0"/>
    <n v="3"/>
    <n v="697"/>
    <n v="2091"/>
    <n v="5"/>
    <n v="105"/>
    <n v="1986"/>
    <n v="5"/>
    <x v="0"/>
  </r>
  <r>
    <x v="86"/>
    <x v="37"/>
    <x v="0"/>
    <x v="0"/>
    <x v="7"/>
    <x v="1"/>
    <x v="1"/>
    <x v="0"/>
    <x v="4"/>
    <n v="3"/>
    <n v="345"/>
    <n v="1035"/>
    <n v="0"/>
    <n v="0"/>
    <n v="1035"/>
    <n v="4"/>
    <x v="0"/>
  </r>
  <r>
    <x v="87"/>
    <x v="37"/>
    <x v="4"/>
    <x v="20"/>
    <x v="9"/>
    <x v="1"/>
    <x v="1"/>
    <x v="1"/>
    <x v="2"/>
    <n v="5"/>
    <n v="2353"/>
    <n v="11765"/>
    <n v="20"/>
    <n v="2353"/>
    <n v="9412"/>
    <n v="3.5"/>
    <x v="0"/>
  </r>
  <r>
    <x v="88"/>
    <x v="37"/>
    <x v="2"/>
    <x v="3"/>
    <x v="8"/>
    <x v="8"/>
    <x v="0"/>
    <x v="2"/>
    <x v="3"/>
    <n v="4"/>
    <n v="373"/>
    <n v="1492"/>
    <n v="30"/>
    <n v="448"/>
    <n v="1044"/>
    <n v="3.3"/>
    <x v="1"/>
  </r>
  <r>
    <x v="89"/>
    <x v="38"/>
    <x v="4"/>
    <x v="7"/>
    <x v="3"/>
    <x v="4"/>
    <x v="1"/>
    <x v="0"/>
    <x v="2"/>
    <n v="1"/>
    <n v="644"/>
    <n v="644"/>
    <n v="5"/>
    <n v="32"/>
    <n v="612"/>
    <n v="4.5"/>
    <x v="0"/>
  </r>
  <r>
    <x v="90"/>
    <x v="39"/>
    <x v="5"/>
    <x v="11"/>
    <x v="10"/>
    <x v="2"/>
    <x v="1"/>
    <x v="0"/>
    <x v="4"/>
    <n v="4"/>
    <n v="1809"/>
    <n v="7236"/>
    <n v="15"/>
    <n v="1085"/>
    <n v="6151"/>
    <n v="4.8"/>
    <x v="0"/>
  </r>
  <r>
    <x v="91"/>
    <x v="39"/>
    <x v="3"/>
    <x v="5"/>
    <x v="6"/>
    <x v="2"/>
    <x v="1"/>
    <x v="1"/>
    <x v="4"/>
    <n v="3"/>
    <n v="720"/>
    <n v="2160"/>
    <n v="5"/>
    <n v="108"/>
    <n v="2052"/>
    <n v="4.3"/>
    <x v="1"/>
  </r>
  <r>
    <x v="92"/>
    <x v="40"/>
    <x v="1"/>
    <x v="1"/>
    <x v="0"/>
    <x v="9"/>
    <x v="1"/>
    <x v="0"/>
    <x v="3"/>
    <n v="4"/>
    <n v="855"/>
    <n v="3420"/>
    <n v="15"/>
    <n v="513"/>
    <n v="2907"/>
    <n v="3.9"/>
    <x v="1"/>
  </r>
  <r>
    <x v="93"/>
    <x v="40"/>
    <x v="1"/>
    <x v="21"/>
    <x v="9"/>
    <x v="1"/>
    <x v="1"/>
    <x v="1"/>
    <x v="3"/>
    <n v="2"/>
    <n v="757"/>
    <n v="1514"/>
    <n v="15"/>
    <n v="227"/>
    <n v="1287"/>
    <n v="4.5"/>
    <x v="0"/>
  </r>
  <r>
    <x v="94"/>
    <x v="40"/>
    <x v="0"/>
    <x v="18"/>
    <x v="11"/>
    <x v="2"/>
    <x v="2"/>
    <x v="1"/>
    <x v="0"/>
    <n v="4"/>
    <n v="290"/>
    <n v="1160"/>
    <n v="10"/>
    <n v="116"/>
    <n v="1044"/>
    <n v="4.8"/>
    <x v="0"/>
  </r>
  <r>
    <x v="95"/>
    <x v="40"/>
    <x v="4"/>
    <x v="20"/>
    <x v="2"/>
    <x v="1"/>
    <x v="1"/>
    <x v="2"/>
    <x v="4"/>
    <n v="3"/>
    <n v="1139"/>
    <n v="3417"/>
    <n v="30"/>
    <n v="1025"/>
    <n v="2392"/>
    <n v="4.0999999999999996"/>
    <x v="0"/>
  </r>
  <r>
    <x v="96"/>
    <x v="40"/>
    <x v="5"/>
    <x v="11"/>
    <x v="6"/>
    <x v="0"/>
    <x v="0"/>
    <x v="0"/>
    <x v="2"/>
    <n v="3"/>
    <n v="965"/>
    <n v="2895"/>
    <n v="0"/>
    <n v="0"/>
    <n v="2895"/>
    <n v="3.7"/>
    <x v="0"/>
  </r>
  <r>
    <x v="97"/>
    <x v="41"/>
    <x v="5"/>
    <x v="11"/>
    <x v="6"/>
    <x v="8"/>
    <x v="1"/>
    <x v="0"/>
    <x v="2"/>
    <n v="4"/>
    <n v="2905"/>
    <n v="11620"/>
    <n v="10"/>
    <n v="1162"/>
    <n v="10458"/>
    <n v="4.7"/>
    <x v="0"/>
  </r>
  <r>
    <x v="98"/>
    <x v="42"/>
    <x v="4"/>
    <x v="7"/>
    <x v="5"/>
    <x v="2"/>
    <x v="1"/>
    <x v="0"/>
    <x v="1"/>
    <n v="4"/>
    <n v="711"/>
    <n v="2844"/>
    <n v="30"/>
    <n v="853"/>
    <n v="1991"/>
    <n v="4.2"/>
    <x v="1"/>
  </r>
  <r>
    <x v="99"/>
    <x v="42"/>
    <x v="4"/>
    <x v="7"/>
    <x v="5"/>
    <x v="6"/>
    <x v="1"/>
    <x v="0"/>
    <x v="4"/>
    <n v="4"/>
    <n v="564"/>
    <n v="2256"/>
    <n v="0"/>
    <n v="0"/>
    <n v="2256"/>
    <n v="4.9000000000000004"/>
    <x v="0"/>
  </r>
  <r>
    <x v="100"/>
    <x v="42"/>
    <x v="5"/>
    <x v="17"/>
    <x v="11"/>
    <x v="8"/>
    <x v="0"/>
    <x v="1"/>
    <x v="1"/>
    <n v="2"/>
    <n v="2216"/>
    <n v="4432"/>
    <n v="15"/>
    <n v="665"/>
    <n v="3767"/>
    <n v="3.3"/>
    <x v="0"/>
  </r>
  <r>
    <x v="101"/>
    <x v="43"/>
    <x v="4"/>
    <x v="19"/>
    <x v="3"/>
    <x v="1"/>
    <x v="1"/>
    <x v="0"/>
    <x v="4"/>
    <n v="1"/>
    <n v="2112"/>
    <n v="2112"/>
    <n v="10"/>
    <n v="211"/>
    <n v="1901"/>
    <n v="4.2"/>
    <x v="0"/>
  </r>
  <r>
    <x v="102"/>
    <x v="44"/>
    <x v="3"/>
    <x v="9"/>
    <x v="11"/>
    <x v="1"/>
    <x v="1"/>
    <x v="0"/>
    <x v="3"/>
    <n v="1"/>
    <n v="701"/>
    <n v="701"/>
    <n v="15"/>
    <n v="105"/>
    <n v="596"/>
    <n v="4.9000000000000004"/>
    <x v="0"/>
  </r>
  <r>
    <x v="103"/>
    <x v="44"/>
    <x v="5"/>
    <x v="11"/>
    <x v="11"/>
    <x v="8"/>
    <x v="0"/>
    <x v="1"/>
    <x v="0"/>
    <n v="2"/>
    <n v="996"/>
    <n v="1992"/>
    <n v="15"/>
    <n v="299"/>
    <n v="1693"/>
    <n v="4.2"/>
    <x v="0"/>
  </r>
  <r>
    <x v="104"/>
    <x v="44"/>
    <x v="0"/>
    <x v="22"/>
    <x v="0"/>
    <x v="3"/>
    <x v="1"/>
    <x v="0"/>
    <x v="3"/>
    <n v="3"/>
    <n v="415"/>
    <n v="1245"/>
    <n v="0"/>
    <n v="0"/>
    <n v="1245"/>
    <n v="4.2"/>
    <x v="0"/>
  </r>
  <r>
    <x v="105"/>
    <x v="45"/>
    <x v="5"/>
    <x v="11"/>
    <x v="5"/>
    <x v="8"/>
    <x v="1"/>
    <x v="1"/>
    <x v="0"/>
    <n v="4"/>
    <n v="1792"/>
    <n v="7168"/>
    <n v="20"/>
    <n v="1434"/>
    <n v="5734"/>
    <n v="3.5"/>
    <x v="0"/>
  </r>
  <r>
    <x v="106"/>
    <x v="45"/>
    <x v="0"/>
    <x v="16"/>
    <x v="3"/>
    <x v="2"/>
    <x v="0"/>
    <x v="1"/>
    <x v="1"/>
    <n v="2"/>
    <n v="464"/>
    <n v="928"/>
    <n v="5"/>
    <n v="46"/>
    <n v="882"/>
    <n v="4.4000000000000004"/>
    <x v="0"/>
  </r>
  <r>
    <x v="107"/>
    <x v="45"/>
    <x v="3"/>
    <x v="5"/>
    <x v="9"/>
    <x v="6"/>
    <x v="0"/>
    <x v="0"/>
    <x v="2"/>
    <n v="1"/>
    <n v="153"/>
    <n v="153"/>
    <n v="5"/>
    <n v="8"/>
    <n v="145"/>
    <n v="4.9000000000000004"/>
    <x v="0"/>
  </r>
  <r>
    <x v="108"/>
    <x v="46"/>
    <x v="5"/>
    <x v="11"/>
    <x v="6"/>
    <x v="9"/>
    <x v="0"/>
    <x v="1"/>
    <x v="1"/>
    <n v="4"/>
    <n v="546"/>
    <n v="2184"/>
    <n v="15"/>
    <n v="328"/>
    <n v="1856"/>
    <n v="3.5"/>
    <x v="0"/>
  </r>
  <r>
    <x v="109"/>
    <x v="46"/>
    <x v="5"/>
    <x v="17"/>
    <x v="6"/>
    <x v="1"/>
    <x v="0"/>
    <x v="1"/>
    <x v="4"/>
    <n v="5"/>
    <n v="1780"/>
    <n v="8900"/>
    <n v="0"/>
    <n v="0"/>
    <n v="8900"/>
    <n v="3.2"/>
    <x v="0"/>
  </r>
  <r>
    <x v="110"/>
    <x v="46"/>
    <x v="1"/>
    <x v="12"/>
    <x v="0"/>
    <x v="1"/>
    <x v="0"/>
    <x v="0"/>
    <x v="3"/>
    <n v="2"/>
    <n v="417"/>
    <n v="834"/>
    <n v="15"/>
    <n v="125"/>
    <n v="709"/>
    <n v="3.9"/>
    <x v="0"/>
  </r>
  <r>
    <x v="111"/>
    <x v="46"/>
    <x v="1"/>
    <x v="10"/>
    <x v="8"/>
    <x v="5"/>
    <x v="0"/>
    <x v="2"/>
    <x v="3"/>
    <n v="4"/>
    <n v="1050"/>
    <n v="4200"/>
    <n v="30"/>
    <n v="1260"/>
    <n v="2940"/>
    <n v="4.8"/>
    <x v="0"/>
  </r>
  <r>
    <x v="112"/>
    <x v="47"/>
    <x v="0"/>
    <x v="16"/>
    <x v="9"/>
    <x v="0"/>
    <x v="0"/>
    <x v="1"/>
    <x v="4"/>
    <n v="4"/>
    <n v="172"/>
    <n v="688"/>
    <n v="5"/>
    <n v="34"/>
    <n v="654"/>
    <n v="3.3"/>
    <x v="1"/>
  </r>
  <r>
    <x v="113"/>
    <x v="48"/>
    <x v="3"/>
    <x v="9"/>
    <x v="2"/>
    <x v="6"/>
    <x v="0"/>
    <x v="1"/>
    <x v="1"/>
    <n v="4"/>
    <n v="543"/>
    <n v="2172"/>
    <n v="20"/>
    <n v="434"/>
    <n v="1738"/>
    <n v="3.4"/>
    <x v="0"/>
  </r>
  <r>
    <x v="114"/>
    <x v="49"/>
    <x v="3"/>
    <x v="13"/>
    <x v="4"/>
    <x v="2"/>
    <x v="0"/>
    <x v="1"/>
    <x v="4"/>
    <n v="1"/>
    <n v="750"/>
    <n v="750"/>
    <n v="20"/>
    <n v="150"/>
    <n v="600"/>
    <n v="4.5999999999999996"/>
    <x v="0"/>
  </r>
  <r>
    <x v="115"/>
    <x v="49"/>
    <x v="3"/>
    <x v="5"/>
    <x v="4"/>
    <x v="8"/>
    <x v="0"/>
    <x v="0"/>
    <x v="3"/>
    <n v="4"/>
    <n v="644"/>
    <n v="2576"/>
    <n v="25"/>
    <n v="644"/>
    <n v="1932"/>
    <n v="3.7"/>
    <x v="0"/>
  </r>
  <r>
    <x v="116"/>
    <x v="49"/>
    <x v="2"/>
    <x v="4"/>
    <x v="6"/>
    <x v="1"/>
    <x v="0"/>
    <x v="2"/>
    <x v="4"/>
    <n v="1"/>
    <n v="651"/>
    <n v="651"/>
    <n v="25"/>
    <n v="163"/>
    <n v="488"/>
    <n v="4.2"/>
    <x v="0"/>
  </r>
  <r>
    <x v="117"/>
    <x v="49"/>
    <x v="0"/>
    <x v="0"/>
    <x v="2"/>
    <x v="6"/>
    <x v="0"/>
    <x v="1"/>
    <x v="3"/>
    <n v="4"/>
    <n v="463"/>
    <n v="1852"/>
    <n v="5"/>
    <n v="93"/>
    <n v="1759"/>
    <n v="3.7"/>
    <x v="0"/>
  </r>
  <r>
    <x v="118"/>
    <x v="50"/>
    <x v="1"/>
    <x v="12"/>
    <x v="8"/>
    <x v="3"/>
    <x v="1"/>
    <x v="0"/>
    <x v="2"/>
    <n v="5"/>
    <n v="872"/>
    <n v="4360"/>
    <n v="5"/>
    <n v="218"/>
    <n v="4142"/>
    <n v="3.9"/>
    <x v="0"/>
  </r>
  <r>
    <x v="119"/>
    <x v="50"/>
    <x v="5"/>
    <x v="17"/>
    <x v="8"/>
    <x v="5"/>
    <x v="0"/>
    <x v="0"/>
    <x v="3"/>
    <n v="3"/>
    <n v="2420"/>
    <n v="7260"/>
    <n v="5"/>
    <n v="363"/>
    <n v="6897"/>
    <n v="3.8"/>
    <x v="0"/>
  </r>
  <r>
    <x v="120"/>
    <x v="50"/>
    <x v="0"/>
    <x v="18"/>
    <x v="7"/>
    <x v="8"/>
    <x v="0"/>
    <x v="0"/>
    <x v="4"/>
    <n v="4"/>
    <n v="597"/>
    <n v="2388"/>
    <n v="10"/>
    <n v="239"/>
    <n v="2149"/>
    <n v="3.3"/>
    <x v="0"/>
  </r>
  <r>
    <x v="121"/>
    <x v="50"/>
    <x v="4"/>
    <x v="19"/>
    <x v="4"/>
    <x v="0"/>
    <x v="0"/>
    <x v="0"/>
    <x v="1"/>
    <n v="2"/>
    <n v="549"/>
    <n v="1098"/>
    <n v="5"/>
    <n v="55"/>
    <n v="1043"/>
    <n v="4.5999999999999996"/>
    <x v="0"/>
  </r>
  <r>
    <x v="122"/>
    <x v="51"/>
    <x v="2"/>
    <x v="8"/>
    <x v="0"/>
    <x v="2"/>
    <x v="0"/>
    <x v="1"/>
    <x v="1"/>
    <n v="4"/>
    <n v="570"/>
    <n v="2280"/>
    <n v="15"/>
    <n v="342"/>
    <n v="1938"/>
    <n v="3.7"/>
    <x v="0"/>
  </r>
  <r>
    <x v="123"/>
    <x v="51"/>
    <x v="5"/>
    <x v="14"/>
    <x v="6"/>
    <x v="8"/>
    <x v="0"/>
    <x v="0"/>
    <x v="1"/>
    <n v="3"/>
    <n v="2815"/>
    <n v="8445"/>
    <n v="10"/>
    <n v="844"/>
    <n v="7601"/>
    <n v="4.8"/>
    <x v="0"/>
  </r>
  <r>
    <x v="124"/>
    <x v="51"/>
    <x v="3"/>
    <x v="13"/>
    <x v="11"/>
    <x v="7"/>
    <x v="1"/>
    <x v="0"/>
    <x v="0"/>
    <n v="2"/>
    <n v="179"/>
    <n v="358"/>
    <n v="10"/>
    <n v="36"/>
    <n v="322"/>
    <n v="3.9"/>
    <x v="0"/>
  </r>
  <r>
    <x v="125"/>
    <x v="52"/>
    <x v="0"/>
    <x v="18"/>
    <x v="5"/>
    <x v="9"/>
    <x v="1"/>
    <x v="1"/>
    <x v="2"/>
    <n v="4"/>
    <n v="250"/>
    <n v="1000"/>
    <n v="25"/>
    <n v="250"/>
    <n v="750"/>
    <n v="3.6"/>
    <x v="1"/>
  </r>
  <r>
    <x v="126"/>
    <x v="53"/>
    <x v="4"/>
    <x v="19"/>
    <x v="0"/>
    <x v="0"/>
    <x v="0"/>
    <x v="1"/>
    <x v="0"/>
    <n v="2"/>
    <n v="1196"/>
    <n v="2392"/>
    <n v="0"/>
    <n v="0"/>
    <n v="2392"/>
    <n v="3.8"/>
    <x v="0"/>
  </r>
  <r>
    <x v="127"/>
    <x v="53"/>
    <x v="5"/>
    <x v="11"/>
    <x v="2"/>
    <x v="0"/>
    <x v="0"/>
    <x v="0"/>
    <x v="3"/>
    <n v="2"/>
    <n v="2573"/>
    <n v="5146"/>
    <n v="30"/>
    <n v="1544"/>
    <n v="3602"/>
    <n v="4.8"/>
    <x v="0"/>
  </r>
  <r>
    <x v="128"/>
    <x v="54"/>
    <x v="0"/>
    <x v="22"/>
    <x v="3"/>
    <x v="1"/>
    <x v="1"/>
    <x v="1"/>
    <x v="2"/>
    <n v="1"/>
    <n v="838"/>
    <n v="838"/>
    <n v="30"/>
    <n v="251"/>
    <n v="587"/>
    <n v="5"/>
    <x v="0"/>
  </r>
  <r>
    <x v="129"/>
    <x v="55"/>
    <x v="2"/>
    <x v="6"/>
    <x v="7"/>
    <x v="2"/>
    <x v="0"/>
    <x v="0"/>
    <x v="4"/>
    <n v="3"/>
    <n v="992"/>
    <n v="2976"/>
    <n v="25"/>
    <n v="744"/>
    <n v="2232"/>
    <n v="3.3"/>
    <x v="0"/>
  </r>
  <r>
    <x v="130"/>
    <x v="55"/>
    <x v="3"/>
    <x v="9"/>
    <x v="0"/>
    <x v="3"/>
    <x v="1"/>
    <x v="1"/>
    <x v="1"/>
    <n v="5"/>
    <n v="500"/>
    <n v="2500"/>
    <n v="15"/>
    <n v="375"/>
    <n v="2125"/>
    <n v="3.3"/>
    <x v="0"/>
  </r>
  <r>
    <x v="131"/>
    <x v="55"/>
    <x v="3"/>
    <x v="9"/>
    <x v="1"/>
    <x v="4"/>
    <x v="0"/>
    <x v="1"/>
    <x v="1"/>
    <n v="4"/>
    <n v="602"/>
    <n v="2408"/>
    <n v="20"/>
    <n v="482"/>
    <n v="1926"/>
    <n v="3.4"/>
    <x v="0"/>
  </r>
  <r>
    <x v="132"/>
    <x v="56"/>
    <x v="1"/>
    <x v="21"/>
    <x v="3"/>
    <x v="9"/>
    <x v="0"/>
    <x v="2"/>
    <x v="2"/>
    <n v="2"/>
    <n v="1296"/>
    <n v="2592"/>
    <n v="25"/>
    <n v="648"/>
    <n v="1944"/>
    <n v="3.5"/>
    <x v="0"/>
  </r>
  <r>
    <x v="133"/>
    <x v="56"/>
    <x v="5"/>
    <x v="14"/>
    <x v="7"/>
    <x v="1"/>
    <x v="1"/>
    <x v="2"/>
    <x v="3"/>
    <n v="3"/>
    <n v="1818"/>
    <n v="5454"/>
    <n v="20"/>
    <n v="1091"/>
    <n v="4363"/>
    <n v="4"/>
    <x v="0"/>
  </r>
  <r>
    <x v="134"/>
    <x v="57"/>
    <x v="4"/>
    <x v="7"/>
    <x v="6"/>
    <x v="1"/>
    <x v="1"/>
    <x v="2"/>
    <x v="4"/>
    <n v="4"/>
    <n v="2186"/>
    <n v="8744"/>
    <n v="30"/>
    <n v="2623"/>
    <n v="6121"/>
    <n v="4.9000000000000004"/>
    <x v="0"/>
  </r>
  <r>
    <x v="135"/>
    <x v="57"/>
    <x v="4"/>
    <x v="7"/>
    <x v="9"/>
    <x v="5"/>
    <x v="0"/>
    <x v="1"/>
    <x v="1"/>
    <n v="5"/>
    <n v="2250"/>
    <n v="11250"/>
    <n v="15"/>
    <n v="1688"/>
    <n v="9562"/>
    <n v="5"/>
    <x v="0"/>
  </r>
  <r>
    <x v="136"/>
    <x v="58"/>
    <x v="0"/>
    <x v="22"/>
    <x v="2"/>
    <x v="9"/>
    <x v="0"/>
    <x v="1"/>
    <x v="0"/>
    <n v="4"/>
    <n v="195"/>
    <n v="780"/>
    <n v="15"/>
    <n v="117"/>
    <n v="663"/>
    <n v="3.9"/>
    <x v="0"/>
  </r>
  <r>
    <x v="137"/>
    <x v="59"/>
    <x v="4"/>
    <x v="20"/>
    <x v="5"/>
    <x v="6"/>
    <x v="0"/>
    <x v="0"/>
    <x v="4"/>
    <n v="2"/>
    <n v="1913"/>
    <n v="3826"/>
    <n v="0"/>
    <n v="0"/>
    <n v="3826"/>
    <n v="3.9"/>
    <x v="0"/>
  </r>
  <r>
    <x v="138"/>
    <x v="59"/>
    <x v="4"/>
    <x v="19"/>
    <x v="8"/>
    <x v="7"/>
    <x v="0"/>
    <x v="1"/>
    <x v="0"/>
    <n v="4"/>
    <n v="1444"/>
    <n v="5776"/>
    <n v="15"/>
    <n v="866"/>
    <n v="4910"/>
    <n v="4.2"/>
    <x v="0"/>
  </r>
  <r>
    <x v="139"/>
    <x v="59"/>
    <x v="1"/>
    <x v="1"/>
    <x v="6"/>
    <x v="8"/>
    <x v="1"/>
    <x v="2"/>
    <x v="1"/>
    <n v="3"/>
    <n v="373"/>
    <n v="1119"/>
    <n v="30"/>
    <n v="336"/>
    <n v="783"/>
    <n v="4.2"/>
    <x v="0"/>
  </r>
  <r>
    <x v="140"/>
    <x v="60"/>
    <x v="3"/>
    <x v="5"/>
    <x v="3"/>
    <x v="3"/>
    <x v="0"/>
    <x v="1"/>
    <x v="4"/>
    <n v="3"/>
    <n v="419"/>
    <n v="1257"/>
    <n v="20"/>
    <n v="251"/>
    <n v="1006"/>
    <n v="4.8"/>
    <x v="0"/>
  </r>
  <r>
    <x v="141"/>
    <x v="60"/>
    <x v="3"/>
    <x v="13"/>
    <x v="6"/>
    <x v="3"/>
    <x v="0"/>
    <x v="0"/>
    <x v="1"/>
    <n v="5"/>
    <n v="156"/>
    <n v="780"/>
    <n v="5"/>
    <n v="39"/>
    <n v="741"/>
    <n v="4.7"/>
    <x v="0"/>
  </r>
  <r>
    <x v="142"/>
    <x v="60"/>
    <x v="0"/>
    <x v="16"/>
    <x v="4"/>
    <x v="4"/>
    <x v="0"/>
    <x v="0"/>
    <x v="0"/>
    <n v="3"/>
    <n v="658"/>
    <n v="1974"/>
    <n v="20"/>
    <n v="395"/>
    <n v="1579"/>
    <n v="3.9"/>
    <x v="0"/>
  </r>
  <r>
    <x v="143"/>
    <x v="60"/>
    <x v="0"/>
    <x v="18"/>
    <x v="11"/>
    <x v="7"/>
    <x v="0"/>
    <x v="1"/>
    <x v="0"/>
    <n v="4"/>
    <n v="631"/>
    <n v="2524"/>
    <n v="5"/>
    <n v="126"/>
    <n v="2398"/>
    <n v="3.5"/>
    <x v="0"/>
  </r>
  <r>
    <x v="144"/>
    <x v="61"/>
    <x v="3"/>
    <x v="13"/>
    <x v="11"/>
    <x v="5"/>
    <x v="0"/>
    <x v="1"/>
    <x v="2"/>
    <n v="3"/>
    <n v="756"/>
    <n v="2268"/>
    <n v="20"/>
    <n v="454"/>
    <n v="1814"/>
    <n v="3.7"/>
    <x v="0"/>
  </r>
  <r>
    <x v="145"/>
    <x v="61"/>
    <x v="5"/>
    <x v="14"/>
    <x v="1"/>
    <x v="3"/>
    <x v="0"/>
    <x v="1"/>
    <x v="4"/>
    <n v="3"/>
    <n v="1655"/>
    <n v="4965"/>
    <n v="30"/>
    <n v="1490"/>
    <n v="3475"/>
    <n v="3.9"/>
    <x v="0"/>
  </r>
  <r>
    <x v="146"/>
    <x v="61"/>
    <x v="1"/>
    <x v="12"/>
    <x v="3"/>
    <x v="6"/>
    <x v="0"/>
    <x v="0"/>
    <x v="2"/>
    <n v="4"/>
    <n v="544"/>
    <n v="2176"/>
    <n v="0"/>
    <n v="0"/>
    <n v="2176"/>
    <n v="4.2"/>
    <x v="1"/>
  </r>
  <r>
    <x v="147"/>
    <x v="61"/>
    <x v="0"/>
    <x v="22"/>
    <x v="9"/>
    <x v="2"/>
    <x v="0"/>
    <x v="2"/>
    <x v="2"/>
    <n v="4"/>
    <n v="468"/>
    <n v="1872"/>
    <n v="25"/>
    <n v="468"/>
    <n v="1404"/>
    <n v="4.9000000000000004"/>
    <x v="0"/>
  </r>
  <r>
    <x v="148"/>
    <x v="62"/>
    <x v="5"/>
    <x v="14"/>
    <x v="9"/>
    <x v="7"/>
    <x v="0"/>
    <x v="2"/>
    <x v="2"/>
    <n v="2"/>
    <n v="1290"/>
    <n v="2580"/>
    <n v="25"/>
    <n v="645"/>
    <n v="1935"/>
    <n v="3.5"/>
    <x v="0"/>
  </r>
  <r>
    <x v="149"/>
    <x v="62"/>
    <x v="2"/>
    <x v="15"/>
    <x v="1"/>
    <x v="2"/>
    <x v="1"/>
    <x v="2"/>
    <x v="1"/>
    <n v="2"/>
    <n v="665"/>
    <n v="1330"/>
    <n v="5"/>
    <n v="66"/>
    <n v="1264"/>
    <n v="3.9"/>
    <x v="0"/>
  </r>
  <r>
    <x v="150"/>
    <x v="62"/>
    <x v="4"/>
    <x v="7"/>
    <x v="9"/>
    <x v="0"/>
    <x v="1"/>
    <x v="1"/>
    <x v="2"/>
    <n v="2"/>
    <n v="2218"/>
    <n v="4436"/>
    <n v="10"/>
    <n v="444"/>
    <n v="3992"/>
    <n v="3.4"/>
    <x v="0"/>
  </r>
  <r>
    <x v="151"/>
    <x v="62"/>
    <x v="3"/>
    <x v="9"/>
    <x v="3"/>
    <x v="2"/>
    <x v="0"/>
    <x v="1"/>
    <x v="2"/>
    <n v="5"/>
    <n v="665"/>
    <n v="3325"/>
    <n v="10"/>
    <n v="332"/>
    <n v="2993"/>
    <n v="4.9000000000000004"/>
    <x v="0"/>
  </r>
  <r>
    <x v="152"/>
    <x v="62"/>
    <x v="2"/>
    <x v="8"/>
    <x v="9"/>
    <x v="9"/>
    <x v="0"/>
    <x v="1"/>
    <x v="3"/>
    <n v="4"/>
    <n v="837"/>
    <n v="3348"/>
    <n v="0"/>
    <n v="0"/>
    <n v="3348"/>
    <n v="4.8"/>
    <x v="0"/>
  </r>
  <r>
    <x v="153"/>
    <x v="62"/>
    <x v="5"/>
    <x v="14"/>
    <x v="3"/>
    <x v="1"/>
    <x v="0"/>
    <x v="1"/>
    <x v="0"/>
    <n v="5"/>
    <n v="2426"/>
    <n v="12130"/>
    <n v="30"/>
    <n v="3639"/>
    <n v="8491"/>
    <n v="4.5"/>
    <x v="0"/>
  </r>
  <r>
    <x v="154"/>
    <x v="63"/>
    <x v="3"/>
    <x v="5"/>
    <x v="7"/>
    <x v="3"/>
    <x v="0"/>
    <x v="0"/>
    <x v="1"/>
    <n v="2"/>
    <n v="247"/>
    <n v="494"/>
    <n v="5"/>
    <n v="25"/>
    <n v="469"/>
    <n v="3.9"/>
    <x v="0"/>
  </r>
  <r>
    <x v="155"/>
    <x v="63"/>
    <x v="1"/>
    <x v="1"/>
    <x v="7"/>
    <x v="8"/>
    <x v="2"/>
    <x v="0"/>
    <x v="2"/>
    <n v="5"/>
    <n v="1012"/>
    <n v="5060"/>
    <n v="10"/>
    <n v="506"/>
    <n v="4554"/>
    <n v="4.3"/>
    <x v="0"/>
  </r>
  <r>
    <x v="156"/>
    <x v="63"/>
    <x v="5"/>
    <x v="14"/>
    <x v="6"/>
    <x v="7"/>
    <x v="1"/>
    <x v="1"/>
    <x v="4"/>
    <n v="4"/>
    <n v="2744"/>
    <n v="10976"/>
    <n v="15"/>
    <n v="1646"/>
    <n v="9330"/>
    <n v="3.9"/>
    <x v="1"/>
  </r>
  <r>
    <x v="157"/>
    <x v="63"/>
    <x v="4"/>
    <x v="20"/>
    <x v="11"/>
    <x v="9"/>
    <x v="1"/>
    <x v="2"/>
    <x v="1"/>
    <n v="2"/>
    <n v="1173"/>
    <n v="2346"/>
    <n v="20"/>
    <n v="469"/>
    <n v="1877"/>
    <n v="4.4000000000000004"/>
    <x v="0"/>
  </r>
  <r>
    <x v="158"/>
    <x v="63"/>
    <x v="4"/>
    <x v="7"/>
    <x v="1"/>
    <x v="2"/>
    <x v="0"/>
    <x v="0"/>
    <x v="1"/>
    <n v="5"/>
    <n v="1622"/>
    <n v="8110"/>
    <n v="30"/>
    <n v="2433"/>
    <n v="5677"/>
    <n v="4.5999999999999996"/>
    <x v="0"/>
  </r>
  <r>
    <x v="159"/>
    <x v="64"/>
    <x v="4"/>
    <x v="20"/>
    <x v="0"/>
    <x v="6"/>
    <x v="1"/>
    <x v="1"/>
    <x v="2"/>
    <n v="4"/>
    <n v="558"/>
    <n v="2232"/>
    <n v="30"/>
    <n v="670"/>
    <n v="1562"/>
    <n v="4.8"/>
    <x v="0"/>
  </r>
  <r>
    <x v="160"/>
    <x v="64"/>
    <x v="2"/>
    <x v="15"/>
    <x v="11"/>
    <x v="8"/>
    <x v="0"/>
    <x v="1"/>
    <x v="3"/>
    <n v="5"/>
    <n v="879"/>
    <n v="4395"/>
    <n v="15"/>
    <n v="659"/>
    <n v="3736"/>
    <n v="3.4"/>
    <x v="0"/>
  </r>
  <r>
    <x v="161"/>
    <x v="65"/>
    <x v="4"/>
    <x v="19"/>
    <x v="2"/>
    <x v="6"/>
    <x v="1"/>
    <x v="1"/>
    <x v="3"/>
    <n v="1"/>
    <n v="895"/>
    <n v="895"/>
    <n v="25"/>
    <n v="224"/>
    <n v="671"/>
    <n v="3.9"/>
    <x v="0"/>
  </r>
  <r>
    <x v="162"/>
    <x v="65"/>
    <x v="5"/>
    <x v="14"/>
    <x v="11"/>
    <x v="2"/>
    <x v="1"/>
    <x v="2"/>
    <x v="0"/>
    <n v="4"/>
    <n v="2453"/>
    <n v="9812"/>
    <n v="10"/>
    <n v="981"/>
    <n v="8831"/>
    <n v="3.8"/>
    <x v="0"/>
  </r>
  <r>
    <x v="163"/>
    <x v="66"/>
    <x v="1"/>
    <x v="1"/>
    <x v="2"/>
    <x v="8"/>
    <x v="0"/>
    <x v="1"/>
    <x v="1"/>
    <n v="2"/>
    <n v="257"/>
    <n v="514"/>
    <n v="10"/>
    <n v="51"/>
    <n v="463"/>
    <n v="4"/>
    <x v="0"/>
  </r>
  <r>
    <x v="164"/>
    <x v="66"/>
    <x v="5"/>
    <x v="17"/>
    <x v="3"/>
    <x v="1"/>
    <x v="0"/>
    <x v="0"/>
    <x v="2"/>
    <n v="4"/>
    <n v="835"/>
    <n v="3340"/>
    <n v="30"/>
    <n v="1002"/>
    <n v="2338"/>
    <n v="4.3"/>
    <x v="0"/>
  </r>
  <r>
    <x v="165"/>
    <x v="66"/>
    <x v="4"/>
    <x v="19"/>
    <x v="8"/>
    <x v="3"/>
    <x v="2"/>
    <x v="1"/>
    <x v="0"/>
    <n v="3"/>
    <n v="865"/>
    <n v="2595"/>
    <n v="0"/>
    <n v="0"/>
    <n v="2595"/>
    <n v="4.3"/>
    <x v="0"/>
  </r>
  <r>
    <x v="166"/>
    <x v="67"/>
    <x v="4"/>
    <x v="20"/>
    <x v="10"/>
    <x v="8"/>
    <x v="0"/>
    <x v="2"/>
    <x v="4"/>
    <n v="3"/>
    <n v="654"/>
    <n v="1962"/>
    <n v="0"/>
    <n v="0"/>
    <n v="1962"/>
    <n v="3.9"/>
    <x v="0"/>
  </r>
  <r>
    <x v="167"/>
    <x v="67"/>
    <x v="2"/>
    <x v="8"/>
    <x v="5"/>
    <x v="5"/>
    <x v="0"/>
    <x v="1"/>
    <x v="4"/>
    <n v="5"/>
    <n v="1154"/>
    <n v="5770"/>
    <n v="15"/>
    <n v="866"/>
    <n v="4904"/>
    <n v="5"/>
    <x v="0"/>
  </r>
  <r>
    <x v="168"/>
    <x v="67"/>
    <x v="1"/>
    <x v="12"/>
    <x v="9"/>
    <x v="9"/>
    <x v="1"/>
    <x v="0"/>
    <x v="0"/>
    <n v="5"/>
    <n v="1121"/>
    <n v="5605"/>
    <n v="10"/>
    <n v="560"/>
    <n v="5045"/>
    <n v="3.8"/>
    <x v="0"/>
  </r>
  <r>
    <x v="169"/>
    <x v="68"/>
    <x v="4"/>
    <x v="20"/>
    <x v="3"/>
    <x v="0"/>
    <x v="1"/>
    <x v="2"/>
    <x v="4"/>
    <n v="4"/>
    <n v="1786"/>
    <n v="7144"/>
    <n v="25"/>
    <n v="1786"/>
    <n v="5358"/>
    <n v="3.5"/>
    <x v="0"/>
  </r>
  <r>
    <x v="170"/>
    <x v="69"/>
    <x v="4"/>
    <x v="7"/>
    <x v="3"/>
    <x v="9"/>
    <x v="2"/>
    <x v="0"/>
    <x v="4"/>
    <n v="3"/>
    <n v="1734"/>
    <n v="5202"/>
    <n v="25"/>
    <n v="1300"/>
    <n v="3902"/>
    <n v="4.8"/>
    <x v="1"/>
  </r>
  <r>
    <x v="171"/>
    <x v="69"/>
    <x v="2"/>
    <x v="6"/>
    <x v="6"/>
    <x v="8"/>
    <x v="2"/>
    <x v="1"/>
    <x v="4"/>
    <n v="4"/>
    <n v="873"/>
    <n v="3492"/>
    <n v="15"/>
    <n v="524"/>
    <n v="2968"/>
    <n v="4.7"/>
    <x v="0"/>
  </r>
  <r>
    <x v="172"/>
    <x v="69"/>
    <x v="5"/>
    <x v="11"/>
    <x v="1"/>
    <x v="3"/>
    <x v="2"/>
    <x v="0"/>
    <x v="4"/>
    <n v="3"/>
    <n v="2673"/>
    <n v="8019"/>
    <n v="30"/>
    <n v="2406"/>
    <n v="5613"/>
    <n v="4.7"/>
    <x v="0"/>
  </r>
  <r>
    <x v="173"/>
    <x v="70"/>
    <x v="3"/>
    <x v="5"/>
    <x v="5"/>
    <x v="3"/>
    <x v="2"/>
    <x v="0"/>
    <x v="0"/>
    <n v="5"/>
    <n v="239"/>
    <n v="1195"/>
    <n v="10"/>
    <n v="120"/>
    <n v="1075"/>
    <n v="3.9"/>
    <x v="0"/>
  </r>
  <r>
    <x v="174"/>
    <x v="70"/>
    <x v="5"/>
    <x v="17"/>
    <x v="4"/>
    <x v="4"/>
    <x v="2"/>
    <x v="1"/>
    <x v="3"/>
    <n v="1"/>
    <n v="678"/>
    <n v="678"/>
    <n v="0"/>
    <n v="0"/>
    <n v="678"/>
    <n v="3.5"/>
    <x v="0"/>
  </r>
  <r>
    <x v="175"/>
    <x v="71"/>
    <x v="1"/>
    <x v="10"/>
    <x v="10"/>
    <x v="9"/>
    <x v="2"/>
    <x v="1"/>
    <x v="4"/>
    <n v="3"/>
    <n v="911"/>
    <n v="2733"/>
    <n v="10"/>
    <n v="273"/>
    <n v="2460"/>
    <n v="4.0999999999999996"/>
    <x v="0"/>
  </r>
  <r>
    <x v="176"/>
    <x v="71"/>
    <x v="3"/>
    <x v="9"/>
    <x v="5"/>
    <x v="2"/>
    <x v="1"/>
    <x v="1"/>
    <x v="4"/>
    <n v="4"/>
    <n v="759"/>
    <n v="3036"/>
    <n v="10"/>
    <n v="304"/>
    <n v="2732"/>
    <n v="3.3"/>
    <x v="0"/>
  </r>
  <r>
    <x v="177"/>
    <x v="72"/>
    <x v="5"/>
    <x v="17"/>
    <x v="7"/>
    <x v="0"/>
    <x v="0"/>
    <x v="0"/>
    <x v="4"/>
    <n v="4"/>
    <n v="2041"/>
    <n v="8164"/>
    <n v="10"/>
    <n v="816"/>
    <n v="7348"/>
    <n v="4.5999999999999996"/>
    <x v="0"/>
  </r>
  <r>
    <x v="178"/>
    <x v="72"/>
    <x v="2"/>
    <x v="15"/>
    <x v="1"/>
    <x v="0"/>
    <x v="1"/>
    <x v="2"/>
    <x v="3"/>
    <n v="1"/>
    <n v="1201"/>
    <n v="1201"/>
    <n v="10"/>
    <n v="120"/>
    <n v="1081"/>
    <n v="3.6"/>
    <x v="1"/>
  </r>
  <r>
    <x v="179"/>
    <x v="73"/>
    <x v="3"/>
    <x v="5"/>
    <x v="7"/>
    <x v="8"/>
    <x v="1"/>
    <x v="2"/>
    <x v="3"/>
    <n v="4"/>
    <n v="558"/>
    <n v="2232"/>
    <n v="5"/>
    <n v="112"/>
    <n v="2120"/>
    <n v="4.4000000000000004"/>
    <x v="0"/>
  </r>
  <r>
    <x v="180"/>
    <x v="73"/>
    <x v="0"/>
    <x v="0"/>
    <x v="1"/>
    <x v="9"/>
    <x v="0"/>
    <x v="1"/>
    <x v="4"/>
    <n v="3"/>
    <n v="354"/>
    <n v="1062"/>
    <n v="30"/>
    <n v="319"/>
    <n v="743"/>
    <n v="3.7"/>
    <x v="0"/>
  </r>
  <r>
    <x v="181"/>
    <x v="73"/>
    <x v="5"/>
    <x v="17"/>
    <x v="9"/>
    <x v="9"/>
    <x v="0"/>
    <x v="0"/>
    <x v="3"/>
    <n v="4"/>
    <n v="1127"/>
    <n v="4508"/>
    <n v="20"/>
    <n v="902"/>
    <n v="3606"/>
    <n v="4.5999999999999996"/>
    <x v="0"/>
  </r>
  <r>
    <x v="182"/>
    <x v="74"/>
    <x v="1"/>
    <x v="1"/>
    <x v="5"/>
    <x v="1"/>
    <x v="1"/>
    <x v="0"/>
    <x v="4"/>
    <n v="2"/>
    <n v="261"/>
    <n v="522"/>
    <n v="10"/>
    <n v="52"/>
    <n v="470"/>
    <n v="4.9000000000000004"/>
    <x v="0"/>
  </r>
  <r>
    <x v="183"/>
    <x v="74"/>
    <x v="4"/>
    <x v="20"/>
    <x v="6"/>
    <x v="5"/>
    <x v="0"/>
    <x v="0"/>
    <x v="2"/>
    <n v="3"/>
    <n v="2491"/>
    <n v="7473"/>
    <n v="10"/>
    <n v="747"/>
    <n v="6726"/>
    <n v="4.9000000000000004"/>
    <x v="0"/>
  </r>
  <r>
    <x v="184"/>
    <x v="74"/>
    <x v="2"/>
    <x v="6"/>
    <x v="9"/>
    <x v="4"/>
    <x v="1"/>
    <x v="1"/>
    <x v="4"/>
    <n v="5"/>
    <n v="1244"/>
    <n v="6220"/>
    <n v="5"/>
    <n v="311"/>
    <n v="5909"/>
    <n v="4.9000000000000004"/>
    <x v="0"/>
  </r>
  <r>
    <x v="185"/>
    <x v="75"/>
    <x v="0"/>
    <x v="0"/>
    <x v="4"/>
    <x v="8"/>
    <x v="1"/>
    <x v="1"/>
    <x v="3"/>
    <n v="5"/>
    <n v="874"/>
    <n v="4370"/>
    <n v="25"/>
    <n v="1092"/>
    <n v="3278"/>
    <n v="4.3"/>
    <x v="0"/>
  </r>
  <r>
    <x v="186"/>
    <x v="76"/>
    <x v="3"/>
    <x v="5"/>
    <x v="8"/>
    <x v="0"/>
    <x v="0"/>
    <x v="1"/>
    <x v="3"/>
    <n v="2"/>
    <n v="711"/>
    <n v="1422"/>
    <n v="15"/>
    <n v="213"/>
    <n v="1209"/>
    <n v="4.7"/>
    <x v="0"/>
  </r>
  <r>
    <x v="187"/>
    <x v="76"/>
    <x v="5"/>
    <x v="17"/>
    <x v="1"/>
    <x v="5"/>
    <x v="0"/>
    <x v="1"/>
    <x v="3"/>
    <n v="1"/>
    <n v="1539"/>
    <n v="1539"/>
    <n v="20"/>
    <n v="308"/>
    <n v="1231"/>
    <n v="4.0999999999999996"/>
    <x v="0"/>
  </r>
  <r>
    <x v="188"/>
    <x v="76"/>
    <x v="4"/>
    <x v="19"/>
    <x v="7"/>
    <x v="3"/>
    <x v="0"/>
    <x v="0"/>
    <x v="2"/>
    <n v="5"/>
    <n v="512"/>
    <n v="2560"/>
    <n v="10"/>
    <n v="256"/>
    <n v="2304"/>
    <n v="4.9000000000000004"/>
    <x v="0"/>
  </r>
  <r>
    <x v="189"/>
    <x v="76"/>
    <x v="0"/>
    <x v="22"/>
    <x v="4"/>
    <x v="1"/>
    <x v="1"/>
    <x v="0"/>
    <x v="3"/>
    <n v="3"/>
    <n v="948"/>
    <n v="2844"/>
    <n v="25"/>
    <n v="711"/>
    <n v="2133"/>
    <n v="4.5"/>
    <x v="0"/>
  </r>
  <r>
    <x v="190"/>
    <x v="76"/>
    <x v="0"/>
    <x v="0"/>
    <x v="6"/>
    <x v="9"/>
    <x v="1"/>
    <x v="1"/>
    <x v="1"/>
    <n v="5"/>
    <n v="370"/>
    <n v="1850"/>
    <n v="25"/>
    <n v="462"/>
    <n v="1388"/>
    <n v="4.0999999999999996"/>
    <x v="0"/>
  </r>
  <r>
    <x v="191"/>
    <x v="77"/>
    <x v="2"/>
    <x v="3"/>
    <x v="5"/>
    <x v="4"/>
    <x v="2"/>
    <x v="1"/>
    <x v="2"/>
    <n v="2"/>
    <n v="697"/>
    <n v="1394"/>
    <n v="25"/>
    <n v="348"/>
    <n v="1046"/>
    <n v="4.5999999999999996"/>
    <x v="0"/>
  </r>
  <r>
    <x v="192"/>
    <x v="77"/>
    <x v="2"/>
    <x v="6"/>
    <x v="5"/>
    <x v="6"/>
    <x v="0"/>
    <x v="1"/>
    <x v="0"/>
    <n v="4"/>
    <n v="1013"/>
    <n v="4052"/>
    <n v="20"/>
    <n v="810"/>
    <n v="3242"/>
    <n v="3.6"/>
    <x v="0"/>
  </r>
  <r>
    <x v="193"/>
    <x v="78"/>
    <x v="3"/>
    <x v="13"/>
    <x v="10"/>
    <x v="4"/>
    <x v="0"/>
    <x v="1"/>
    <x v="3"/>
    <n v="2"/>
    <n v="706"/>
    <n v="1412"/>
    <n v="5"/>
    <n v="71"/>
    <n v="1341"/>
    <n v="4.4000000000000004"/>
    <x v="0"/>
  </r>
  <r>
    <x v="194"/>
    <x v="78"/>
    <x v="3"/>
    <x v="9"/>
    <x v="10"/>
    <x v="3"/>
    <x v="2"/>
    <x v="0"/>
    <x v="1"/>
    <n v="3"/>
    <n v="546"/>
    <n v="1638"/>
    <n v="5"/>
    <n v="82"/>
    <n v="1556"/>
    <n v="4.9000000000000004"/>
    <x v="0"/>
  </r>
  <r>
    <x v="195"/>
    <x v="79"/>
    <x v="5"/>
    <x v="11"/>
    <x v="11"/>
    <x v="6"/>
    <x v="1"/>
    <x v="1"/>
    <x v="0"/>
    <n v="3"/>
    <n v="1216"/>
    <n v="3648"/>
    <n v="15"/>
    <n v="547"/>
    <n v="3101"/>
    <n v="4.5999999999999996"/>
    <x v="0"/>
  </r>
  <r>
    <x v="196"/>
    <x v="79"/>
    <x v="3"/>
    <x v="13"/>
    <x v="3"/>
    <x v="6"/>
    <x v="1"/>
    <x v="2"/>
    <x v="2"/>
    <n v="5"/>
    <n v="362"/>
    <n v="1810"/>
    <n v="15"/>
    <n v="272"/>
    <n v="1538"/>
    <n v="4.4000000000000004"/>
    <x v="0"/>
  </r>
  <r>
    <x v="197"/>
    <x v="80"/>
    <x v="2"/>
    <x v="3"/>
    <x v="8"/>
    <x v="4"/>
    <x v="0"/>
    <x v="1"/>
    <x v="3"/>
    <n v="1"/>
    <n v="1105"/>
    <n v="1105"/>
    <n v="0"/>
    <n v="0"/>
    <n v="1105"/>
    <n v="4.4000000000000004"/>
    <x v="0"/>
  </r>
  <r>
    <x v="198"/>
    <x v="80"/>
    <x v="5"/>
    <x v="11"/>
    <x v="0"/>
    <x v="3"/>
    <x v="1"/>
    <x v="0"/>
    <x v="3"/>
    <n v="3"/>
    <n v="2371"/>
    <n v="7113"/>
    <n v="25"/>
    <n v="1778"/>
    <n v="5335"/>
    <n v="3.4"/>
    <x v="0"/>
  </r>
  <r>
    <x v="199"/>
    <x v="81"/>
    <x v="1"/>
    <x v="10"/>
    <x v="2"/>
    <x v="8"/>
    <x v="1"/>
    <x v="1"/>
    <x v="3"/>
    <n v="3"/>
    <n v="374"/>
    <n v="1122"/>
    <n v="25"/>
    <n v="280"/>
    <n v="842"/>
    <n v="3.4"/>
    <x v="0"/>
  </r>
  <r>
    <x v="200"/>
    <x v="81"/>
    <x v="1"/>
    <x v="2"/>
    <x v="8"/>
    <x v="0"/>
    <x v="0"/>
    <x v="0"/>
    <x v="3"/>
    <n v="1"/>
    <n v="1031"/>
    <n v="1031"/>
    <n v="10"/>
    <n v="103"/>
    <n v="928"/>
    <n v="4"/>
    <x v="0"/>
  </r>
  <r>
    <x v="201"/>
    <x v="81"/>
    <x v="0"/>
    <x v="16"/>
    <x v="7"/>
    <x v="3"/>
    <x v="0"/>
    <x v="0"/>
    <x v="4"/>
    <n v="3"/>
    <n v="304"/>
    <n v="912"/>
    <n v="25"/>
    <n v="228"/>
    <n v="684"/>
    <n v="4.4000000000000004"/>
    <x v="0"/>
  </r>
  <r>
    <x v="202"/>
    <x v="81"/>
    <x v="4"/>
    <x v="20"/>
    <x v="4"/>
    <x v="3"/>
    <x v="2"/>
    <x v="1"/>
    <x v="0"/>
    <n v="1"/>
    <n v="2005"/>
    <n v="2005"/>
    <n v="15"/>
    <n v="301"/>
    <n v="1704"/>
    <n v="5"/>
    <x v="0"/>
  </r>
  <r>
    <x v="203"/>
    <x v="81"/>
    <x v="0"/>
    <x v="22"/>
    <x v="2"/>
    <x v="3"/>
    <x v="1"/>
    <x v="1"/>
    <x v="3"/>
    <n v="4"/>
    <n v="226"/>
    <n v="904"/>
    <n v="10"/>
    <n v="90"/>
    <n v="814"/>
    <n v="4.4000000000000004"/>
    <x v="0"/>
  </r>
  <r>
    <x v="204"/>
    <x v="82"/>
    <x v="0"/>
    <x v="0"/>
    <x v="4"/>
    <x v="8"/>
    <x v="1"/>
    <x v="2"/>
    <x v="2"/>
    <n v="4"/>
    <n v="175"/>
    <n v="700"/>
    <n v="15"/>
    <n v="105"/>
    <n v="595"/>
    <n v="3.4"/>
    <x v="0"/>
  </r>
  <r>
    <x v="205"/>
    <x v="83"/>
    <x v="1"/>
    <x v="12"/>
    <x v="11"/>
    <x v="4"/>
    <x v="0"/>
    <x v="1"/>
    <x v="0"/>
    <n v="4"/>
    <n v="1214"/>
    <n v="4856"/>
    <n v="10"/>
    <n v="486"/>
    <n v="4370"/>
    <n v="4.5999999999999996"/>
    <x v="0"/>
  </r>
  <r>
    <x v="206"/>
    <x v="84"/>
    <x v="1"/>
    <x v="1"/>
    <x v="4"/>
    <x v="5"/>
    <x v="0"/>
    <x v="0"/>
    <x v="4"/>
    <n v="5"/>
    <n v="757"/>
    <n v="3785"/>
    <n v="20"/>
    <n v="757"/>
    <n v="3028"/>
    <n v="4.2"/>
    <x v="0"/>
  </r>
  <r>
    <x v="207"/>
    <x v="84"/>
    <x v="1"/>
    <x v="12"/>
    <x v="2"/>
    <x v="3"/>
    <x v="0"/>
    <x v="2"/>
    <x v="0"/>
    <n v="3"/>
    <n v="1051"/>
    <n v="3153"/>
    <n v="25"/>
    <n v="788"/>
    <n v="2365"/>
    <n v="4"/>
    <x v="1"/>
  </r>
  <r>
    <x v="208"/>
    <x v="85"/>
    <x v="3"/>
    <x v="9"/>
    <x v="1"/>
    <x v="9"/>
    <x v="2"/>
    <x v="2"/>
    <x v="1"/>
    <n v="1"/>
    <n v="561"/>
    <n v="561"/>
    <n v="30"/>
    <n v="168"/>
    <n v="393"/>
    <n v="3.3"/>
    <x v="0"/>
  </r>
  <r>
    <x v="209"/>
    <x v="85"/>
    <x v="0"/>
    <x v="0"/>
    <x v="4"/>
    <x v="5"/>
    <x v="0"/>
    <x v="0"/>
    <x v="2"/>
    <n v="5"/>
    <n v="534"/>
    <n v="2670"/>
    <n v="25"/>
    <n v="668"/>
    <n v="2002"/>
    <n v="4.3"/>
    <x v="0"/>
  </r>
  <r>
    <x v="210"/>
    <x v="86"/>
    <x v="2"/>
    <x v="3"/>
    <x v="4"/>
    <x v="0"/>
    <x v="1"/>
    <x v="1"/>
    <x v="3"/>
    <n v="5"/>
    <n v="639"/>
    <n v="3195"/>
    <n v="15"/>
    <n v="479"/>
    <n v="2716"/>
    <n v="4.4000000000000004"/>
    <x v="0"/>
  </r>
  <r>
    <x v="211"/>
    <x v="86"/>
    <x v="4"/>
    <x v="20"/>
    <x v="9"/>
    <x v="4"/>
    <x v="0"/>
    <x v="0"/>
    <x v="4"/>
    <n v="1"/>
    <n v="1970"/>
    <n v="1970"/>
    <n v="0"/>
    <n v="0"/>
    <n v="1970"/>
    <n v="3.3"/>
    <x v="0"/>
  </r>
  <r>
    <x v="212"/>
    <x v="86"/>
    <x v="5"/>
    <x v="14"/>
    <x v="0"/>
    <x v="8"/>
    <x v="0"/>
    <x v="1"/>
    <x v="4"/>
    <n v="1"/>
    <n v="2429"/>
    <n v="2429"/>
    <n v="15"/>
    <n v="364"/>
    <n v="2065"/>
    <n v="4"/>
    <x v="0"/>
  </r>
  <r>
    <x v="213"/>
    <x v="87"/>
    <x v="0"/>
    <x v="0"/>
    <x v="9"/>
    <x v="6"/>
    <x v="0"/>
    <x v="1"/>
    <x v="0"/>
    <n v="1"/>
    <n v="265"/>
    <n v="265"/>
    <n v="10"/>
    <n v="26"/>
    <n v="239"/>
    <n v="4.5999999999999996"/>
    <x v="0"/>
  </r>
  <r>
    <x v="214"/>
    <x v="87"/>
    <x v="2"/>
    <x v="4"/>
    <x v="6"/>
    <x v="1"/>
    <x v="1"/>
    <x v="1"/>
    <x v="0"/>
    <n v="2"/>
    <n v="1441"/>
    <n v="2882"/>
    <n v="25"/>
    <n v="720"/>
    <n v="2162"/>
    <n v="4.0999999999999996"/>
    <x v="0"/>
  </r>
  <r>
    <x v="215"/>
    <x v="87"/>
    <x v="1"/>
    <x v="10"/>
    <x v="7"/>
    <x v="3"/>
    <x v="0"/>
    <x v="1"/>
    <x v="4"/>
    <n v="5"/>
    <n v="1296"/>
    <n v="6480"/>
    <n v="20"/>
    <n v="1296"/>
    <n v="5184"/>
    <n v="3.6"/>
    <x v="0"/>
  </r>
  <r>
    <x v="216"/>
    <x v="87"/>
    <x v="1"/>
    <x v="2"/>
    <x v="3"/>
    <x v="1"/>
    <x v="0"/>
    <x v="0"/>
    <x v="2"/>
    <n v="5"/>
    <n v="1134"/>
    <n v="5670"/>
    <n v="0"/>
    <n v="0"/>
    <n v="5670"/>
    <n v="4"/>
    <x v="0"/>
  </r>
  <r>
    <x v="217"/>
    <x v="87"/>
    <x v="3"/>
    <x v="9"/>
    <x v="6"/>
    <x v="5"/>
    <x v="0"/>
    <x v="0"/>
    <x v="2"/>
    <n v="5"/>
    <n v="295"/>
    <n v="1475"/>
    <n v="0"/>
    <n v="0"/>
    <n v="1475"/>
    <n v="4.9000000000000004"/>
    <x v="0"/>
  </r>
  <r>
    <x v="218"/>
    <x v="88"/>
    <x v="3"/>
    <x v="13"/>
    <x v="11"/>
    <x v="4"/>
    <x v="0"/>
    <x v="1"/>
    <x v="1"/>
    <n v="4"/>
    <n v="734"/>
    <n v="2936"/>
    <n v="15"/>
    <n v="440"/>
    <n v="2496"/>
    <n v="3.4"/>
    <x v="0"/>
  </r>
  <r>
    <x v="219"/>
    <x v="88"/>
    <x v="5"/>
    <x v="14"/>
    <x v="4"/>
    <x v="0"/>
    <x v="0"/>
    <x v="2"/>
    <x v="4"/>
    <n v="1"/>
    <n v="2973"/>
    <n v="2973"/>
    <n v="30"/>
    <n v="892"/>
    <n v="2081"/>
    <n v="4.5"/>
    <x v="0"/>
  </r>
  <r>
    <x v="220"/>
    <x v="88"/>
    <x v="5"/>
    <x v="17"/>
    <x v="3"/>
    <x v="7"/>
    <x v="1"/>
    <x v="0"/>
    <x v="2"/>
    <n v="4"/>
    <n v="1998"/>
    <n v="7992"/>
    <n v="10"/>
    <n v="799"/>
    <n v="7193"/>
    <n v="4.7"/>
    <x v="0"/>
  </r>
  <r>
    <x v="221"/>
    <x v="88"/>
    <x v="5"/>
    <x v="14"/>
    <x v="5"/>
    <x v="4"/>
    <x v="1"/>
    <x v="2"/>
    <x v="1"/>
    <n v="4"/>
    <n v="1237"/>
    <n v="4948"/>
    <n v="0"/>
    <n v="0"/>
    <n v="4948"/>
    <n v="4.2"/>
    <x v="0"/>
  </r>
  <r>
    <x v="222"/>
    <x v="88"/>
    <x v="5"/>
    <x v="14"/>
    <x v="0"/>
    <x v="6"/>
    <x v="0"/>
    <x v="1"/>
    <x v="0"/>
    <n v="2"/>
    <n v="1851"/>
    <n v="3702"/>
    <n v="15"/>
    <n v="555"/>
    <n v="3147"/>
    <n v="3.6"/>
    <x v="0"/>
  </r>
  <r>
    <x v="223"/>
    <x v="89"/>
    <x v="1"/>
    <x v="2"/>
    <x v="6"/>
    <x v="8"/>
    <x v="0"/>
    <x v="1"/>
    <x v="0"/>
    <n v="3"/>
    <n v="349"/>
    <n v="1047"/>
    <n v="30"/>
    <n v="314"/>
    <n v="733"/>
    <n v="4"/>
    <x v="0"/>
  </r>
  <r>
    <x v="224"/>
    <x v="90"/>
    <x v="3"/>
    <x v="5"/>
    <x v="2"/>
    <x v="4"/>
    <x v="2"/>
    <x v="1"/>
    <x v="1"/>
    <n v="3"/>
    <n v="362"/>
    <n v="1086"/>
    <n v="0"/>
    <n v="0"/>
    <n v="1086"/>
    <n v="4.0999999999999996"/>
    <x v="0"/>
  </r>
  <r>
    <x v="225"/>
    <x v="91"/>
    <x v="3"/>
    <x v="13"/>
    <x v="8"/>
    <x v="0"/>
    <x v="0"/>
    <x v="0"/>
    <x v="3"/>
    <n v="3"/>
    <n v="522"/>
    <n v="1566"/>
    <n v="5"/>
    <n v="78"/>
    <n v="1488"/>
    <n v="3.3"/>
    <x v="0"/>
  </r>
  <r>
    <x v="226"/>
    <x v="92"/>
    <x v="5"/>
    <x v="14"/>
    <x v="5"/>
    <x v="4"/>
    <x v="1"/>
    <x v="0"/>
    <x v="2"/>
    <n v="2"/>
    <n v="932"/>
    <n v="1864"/>
    <n v="5"/>
    <n v="93"/>
    <n v="1771"/>
    <n v="4.3"/>
    <x v="0"/>
  </r>
  <r>
    <x v="227"/>
    <x v="92"/>
    <x v="3"/>
    <x v="13"/>
    <x v="8"/>
    <x v="7"/>
    <x v="0"/>
    <x v="0"/>
    <x v="3"/>
    <n v="2"/>
    <n v="508"/>
    <n v="1016"/>
    <n v="5"/>
    <n v="51"/>
    <n v="965"/>
    <n v="3.2"/>
    <x v="0"/>
  </r>
  <r>
    <x v="228"/>
    <x v="93"/>
    <x v="3"/>
    <x v="5"/>
    <x v="6"/>
    <x v="8"/>
    <x v="0"/>
    <x v="2"/>
    <x v="4"/>
    <n v="2"/>
    <n v="254"/>
    <n v="508"/>
    <n v="5"/>
    <n v="25"/>
    <n v="483"/>
    <n v="4.3"/>
    <x v="0"/>
  </r>
  <r>
    <x v="229"/>
    <x v="94"/>
    <x v="0"/>
    <x v="22"/>
    <x v="10"/>
    <x v="3"/>
    <x v="0"/>
    <x v="1"/>
    <x v="2"/>
    <n v="3"/>
    <n v="788"/>
    <n v="2364"/>
    <n v="30"/>
    <n v="709"/>
    <n v="1655"/>
    <n v="4"/>
    <x v="0"/>
  </r>
  <r>
    <x v="230"/>
    <x v="94"/>
    <x v="5"/>
    <x v="14"/>
    <x v="1"/>
    <x v="6"/>
    <x v="2"/>
    <x v="0"/>
    <x v="1"/>
    <n v="2"/>
    <n v="2971"/>
    <n v="5942"/>
    <n v="30"/>
    <n v="1783"/>
    <n v="4159"/>
    <n v="4.2"/>
    <x v="0"/>
  </r>
  <r>
    <x v="231"/>
    <x v="95"/>
    <x v="4"/>
    <x v="19"/>
    <x v="8"/>
    <x v="0"/>
    <x v="0"/>
    <x v="0"/>
    <x v="4"/>
    <n v="5"/>
    <n v="1863"/>
    <n v="9315"/>
    <n v="25"/>
    <n v="2329"/>
    <n v="6986"/>
    <n v="3.3"/>
    <x v="0"/>
  </r>
  <r>
    <x v="232"/>
    <x v="95"/>
    <x v="2"/>
    <x v="4"/>
    <x v="5"/>
    <x v="7"/>
    <x v="1"/>
    <x v="1"/>
    <x v="1"/>
    <n v="4"/>
    <n v="915"/>
    <n v="3660"/>
    <n v="30"/>
    <n v="1098"/>
    <n v="2562"/>
    <n v="4.5999999999999996"/>
    <x v="0"/>
  </r>
  <r>
    <x v="233"/>
    <x v="96"/>
    <x v="3"/>
    <x v="5"/>
    <x v="5"/>
    <x v="7"/>
    <x v="0"/>
    <x v="0"/>
    <x v="4"/>
    <n v="1"/>
    <n v="329"/>
    <n v="329"/>
    <n v="5"/>
    <n v="16"/>
    <n v="313"/>
    <n v="5"/>
    <x v="0"/>
  </r>
  <r>
    <x v="234"/>
    <x v="97"/>
    <x v="4"/>
    <x v="19"/>
    <x v="4"/>
    <x v="1"/>
    <x v="0"/>
    <x v="0"/>
    <x v="1"/>
    <n v="4"/>
    <n v="1257"/>
    <n v="5028"/>
    <n v="30"/>
    <n v="1508"/>
    <n v="3520"/>
    <n v="4.3"/>
    <x v="0"/>
  </r>
  <r>
    <x v="235"/>
    <x v="97"/>
    <x v="0"/>
    <x v="16"/>
    <x v="11"/>
    <x v="6"/>
    <x v="0"/>
    <x v="1"/>
    <x v="0"/>
    <n v="5"/>
    <n v="994"/>
    <n v="4970"/>
    <n v="0"/>
    <n v="0"/>
    <n v="4970"/>
    <n v="5"/>
    <x v="0"/>
  </r>
  <r>
    <x v="236"/>
    <x v="97"/>
    <x v="2"/>
    <x v="4"/>
    <x v="2"/>
    <x v="0"/>
    <x v="0"/>
    <x v="0"/>
    <x v="4"/>
    <n v="4"/>
    <n v="1090"/>
    <n v="4360"/>
    <n v="0"/>
    <n v="0"/>
    <n v="4360"/>
    <n v="3.2"/>
    <x v="0"/>
  </r>
  <r>
    <x v="237"/>
    <x v="97"/>
    <x v="3"/>
    <x v="13"/>
    <x v="0"/>
    <x v="5"/>
    <x v="1"/>
    <x v="0"/>
    <x v="0"/>
    <n v="5"/>
    <n v="624"/>
    <n v="3120"/>
    <n v="10"/>
    <n v="312"/>
    <n v="2808"/>
    <n v="4.9000000000000004"/>
    <x v="0"/>
  </r>
  <r>
    <x v="238"/>
    <x v="97"/>
    <x v="0"/>
    <x v="18"/>
    <x v="8"/>
    <x v="1"/>
    <x v="0"/>
    <x v="1"/>
    <x v="4"/>
    <n v="5"/>
    <n v="735"/>
    <n v="3675"/>
    <n v="20"/>
    <n v="735"/>
    <n v="2940"/>
    <n v="4.7"/>
    <x v="0"/>
  </r>
  <r>
    <x v="239"/>
    <x v="97"/>
    <x v="4"/>
    <x v="7"/>
    <x v="7"/>
    <x v="3"/>
    <x v="0"/>
    <x v="2"/>
    <x v="1"/>
    <n v="1"/>
    <n v="844"/>
    <n v="844"/>
    <n v="5"/>
    <n v="42"/>
    <n v="802"/>
    <n v="4.9000000000000004"/>
    <x v="0"/>
  </r>
  <r>
    <x v="240"/>
    <x v="98"/>
    <x v="4"/>
    <x v="20"/>
    <x v="7"/>
    <x v="1"/>
    <x v="0"/>
    <x v="1"/>
    <x v="3"/>
    <n v="4"/>
    <n v="1539"/>
    <n v="6156"/>
    <n v="15"/>
    <n v="923"/>
    <n v="5233"/>
    <n v="3.4"/>
    <x v="0"/>
  </r>
  <r>
    <x v="241"/>
    <x v="98"/>
    <x v="1"/>
    <x v="2"/>
    <x v="9"/>
    <x v="4"/>
    <x v="1"/>
    <x v="0"/>
    <x v="4"/>
    <n v="2"/>
    <n v="395"/>
    <n v="790"/>
    <n v="0"/>
    <n v="0"/>
    <n v="790"/>
    <n v="3.5"/>
    <x v="0"/>
  </r>
  <r>
    <x v="242"/>
    <x v="99"/>
    <x v="3"/>
    <x v="9"/>
    <x v="5"/>
    <x v="6"/>
    <x v="0"/>
    <x v="1"/>
    <x v="1"/>
    <n v="1"/>
    <n v="304"/>
    <n v="304"/>
    <n v="10"/>
    <n v="30"/>
    <n v="274"/>
    <n v="3.5"/>
    <x v="0"/>
  </r>
  <r>
    <x v="243"/>
    <x v="99"/>
    <x v="2"/>
    <x v="8"/>
    <x v="4"/>
    <x v="7"/>
    <x v="1"/>
    <x v="0"/>
    <x v="2"/>
    <n v="5"/>
    <n v="887"/>
    <n v="4435"/>
    <n v="10"/>
    <n v="444"/>
    <n v="3991"/>
    <n v="4.8"/>
    <x v="0"/>
  </r>
  <r>
    <x v="244"/>
    <x v="99"/>
    <x v="3"/>
    <x v="13"/>
    <x v="6"/>
    <x v="7"/>
    <x v="2"/>
    <x v="2"/>
    <x v="0"/>
    <n v="3"/>
    <n v="469"/>
    <n v="1407"/>
    <n v="25"/>
    <n v="352"/>
    <n v="1055"/>
    <n v="4.5"/>
    <x v="0"/>
  </r>
  <r>
    <x v="245"/>
    <x v="99"/>
    <x v="3"/>
    <x v="9"/>
    <x v="4"/>
    <x v="6"/>
    <x v="0"/>
    <x v="1"/>
    <x v="2"/>
    <n v="4"/>
    <n v="760"/>
    <n v="3040"/>
    <n v="0"/>
    <n v="0"/>
    <n v="3040"/>
    <n v="4.0999999999999996"/>
    <x v="0"/>
  </r>
  <r>
    <x v="246"/>
    <x v="100"/>
    <x v="2"/>
    <x v="4"/>
    <x v="5"/>
    <x v="0"/>
    <x v="1"/>
    <x v="0"/>
    <x v="1"/>
    <n v="1"/>
    <n v="1485"/>
    <n v="1485"/>
    <n v="15"/>
    <n v="223"/>
    <n v="1262"/>
    <n v="4.4000000000000004"/>
    <x v="0"/>
  </r>
  <r>
    <x v="247"/>
    <x v="100"/>
    <x v="0"/>
    <x v="16"/>
    <x v="6"/>
    <x v="0"/>
    <x v="0"/>
    <x v="1"/>
    <x v="4"/>
    <n v="4"/>
    <n v="616"/>
    <n v="2464"/>
    <n v="0"/>
    <n v="0"/>
    <n v="2464"/>
    <n v="4.2"/>
    <x v="0"/>
  </r>
  <r>
    <x v="248"/>
    <x v="101"/>
    <x v="5"/>
    <x v="17"/>
    <x v="8"/>
    <x v="6"/>
    <x v="2"/>
    <x v="1"/>
    <x v="2"/>
    <n v="1"/>
    <n v="1261"/>
    <n v="1261"/>
    <n v="0"/>
    <n v="0"/>
    <n v="1261"/>
    <n v="3.8"/>
    <x v="0"/>
  </r>
  <r>
    <x v="249"/>
    <x v="101"/>
    <x v="3"/>
    <x v="5"/>
    <x v="4"/>
    <x v="7"/>
    <x v="1"/>
    <x v="0"/>
    <x v="3"/>
    <n v="5"/>
    <n v="531"/>
    <n v="2655"/>
    <n v="20"/>
    <n v="531"/>
    <n v="2124"/>
    <n v="4.5999999999999996"/>
    <x v="0"/>
  </r>
  <r>
    <x v="250"/>
    <x v="101"/>
    <x v="3"/>
    <x v="5"/>
    <x v="5"/>
    <x v="4"/>
    <x v="0"/>
    <x v="1"/>
    <x v="2"/>
    <n v="4"/>
    <n v="355"/>
    <n v="1420"/>
    <n v="15"/>
    <n v="213"/>
    <n v="1207"/>
    <n v="4.4000000000000004"/>
    <x v="0"/>
  </r>
  <r>
    <x v="251"/>
    <x v="102"/>
    <x v="1"/>
    <x v="21"/>
    <x v="2"/>
    <x v="1"/>
    <x v="0"/>
    <x v="0"/>
    <x v="2"/>
    <n v="4"/>
    <n v="327"/>
    <n v="1308"/>
    <n v="15"/>
    <n v="196"/>
    <n v="1112"/>
    <n v="3.3"/>
    <x v="0"/>
  </r>
  <r>
    <x v="252"/>
    <x v="102"/>
    <x v="5"/>
    <x v="11"/>
    <x v="4"/>
    <x v="7"/>
    <x v="0"/>
    <x v="0"/>
    <x v="3"/>
    <n v="1"/>
    <n v="580"/>
    <n v="580"/>
    <n v="25"/>
    <n v="145"/>
    <n v="435"/>
    <n v="4"/>
    <x v="0"/>
  </r>
  <r>
    <x v="253"/>
    <x v="102"/>
    <x v="2"/>
    <x v="6"/>
    <x v="6"/>
    <x v="7"/>
    <x v="1"/>
    <x v="1"/>
    <x v="3"/>
    <n v="2"/>
    <n v="931"/>
    <n v="1862"/>
    <n v="5"/>
    <n v="93"/>
    <n v="1769"/>
    <n v="3.3"/>
    <x v="0"/>
  </r>
  <r>
    <x v="254"/>
    <x v="103"/>
    <x v="3"/>
    <x v="9"/>
    <x v="4"/>
    <x v="2"/>
    <x v="0"/>
    <x v="0"/>
    <x v="2"/>
    <n v="3"/>
    <n v="569"/>
    <n v="1707"/>
    <n v="30"/>
    <n v="512"/>
    <n v="1195"/>
    <n v="3.5"/>
    <x v="0"/>
  </r>
  <r>
    <x v="255"/>
    <x v="104"/>
    <x v="4"/>
    <x v="20"/>
    <x v="10"/>
    <x v="9"/>
    <x v="0"/>
    <x v="0"/>
    <x v="0"/>
    <n v="5"/>
    <n v="1804"/>
    <n v="9020"/>
    <n v="5"/>
    <n v="451"/>
    <n v="8569"/>
    <n v="4.9000000000000004"/>
    <x v="0"/>
  </r>
  <r>
    <x v="256"/>
    <x v="104"/>
    <x v="5"/>
    <x v="11"/>
    <x v="3"/>
    <x v="7"/>
    <x v="1"/>
    <x v="0"/>
    <x v="3"/>
    <n v="2"/>
    <n v="2590"/>
    <n v="5180"/>
    <n v="10"/>
    <n v="518"/>
    <n v="4662"/>
    <n v="3.5"/>
    <x v="0"/>
  </r>
  <r>
    <x v="257"/>
    <x v="104"/>
    <x v="5"/>
    <x v="17"/>
    <x v="6"/>
    <x v="7"/>
    <x v="1"/>
    <x v="2"/>
    <x v="1"/>
    <n v="3"/>
    <n v="1392"/>
    <n v="4176"/>
    <n v="5"/>
    <n v="209"/>
    <n v="3967"/>
    <n v="3.5"/>
    <x v="0"/>
  </r>
  <r>
    <x v="258"/>
    <x v="104"/>
    <x v="2"/>
    <x v="6"/>
    <x v="10"/>
    <x v="6"/>
    <x v="1"/>
    <x v="2"/>
    <x v="4"/>
    <n v="5"/>
    <n v="580"/>
    <n v="2900"/>
    <n v="10"/>
    <n v="290"/>
    <n v="2610"/>
    <n v="3.7"/>
    <x v="0"/>
  </r>
  <r>
    <x v="259"/>
    <x v="105"/>
    <x v="4"/>
    <x v="19"/>
    <x v="7"/>
    <x v="3"/>
    <x v="0"/>
    <x v="2"/>
    <x v="2"/>
    <n v="3"/>
    <n v="1031"/>
    <n v="3093"/>
    <n v="30"/>
    <n v="928"/>
    <n v="2165"/>
    <n v="4.5999999999999996"/>
    <x v="0"/>
  </r>
  <r>
    <x v="260"/>
    <x v="105"/>
    <x v="2"/>
    <x v="6"/>
    <x v="8"/>
    <x v="7"/>
    <x v="1"/>
    <x v="1"/>
    <x v="1"/>
    <n v="5"/>
    <n v="1058"/>
    <n v="5290"/>
    <n v="5"/>
    <n v="264"/>
    <n v="5026"/>
    <n v="4.3"/>
    <x v="0"/>
  </r>
  <r>
    <x v="261"/>
    <x v="105"/>
    <x v="1"/>
    <x v="21"/>
    <x v="9"/>
    <x v="5"/>
    <x v="0"/>
    <x v="0"/>
    <x v="3"/>
    <n v="4"/>
    <n v="485"/>
    <n v="1940"/>
    <n v="5"/>
    <n v="97"/>
    <n v="1843"/>
    <n v="3.6"/>
    <x v="0"/>
  </r>
  <r>
    <x v="262"/>
    <x v="105"/>
    <x v="4"/>
    <x v="20"/>
    <x v="6"/>
    <x v="5"/>
    <x v="0"/>
    <x v="1"/>
    <x v="2"/>
    <n v="2"/>
    <n v="513"/>
    <n v="1026"/>
    <n v="0"/>
    <n v="0"/>
    <n v="1026"/>
    <n v="4"/>
    <x v="0"/>
  </r>
  <r>
    <x v="263"/>
    <x v="105"/>
    <x v="2"/>
    <x v="8"/>
    <x v="7"/>
    <x v="5"/>
    <x v="1"/>
    <x v="1"/>
    <x v="0"/>
    <n v="4"/>
    <n v="994"/>
    <n v="3976"/>
    <n v="0"/>
    <n v="0"/>
    <n v="3976"/>
    <n v="5"/>
    <x v="0"/>
  </r>
  <r>
    <x v="264"/>
    <x v="105"/>
    <x v="1"/>
    <x v="1"/>
    <x v="4"/>
    <x v="0"/>
    <x v="1"/>
    <x v="1"/>
    <x v="1"/>
    <n v="1"/>
    <n v="1218"/>
    <n v="1218"/>
    <n v="15"/>
    <n v="183"/>
    <n v="1035"/>
    <n v="3.9"/>
    <x v="0"/>
  </r>
  <r>
    <x v="265"/>
    <x v="106"/>
    <x v="5"/>
    <x v="11"/>
    <x v="3"/>
    <x v="3"/>
    <x v="1"/>
    <x v="2"/>
    <x v="1"/>
    <n v="4"/>
    <n v="1012"/>
    <n v="4048"/>
    <n v="5"/>
    <n v="202"/>
    <n v="3846"/>
    <n v="4.7"/>
    <x v="0"/>
  </r>
  <r>
    <x v="266"/>
    <x v="106"/>
    <x v="0"/>
    <x v="18"/>
    <x v="11"/>
    <x v="6"/>
    <x v="0"/>
    <x v="2"/>
    <x v="2"/>
    <n v="1"/>
    <n v="419"/>
    <n v="419"/>
    <n v="15"/>
    <n v="63"/>
    <n v="356"/>
    <n v="4.5"/>
    <x v="0"/>
  </r>
  <r>
    <x v="267"/>
    <x v="106"/>
    <x v="5"/>
    <x v="11"/>
    <x v="4"/>
    <x v="6"/>
    <x v="0"/>
    <x v="0"/>
    <x v="2"/>
    <n v="4"/>
    <n v="664"/>
    <n v="2656"/>
    <n v="5"/>
    <n v="133"/>
    <n v="2523"/>
    <n v="4.7"/>
    <x v="0"/>
  </r>
  <r>
    <x v="268"/>
    <x v="106"/>
    <x v="5"/>
    <x v="11"/>
    <x v="2"/>
    <x v="1"/>
    <x v="0"/>
    <x v="1"/>
    <x v="1"/>
    <n v="1"/>
    <n v="2244"/>
    <n v="2244"/>
    <n v="25"/>
    <n v="561"/>
    <n v="1683"/>
    <n v="4.8"/>
    <x v="0"/>
  </r>
  <r>
    <x v="269"/>
    <x v="106"/>
    <x v="3"/>
    <x v="9"/>
    <x v="1"/>
    <x v="4"/>
    <x v="0"/>
    <x v="1"/>
    <x v="3"/>
    <n v="3"/>
    <n v="367"/>
    <n v="1101"/>
    <n v="20"/>
    <n v="220"/>
    <n v="881"/>
    <n v="3.3"/>
    <x v="0"/>
  </r>
  <r>
    <x v="270"/>
    <x v="106"/>
    <x v="4"/>
    <x v="20"/>
    <x v="10"/>
    <x v="8"/>
    <x v="1"/>
    <x v="0"/>
    <x v="0"/>
    <n v="3"/>
    <n v="2232"/>
    <n v="6696"/>
    <n v="30"/>
    <n v="2009"/>
    <n v="4687"/>
    <n v="3.4"/>
    <x v="0"/>
  </r>
  <r>
    <x v="271"/>
    <x v="106"/>
    <x v="2"/>
    <x v="15"/>
    <x v="3"/>
    <x v="6"/>
    <x v="1"/>
    <x v="1"/>
    <x v="4"/>
    <n v="4"/>
    <n v="1438"/>
    <n v="5752"/>
    <n v="10"/>
    <n v="575"/>
    <n v="5177"/>
    <n v="3.3"/>
    <x v="0"/>
  </r>
  <r>
    <x v="272"/>
    <x v="107"/>
    <x v="5"/>
    <x v="11"/>
    <x v="0"/>
    <x v="7"/>
    <x v="1"/>
    <x v="0"/>
    <x v="1"/>
    <n v="4"/>
    <n v="1993"/>
    <n v="7972"/>
    <n v="30"/>
    <n v="2392"/>
    <n v="5580"/>
    <n v="4.4000000000000004"/>
    <x v="0"/>
  </r>
  <r>
    <x v="273"/>
    <x v="107"/>
    <x v="2"/>
    <x v="8"/>
    <x v="0"/>
    <x v="6"/>
    <x v="2"/>
    <x v="0"/>
    <x v="0"/>
    <n v="3"/>
    <n v="757"/>
    <n v="2271"/>
    <n v="30"/>
    <n v="681"/>
    <n v="1590"/>
    <n v="4.9000000000000004"/>
    <x v="0"/>
  </r>
  <r>
    <x v="274"/>
    <x v="108"/>
    <x v="1"/>
    <x v="21"/>
    <x v="2"/>
    <x v="4"/>
    <x v="0"/>
    <x v="1"/>
    <x v="2"/>
    <n v="4"/>
    <n v="911"/>
    <n v="3644"/>
    <n v="0"/>
    <n v="0"/>
    <n v="3644"/>
    <n v="3.6"/>
    <x v="0"/>
  </r>
  <r>
    <x v="275"/>
    <x v="109"/>
    <x v="4"/>
    <x v="20"/>
    <x v="4"/>
    <x v="7"/>
    <x v="0"/>
    <x v="2"/>
    <x v="1"/>
    <n v="1"/>
    <n v="1864"/>
    <n v="1864"/>
    <n v="25"/>
    <n v="466"/>
    <n v="1398"/>
    <n v="3.5"/>
    <x v="0"/>
  </r>
  <r>
    <x v="276"/>
    <x v="109"/>
    <x v="4"/>
    <x v="19"/>
    <x v="6"/>
    <x v="6"/>
    <x v="1"/>
    <x v="1"/>
    <x v="3"/>
    <n v="1"/>
    <n v="644"/>
    <n v="644"/>
    <n v="0"/>
    <n v="0"/>
    <n v="644"/>
    <n v="4.4000000000000004"/>
    <x v="0"/>
  </r>
  <r>
    <x v="277"/>
    <x v="110"/>
    <x v="1"/>
    <x v="10"/>
    <x v="10"/>
    <x v="9"/>
    <x v="0"/>
    <x v="0"/>
    <x v="1"/>
    <n v="3"/>
    <n v="531"/>
    <n v="1593"/>
    <n v="25"/>
    <n v="398"/>
    <n v="1195"/>
    <n v="4.2"/>
    <x v="0"/>
  </r>
  <r>
    <x v="278"/>
    <x v="110"/>
    <x v="0"/>
    <x v="18"/>
    <x v="1"/>
    <x v="5"/>
    <x v="0"/>
    <x v="1"/>
    <x v="2"/>
    <n v="5"/>
    <n v="786"/>
    <n v="3930"/>
    <n v="5"/>
    <n v="196"/>
    <n v="3734"/>
    <n v="4.8"/>
    <x v="1"/>
  </r>
  <r>
    <x v="279"/>
    <x v="110"/>
    <x v="2"/>
    <x v="6"/>
    <x v="3"/>
    <x v="8"/>
    <x v="2"/>
    <x v="0"/>
    <x v="0"/>
    <n v="4"/>
    <n v="333"/>
    <n v="1332"/>
    <n v="0"/>
    <n v="0"/>
    <n v="1332"/>
    <n v="3.8"/>
    <x v="0"/>
  </r>
  <r>
    <x v="280"/>
    <x v="111"/>
    <x v="0"/>
    <x v="22"/>
    <x v="6"/>
    <x v="0"/>
    <x v="1"/>
    <x v="0"/>
    <x v="0"/>
    <n v="2"/>
    <n v="200"/>
    <n v="400"/>
    <n v="30"/>
    <n v="120"/>
    <n v="280"/>
    <n v="3.7"/>
    <x v="0"/>
  </r>
  <r>
    <x v="281"/>
    <x v="111"/>
    <x v="5"/>
    <x v="17"/>
    <x v="5"/>
    <x v="2"/>
    <x v="2"/>
    <x v="1"/>
    <x v="3"/>
    <n v="5"/>
    <n v="2601"/>
    <n v="13005"/>
    <n v="10"/>
    <n v="1300"/>
    <n v="11705"/>
    <n v="3.3"/>
    <x v="0"/>
  </r>
  <r>
    <x v="282"/>
    <x v="111"/>
    <x v="4"/>
    <x v="7"/>
    <x v="7"/>
    <x v="3"/>
    <x v="1"/>
    <x v="0"/>
    <x v="0"/>
    <n v="3"/>
    <n v="1091"/>
    <n v="3273"/>
    <n v="20"/>
    <n v="655"/>
    <n v="2618"/>
    <n v="4.5"/>
    <x v="0"/>
  </r>
  <r>
    <x v="283"/>
    <x v="112"/>
    <x v="5"/>
    <x v="14"/>
    <x v="10"/>
    <x v="8"/>
    <x v="0"/>
    <x v="1"/>
    <x v="4"/>
    <n v="1"/>
    <n v="2143"/>
    <n v="2143"/>
    <n v="20"/>
    <n v="429"/>
    <n v="1714"/>
    <n v="4"/>
    <x v="0"/>
  </r>
  <r>
    <x v="284"/>
    <x v="112"/>
    <x v="2"/>
    <x v="6"/>
    <x v="8"/>
    <x v="9"/>
    <x v="0"/>
    <x v="1"/>
    <x v="0"/>
    <n v="1"/>
    <n v="1403"/>
    <n v="1403"/>
    <n v="5"/>
    <n v="70"/>
    <n v="1333"/>
    <n v="4.3"/>
    <x v="0"/>
  </r>
  <r>
    <x v="285"/>
    <x v="112"/>
    <x v="3"/>
    <x v="13"/>
    <x v="0"/>
    <x v="4"/>
    <x v="1"/>
    <x v="1"/>
    <x v="2"/>
    <n v="2"/>
    <n v="705"/>
    <n v="1410"/>
    <n v="25"/>
    <n v="352"/>
    <n v="1058"/>
    <n v="3.4"/>
    <x v="0"/>
  </r>
  <r>
    <x v="286"/>
    <x v="113"/>
    <x v="3"/>
    <x v="5"/>
    <x v="3"/>
    <x v="4"/>
    <x v="0"/>
    <x v="0"/>
    <x v="3"/>
    <n v="1"/>
    <n v="619"/>
    <n v="619"/>
    <n v="30"/>
    <n v="186"/>
    <n v="433"/>
    <n v="4.0999999999999996"/>
    <x v="0"/>
  </r>
  <r>
    <x v="287"/>
    <x v="114"/>
    <x v="1"/>
    <x v="12"/>
    <x v="9"/>
    <x v="6"/>
    <x v="1"/>
    <x v="2"/>
    <x v="1"/>
    <n v="2"/>
    <n v="1131"/>
    <n v="2262"/>
    <n v="0"/>
    <n v="0"/>
    <n v="2262"/>
    <n v="5"/>
    <x v="0"/>
  </r>
  <r>
    <x v="288"/>
    <x v="115"/>
    <x v="0"/>
    <x v="0"/>
    <x v="1"/>
    <x v="3"/>
    <x v="0"/>
    <x v="1"/>
    <x v="1"/>
    <n v="3"/>
    <n v="328"/>
    <n v="984"/>
    <n v="20"/>
    <n v="197"/>
    <n v="787"/>
    <n v="3.8"/>
    <x v="0"/>
  </r>
  <r>
    <x v="289"/>
    <x v="116"/>
    <x v="0"/>
    <x v="18"/>
    <x v="7"/>
    <x v="7"/>
    <x v="0"/>
    <x v="2"/>
    <x v="1"/>
    <n v="3"/>
    <n v="305"/>
    <n v="915"/>
    <n v="15"/>
    <n v="137"/>
    <n v="778"/>
    <n v="3.6"/>
    <x v="0"/>
  </r>
  <r>
    <x v="290"/>
    <x v="117"/>
    <x v="5"/>
    <x v="14"/>
    <x v="8"/>
    <x v="8"/>
    <x v="0"/>
    <x v="1"/>
    <x v="4"/>
    <n v="3"/>
    <n v="1469"/>
    <n v="4407"/>
    <n v="15"/>
    <n v="661"/>
    <n v="3746"/>
    <n v="4.8"/>
    <x v="0"/>
  </r>
  <r>
    <x v="291"/>
    <x v="117"/>
    <x v="3"/>
    <x v="9"/>
    <x v="4"/>
    <x v="2"/>
    <x v="1"/>
    <x v="1"/>
    <x v="2"/>
    <n v="1"/>
    <n v="261"/>
    <n v="261"/>
    <n v="15"/>
    <n v="39"/>
    <n v="222"/>
    <n v="3.5"/>
    <x v="0"/>
  </r>
  <r>
    <x v="292"/>
    <x v="117"/>
    <x v="3"/>
    <x v="13"/>
    <x v="4"/>
    <x v="6"/>
    <x v="0"/>
    <x v="1"/>
    <x v="2"/>
    <n v="4"/>
    <n v="625"/>
    <n v="2500"/>
    <n v="15"/>
    <n v="375"/>
    <n v="2125"/>
    <n v="4.7"/>
    <x v="0"/>
  </r>
  <r>
    <x v="293"/>
    <x v="118"/>
    <x v="5"/>
    <x v="14"/>
    <x v="9"/>
    <x v="4"/>
    <x v="0"/>
    <x v="0"/>
    <x v="3"/>
    <n v="4"/>
    <n v="1189"/>
    <n v="4756"/>
    <n v="10"/>
    <n v="476"/>
    <n v="4280"/>
    <n v="4.0999999999999996"/>
    <x v="0"/>
  </r>
  <r>
    <x v="294"/>
    <x v="119"/>
    <x v="0"/>
    <x v="16"/>
    <x v="1"/>
    <x v="3"/>
    <x v="0"/>
    <x v="0"/>
    <x v="2"/>
    <n v="4"/>
    <n v="307"/>
    <n v="1228"/>
    <n v="20"/>
    <n v="246"/>
    <n v="982"/>
    <n v="4.4000000000000004"/>
    <x v="0"/>
  </r>
  <r>
    <x v="295"/>
    <x v="119"/>
    <x v="5"/>
    <x v="11"/>
    <x v="1"/>
    <x v="8"/>
    <x v="0"/>
    <x v="1"/>
    <x v="1"/>
    <n v="5"/>
    <n v="1477"/>
    <n v="7385"/>
    <n v="30"/>
    <n v="2216"/>
    <n v="5169"/>
    <n v="4.4000000000000004"/>
    <x v="0"/>
  </r>
  <r>
    <x v="296"/>
    <x v="119"/>
    <x v="1"/>
    <x v="1"/>
    <x v="0"/>
    <x v="7"/>
    <x v="1"/>
    <x v="0"/>
    <x v="2"/>
    <n v="3"/>
    <n v="989"/>
    <n v="2967"/>
    <n v="0"/>
    <n v="0"/>
    <n v="2967"/>
    <n v="4.5"/>
    <x v="0"/>
  </r>
  <r>
    <x v="297"/>
    <x v="120"/>
    <x v="2"/>
    <x v="15"/>
    <x v="7"/>
    <x v="0"/>
    <x v="2"/>
    <x v="0"/>
    <x v="2"/>
    <n v="2"/>
    <n v="427"/>
    <n v="854"/>
    <n v="0"/>
    <n v="0"/>
    <n v="854"/>
    <n v="4.0999999999999996"/>
    <x v="0"/>
  </r>
  <r>
    <x v="298"/>
    <x v="120"/>
    <x v="4"/>
    <x v="19"/>
    <x v="2"/>
    <x v="7"/>
    <x v="0"/>
    <x v="1"/>
    <x v="4"/>
    <n v="1"/>
    <n v="1639"/>
    <n v="1639"/>
    <n v="0"/>
    <n v="0"/>
    <n v="1639"/>
    <n v="3.3"/>
    <x v="0"/>
  </r>
  <r>
    <x v="299"/>
    <x v="121"/>
    <x v="0"/>
    <x v="0"/>
    <x v="10"/>
    <x v="7"/>
    <x v="1"/>
    <x v="0"/>
    <x v="2"/>
    <n v="5"/>
    <n v="153"/>
    <n v="765"/>
    <n v="5"/>
    <n v="38"/>
    <n v="727"/>
    <n v="3.9"/>
    <x v="0"/>
  </r>
  <r>
    <x v="300"/>
    <x v="121"/>
    <x v="1"/>
    <x v="21"/>
    <x v="6"/>
    <x v="0"/>
    <x v="0"/>
    <x v="1"/>
    <x v="0"/>
    <n v="3"/>
    <n v="363"/>
    <n v="1089"/>
    <n v="10"/>
    <n v="109"/>
    <n v="980"/>
    <n v="3.4"/>
    <x v="1"/>
  </r>
  <r>
    <x v="301"/>
    <x v="122"/>
    <x v="3"/>
    <x v="9"/>
    <x v="8"/>
    <x v="6"/>
    <x v="0"/>
    <x v="1"/>
    <x v="4"/>
    <n v="5"/>
    <n v="548"/>
    <n v="2740"/>
    <n v="25"/>
    <n v="685"/>
    <n v="2055"/>
    <n v="4.2"/>
    <x v="0"/>
  </r>
  <r>
    <x v="302"/>
    <x v="122"/>
    <x v="1"/>
    <x v="10"/>
    <x v="10"/>
    <x v="1"/>
    <x v="0"/>
    <x v="1"/>
    <x v="0"/>
    <n v="1"/>
    <n v="617"/>
    <n v="617"/>
    <n v="10"/>
    <n v="62"/>
    <n v="555"/>
    <n v="4.7"/>
    <x v="0"/>
  </r>
  <r>
    <x v="303"/>
    <x v="122"/>
    <x v="1"/>
    <x v="10"/>
    <x v="8"/>
    <x v="6"/>
    <x v="0"/>
    <x v="0"/>
    <x v="3"/>
    <n v="5"/>
    <n v="938"/>
    <n v="4690"/>
    <n v="20"/>
    <n v="938"/>
    <n v="3752"/>
    <n v="4.2"/>
    <x v="0"/>
  </r>
  <r>
    <x v="304"/>
    <x v="123"/>
    <x v="1"/>
    <x v="1"/>
    <x v="8"/>
    <x v="1"/>
    <x v="1"/>
    <x v="0"/>
    <x v="0"/>
    <n v="1"/>
    <n v="1180"/>
    <n v="1180"/>
    <n v="30"/>
    <n v="354"/>
    <n v="826"/>
    <n v="4.0999999999999996"/>
    <x v="0"/>
  </r>
  <r>
    <x v="305"/>
    <x v="123"/>
    <x v="0"/>
    <x v="0"/>
    <x v="10"/>
    <x v="6"/>
    <x v="1"/>
    <x v="0"/>
    <x v="0"/>
    <n v="5"/>
    <n v="955"/>
    <n v="4775"/>
    <n v="0"/>
    <n v="0"/>
    <n v="4775"/>
    <n v="3.6"/>
    <x v="0"/>
  </r>
  <r>
    <x v="306"/>
    <x v="123"/>
    <x v="0"/>
    <x v="0"/>
    <x v="4"/>
    <x v="3"/>
    <x v="0"/>
    <x v="0"/>
    <x v="4"/>
    <n v="2"/>
    <n v="841"/>
    <n v="1682"/>
    <n v="25"/>
    <n v="420"/>
    <n v="1262"/>
    <n v="3.7"/>
    <x v="0"/>
  </r>
  <r>
    <x v="307"/>
    <x v="124"/>
    <x v="1"/>
    <x v="10"/>
    <x v="5"/>
    <x v="3"/>
    <x v="0"/>
    <x v="0"/>
    <x v="2"/>
    <n v="2"/>
    <n v="604"/>
    <n v="1208"/>
    <n v="20"/>
    <n v="242"/>
    <n v="966"/>
    <n v="5"/>
    <x v="0"/>
  </r>
  <r>
    <x v="308"/>
    <x v="125"/>
    <x v="2"/>
    <x v="6"/>
    <x v="5"/>
    <x v="3"/>
    <x v="1"/>
    <x v="0"/>
    <x v="3"/>
    <n v="3"/>
    <n v="805"/>
    <n v="2415"/>
    <n v="20"/>
    <n v="483"/>
    <n v="1932"/>
    <n v="4.2"/>
    <x v="0"/>
  </r>
  <r>
    <x v="309"/>
    <x v="126"/>
    <x v="5"/>
    <x v="11"/>
    <x v="2"/>
    <x v="6"/>
    <x v="0"/>
    <x v="0"/>
    <x v="4"/>
    <n v="2"/>
    <n v="886"/>
    <n v="1772"/>
    <n v="15"/>
    <n v="266"/>
    <n v="1506"/>
    <n v="3.6"/>
    <x v="0"/>
  </r>
  <r>
    <x v="310"/>
    <x v="126"/>
    <x v="0"/>
    <x v="18"/>
    <x v="6"/>
    <x v="7"/>
    <x v="1"/>
    <x v="1"/>
    <x v="2"/>
    <n v="3"/>
    <n v="625"/>
    <n v="1875"/>
    <n v="30"/>
    <n v="562"/>
    <n v="1313"/>
    <n v="4.5"/>
    <x v="0"/>
  </r>
  <r>
    <x v="311"/>
    <x v="126"/>
    <x v="1"/>
    <x v="10"/>
    <x v="10"/>
    <x v="9"/>
    <x v="0"/>
    <x v="0"/>
    <x v="3"/>
    <n v="5"/>
    <n v="1216"/>
    <n v="6080"/>
    <n v="25"/>
    <n v="1520"/>
    <n v="4560"/>
    <n v="4.2"/>
    <x v="0"/>
  </r>
  <r>
    <x v="312"/>
    <x v="126"/>
    <x v="3"/>
    <x v="9"/>
    <x v="2"/>
    <x v="3"/>
    <x v="0"/>
    <x v="0"/>
    <x v="4"/>
    <n v="1"/>
    <n v="212"/>
    <n v="212"/>
    <n v="20"/>
    <n v="42"/>
    <n v="170"/>
    <n v="4.3"/>
    <x v="1"/>
  </r>
  <r>
    <x v="313"/>
    <x v="126"/>
    <x v="3"/>
    <x v="9"/>
    <x v="1"/>
    <x v="9"/>
    <x v="0"/>
    <x v="1"/>
    <x v="1"/>
    <n v="2"/>
    <n v="283"/>
    <n v="566"/>
    <n v="0"/>
    <n v="0"/>
    <n v="566"/>
    <n v="4.8"/>
    <x v="0"/>
  </r>
  <r>
    <x v="314"/>
    <x v="127"/>
    <x v="2"/>
    <x v="15"/>
    <x v="6"/>
    <x v="3"/>
    <x v="1"/>
    <x v="1"/>
    <x v="1"/>
    <n v="4"/>
    <n v="1365"/>
    <n v="5460"/>
    <n v="5"/>
    <n v="273"/>
    <n v="5187"/>
    <n v="3.8"/>
    <x v="0"/>
  </r>
  <r>
    <x v="315"/>
    <x v="127"/>
    <x v="2"/>
    <x v="4"/>
    <x v="7"/>
    <x v="7"/>
    <x v="1"/>
    <x v="1"/>
    <x v="1"/>
    <n v="5"/>
    <n v="1017"/>
    <n v="5085"/>
    <n v="25"/>
    <n v="1271"/>
    <n v="3814"/>
    <n v="4.7"/>
    <x v="0"/>
  </r>
  <r>
    <x v="316"/>
    <x v="128"/>
    <x v="4"/>
    <x v="19"/>
    <x v="3"/>
    <x v="3"/>
    <x v="0"/>
    <x v="0"/>
    <x v="1"/>
    <n v="4"/>
    <n v="749"/>
    <n v="2996"/>
    <n v="10"/>
    <n v="300"/>
    <n v="2696"/>
    <n v="4.3"/>
    <x v="0"/>
  </r>
  <r>
    <x v="317"/>
    <x v="128"/>
    <x v="0"/>
    <x v="18"/>
    <x v="3"/>
    <x v="0"/>
    <x v="0"/>
    <x v="0"/>
    <x v="4"/>
    <n v="1"/>
    <n v="295"/>
    <n v="295"/>
    <n v="30"/>
    <n v="88"/>
    <n v="207"/>
    <n v="4.8"/>
    <x v="0"/>
  </r>
  <r>
    <x v="318"/>
    <x v="128"/>
    <x v="2"/>
    <x v="4"/>
    <x v="0"/>
    <x v="0"/>
    <x v="1"/>
    <x v="1"/>
    <x v="2"/>
    <n v="4"/>
    <n v="591"/>
    <n v="2364"/>
    <n v="20"/>
    <n v="473"/>
    <n v="1891"/>
    <n v="3.5"/>
    <x v="0"/>
  </r>
  <r>
    <x v="319"/>
    <x v="128"/>
    <x v="2"/>
    <x v="8"/>
    <x v="3"/>
    <x v="6"/>
    <x v="1"/>
    <x v="1"/>
    <x v="3"/>
    <n v="4"/>
    <n v="741"/>
    <n v="2964"/>
    <n v="15"/>
    <n v="445"/>
    <n v="2519"/>
    <n v="5"/>
    <x v="0"/>
  </r>
  <r>
    <x v="320"/>
    <x v="128"/>
    <x v="0"/>
    <x v="16"/>
    <x v="6"/>
    <x v="0"/>
    <x v="1"/>
    <x v="0"/>
    <x v="3"/>
    <n v="2"/>
    <n v="799"/>
    <n v="1598"/>
    <n v="20"/>
    <n v="320"/>
    <n v="1278"/>
    <n v="4.5999999999999996"/>
    <x v="0"/>
  </r>
  <r>
    <x v="321"/>
    <x v="129"/>
    <x v="2"/>
    <x v="6"/>
    <x v="2"/>
    <x v="7"/>
    <x v="0"/>
    <x v="0"/>
    <x v="0"/>
    <n v="3"/>
    <n v="1419"/>
    <n v="4257"/>
    <n v="20"/>
    <n v="851"/>
    <n v="3406"/>
    <n v="3.9"/>
    <x v="0"/>
  </r>
  <r>
    <x v="322"/>
    <x v="130"/>
    <x v="1"/>
    <x v="1"/>
    <x v="4"/>
    <x v="6"/>
    <x v="0"/>
    <x v="0"/>
    <x v="0"/>
    <n v="5"/>
    <n v="317"/>
    <n v="1585"/>
    <n v="15"/>
    <n v="238"/>
    <n v="1347"/>
    <n v="3.9"/>
    <x v="0"/>
  </r>
  <r>
    <x v="323"/>
    <x v="131"/>
    <x v="0"/>
    <x v="16"/>
    <x v="2"/>
    <x v="6"/>
    <x v="1"/>
    <x v="2"/>
    <x v="1"/>
    <n v="3"/>
    <n v="535"/>
    <n v="1605"/>
    <n v="25"/>
    <n v="401"/>
    <n v="1204"/>
    <n v="4.2"/>
    <x v="0"/>
  </r>
  <r>
    <x v="324"/>
    <x v="132"/>
    <x v="0"/>
    <x v="16"/>
    <x v="8"/>
    <x v="8"/>
    <x v="0"/>
    <x v="0"/>
    <x v="0"/>
    <n v="4"/>
    <n v="866"/>
    <n v="3464"/>
    <n v="0"/>
    <n v="0"/>
    <n v="3464"/>
    <n v="3.7"/>
    <x v="0"/>
  </r>
  <r>
    <x v="325"/>
    <x v="132"/>
    <x v="5"/>
    <x v="17"/>
    <x v="8"/>
    <x v="6"/>
    <x v="0"/>
    <x v="1"/>
    <x v="3"/>
    <n v="3"/>
    <n v="1450"/>
    <n v="4350"/>
    <n v="10"/>
    <n v="435"/>
    <n v="3915"/>
    <n v="4"/>
    <x v="0"/>
  </r>
  <r>
    <x v="326"/>
    <x v="132"/>
    <x v="5"/>
    <x v="17"/>
    <x v="8"/>
    <x v="9"/>
    <x v="1"/>
    <x v="0"/>
    <x v="1"/>
    <n v="1"/>
    <n v="2192"/>
    <n v="2192"/>
    <n v="5"/>
    <n v="110"/>
    <n v="2082"/>
    <n v="4.9000000000000004"/>
    <x v="0"/>
  </r>
  <r>
    <x v="327"/>
    <x v="133"/>
    <x v="4"/>
    <x v="20"/>
    <x v="3"/>
    <x v="5"/>
    <x v="0"/>
    <x v="0"/>
    <x v="3"/>
    <n v="5"/>
    <n v="2482"/>
    <n v="12410"/>
    <n v="10"/>
    <n v="1241"/>
    <n v="11169"/>
    <n v="3.6"/>
    <x v="0"/>
  </r>
  <r>
    <x v="328"/>
    <x v="133"/>
    <x v="5"/>
    <x v="17"/>
    <x v="0"/>
    <x v="3"/>
    <x v="1"/>
    <x v="1"/>
    <x v="4"/>
    <n v="2"/>
    <n v="1449"/>
    <n v="2898"/>
    <n v="25"/>
    <n v="724"/>
    <n v="2174"/>
    <n v="3.9"/>
    <x v="0"/>
  </r>
  <r>
    <x v="329"/>
    <x v="134"/>
    <x v="3"/>
    <x v="13"/>
    <x v="9"/>
    <x v="6"/>
    <x v="0"/>
    <x v="0"/>
    <x v="4"/>
    <n v="2"/>
    <n v="658"/>
    <n v="1316"/>
    <n v="5"/>
    <n v="66"/>
    <n v="1250"/>
    <n v="3.9"/>
    <x v="1"/>
  </r>
  <r>
    <x v="330"/>
    <x v="135"/>
    <x v="2"/>
    <x v="4"/>
    <x v="7"/>
    <x v="8"/>
    <x v="0"/>
    <x v="1"/>
    <x v="0"/>
    <n v="3"/>
    <n v="1120"/>
    <n v="3360"/>
    <n v="10"/>
    <n v="336"/>
    <n v="3024"/>
    <n v="4.3"/>
    <x v="0"/>
  </r>
  <r>
    <x v="331"/>
    <x v="135"/>
    <x v="2"/>
    <x v="6"/>
    <x v="1"/>
    <x v="1"/>
    <x v="1"/>
    <x v="2"/>
    <x v="4"/>
    <n v="1"/>
    <n v="1471"/>
    <n v="1471"/>
    <n v="15"/>
    <n v="221"/>
    <n v="1250"/>
    <n v="4.5999999999999996"/>
    <x v="0"/>
  </r>
  <r>
    <x v="332"/>
    <x v="136"/>
    <x v="2"/>
    <x v="6"/>
    <x v="11"/>
    <x v="5"/>
    <x v="0"/>
    <x v="2"/>
    <x v="2"/>
    <n v="4"/>
    <n v="1452"/>
    <n v="5808"/>
    <n v="5"/>
    <n v="290"/>
    <n v="5518"/>
    <n v="4.5"/>
    <x v="0"/>
  </r>
  <r>
    <x v="333"/>
    <x v="137"/>
    <x v="4"/>
    <x v="7"/>
    <x v="5"/>
    <x v="6"/>
    <x v="0"/>
    <x v="0"/>
    <x v="0"/>
    <n v="4"/>
    <n v="1352"/>
    <n v="5408"/>
    <n v="15"/>
    <n v="811"/>
    <n v="4597"/>
    <n v="4.2"/>
    <x v="0"/>
  </r>
  <r>
    <x v="334"/>
    <x v="138"/>
    <x v="5"/>
    <x v="17"/>
    <x v="8"/>
    <x v="7"/>
    <x v="0"/>
    <x v="2"/>
    <x v="2"/>
    <n v="2"/>
    <n v="1596"/>
    <n v="3192"/>
    <n v="30"/>
    <n v="958"/>
    <n v="2234"/>
    <n v="4.2"/>
    <x v="0"/>
  </r>
  <r>
    <x v="335"/>
    <x v="138"/>
    <x v="2"/>
    <x v="8"/>
    <x v="1"/>
    <x v="9"/>
    <x v="1"/>
    <x v="1"/>
    <x v="4"/>
    <n v="5"/>
    <n v="568"/>
    <n v="2840"/>
    <n v="25"/>
    <n v="710"/>
    <n v="2130"/>
    <n v="4.8"/>
    <x v="0"/>
  </r>
  <r>
    <x v="336"/>
    <x v="138"/>
    <x v="1"/>
    <x v="2"/>
    <x v="5"/>
    <x v="7"/>
    <x v="1"/>
    <x v="1"/>
    <x v="4"/>
    <n v="4"/>
    <n v="748"/>
    <n v="2992"/>
    <n v="10"/>
    <n v="299"/>
    <n v="2693"/>
    <n v="4.0999999999999996"/>
    <x v="0"/>
  </r>
  <r>
    <x v="337"/>
    <x v="138"/>
    <x v="0"/>
    <x v="0"/>
    <x v="1"/>
    <x v="2"/>
    <x v="1"/>
    <x v="0"/>
    <x v="0"/>
    <n v="1"/>
    <n v="873"/>
    <n v="873"/>
    <n v="25"/>
    <n v="218"/>
    <n v="655"/>
    <n v="4.4000000000000004"/>
    <x v="0"/>
  </r>
  <r>
    <x v="338"/>
    <x v="139"/>
    <x v="4"/>
    <x v="7"/>
    <x v="3"/>
    <x v="2"/>
    <x v="2"/>
    <x v="1"/>
    <x v="0"/>
    <n v="3"/>
    <n v="920"/>
    <n v="2760"/>
    <n v="0"/>
    <n v="0"/>
    <n v="2760"/>
    <n v="3.9"/>
    <x v="0"/>
  </r>
  <r>
    <x v="339"/>
    <x v="140"/>
    <x v="1"/>
    <x v="10"/>
    <x v="1"/>
    <x v="2"/>
    <x v="1"/>
    <x v="0"/>
    <x v="0"/>
    <n v="4"/>
    <n v="717"/>
    <n v="2868"/>
    <n v="15"/>
    <n v="430"/>
    <n v="2438"/>
    <n v="4.9000000000000004"/>
    <x v="0"/>
  </r>
  <r>
    <x v="340"/>
    <x v="141"/>
    <x v="0"/>
    <x v="22"/>
    <x v="7"/>
    <x v="2"/>
    <x v="0"/>
    <x v="0"/>
    <x v="3"/>
    <n v="5"/>
    <n v="551"/>
    <n v="2755"/>
    <n v="30"/>
    <n v="826"/>
    <n v="1929"/>
    <n v="3.6"/>
    <x v="0"/>
  </r>
  <r>
    <x v="341"/>
    <x v="142"/>
    <x v="1"/>
    <x v="1"/>
    <x v="6"/>
    <x v="5"/>
    <x v="0"/>
    <x v="1"/>
    <x v="1"/>
    <n v="4"/>
    <n v="862"/>
    <n v="3448"/>
    <n v="15"/>
    <n v="517"/>
    <n v="2931"/>
    <n v="3.5"/>
    <x v="0"/>
  </r>
  <r>
    <x v="342"/>
    <x v="143"/>
    <x v="3"/>
    <x v="5"/>
    <x v="5"/>
    <x v="3"/>
    <x v="0"/>
    <x v="2"/>
    <x v="1"/>
    <n v="2"/>
    <n v="187"/>
    <n v="374"/>
    <n v="20"/>
    <n v="75"/>
    <n v="299"/>
    <n v="4.9000000000000004"/>
    <x v="0"/>
  </r>
  <r>
    <x v="343"/>
    <x v="143"/>
    <x v="1"/>
    <x v="12"/>
    <x v="9"/>
    <x v="6"/>
    <x v="0"/>
    <x v="2"/>
    <x v="4"/>
    <n v="3"/>
    <n v="739"/>
    <n v="2217"/>
    <n v="20"/>
    <n v="443"/>
    <n v="1774"/>
    <n v="4.2"/>
    <x v="0"/>
  </r>
  <r>
    <x v="344"/>
    <x v="143"/>
    <x v="0"/>
    <x v="18"/>
    <x v="9"/>
    <x v="7"/>
    <x v="0"/>
    <x v="2"/>
    <x v="1"/>
    <n v="1"/>
    <n v="362"/>
    <n v="362"/>
    <n v="25"/>
    <n v="90"/>
    <n v="272"/>
    <n v="4.9000000000000004"/>
    <x v="0"/>
  </r>
  <r>
    <x v="345"/>
    <x v="144"/>
    <x v="1"/>
    <x v="12"/>
    <x v="5"/>
    <x v="1"/>
    <x v="0"/>
    <x v="0"/>
    <x v="2"/>
    <n v="1"/>
    <n v="551"/>
    <n v="551"/>
    <n v="15"/>
    <n v="83"/>
    <n v="468"/>
    <n v="4.8"/>
    <x v="0"/>
  </r>
  <r>
    <x v="346"/>
    <x v="144"/>
    <x v="4"/>
    <x v="7"/>
    <x v="6"/>
    <x v="6"/>
    <x v="0"/>
    <x v="1"/>
    <x v="3"/>
    <n v="2"/>
    <n v="2451"/>
    <n v="4902"/>
    <n v="10"/>
    <n v="490"/>
    <n v="4412"/>
    <n v="4.2"/>
    <x v="0"/>
  </r>
  <r>
    <x v="347"/>
    <x v="144"/>
    <x v="2"/>
    <x v="3"/>
    <x v="5"/>
    <x v="2"/>
    <x v="0"/>
    <x v="1"/>
    <x v="0"/>
    <n v="5"/>
    <n v="1385"/>
    <n v="6925"/>
    <n v="5"/>
    <n v="346"/>
    <n v="6579"/>
    <n v="4.2"/>
    <x v="0"/>
  </r>
  <r>
    <x v="348"/>
    <x v="145"/>
    <x v="4"/>
    <x v="20"/>
    <x v="8"/>
    <x v="5"/>
    <x v="1"/>
    <x v="0"/>
    <x v="1"/>
    <n v="5"/>
    <n v="2233"/>
    <n v="11165"/>
    <n v="10"/>
    <n v="1116"/>
    <n v="10049"/>
    <n v="3.3"/>
    <x v="0"/>
  </r>
  <r>
    <x v="349"/>
    <x v="145"/>
    <x v="0"/>
    <x v="0"/>
    <x v="4"/>
    <x v="1"/>
    <x v="0"/>
    <x v="2"/>
    <x v="0"/>
    <n v="4"/>
    <n v="335"/>
    <n v="1340"/>
    <n v="0"/>
    <n v="0"/>
    <n v="1340"/>
    <n v="4.3"/>
    <x v="0"/>
  </r>
  <r>
    <x v="350"/>
    <x v="145"/>
    <x v="0"/>
    <x v="18"/>
    <x v="1"/>
    <x v="4"/>
    <x v="0"/>
    <x v="1"/>
    <x v="1"/>
    <n v="2"/>
    <n v="749"/>
    <n v="1498"/>
    <n v="5"/>
    <n v="75"/>
    <n v="1423"/>
    <n v="5"/>
    <x v="0"/>
  </r>
  <r>
    <x v="351"/>
    <x v="145"/>
    <x v="3"/>
    <x v="5"/>
    <x v="7"/>
    <x v="6"/>
    <x v="1"/>
    <x v="1"/>
    <x v="4"/>
    <n v="1"/>
    <n v="628"/>
    <n v="628"/>
    <n v="10"/>
    <n v="63"/>
    <n v="565"/>
    <n v="4.4000000000000004"/>
    <x v="0"/>
  </r>
  <r>
    <x v="352"/>
    <x v="145"/>
    <x v="5"/>
    <x v="11"/>
    <x v="8"/>
    <x v="9"/>
    <x v="0"/>
    <x v="2"/>
    <x v="0"/>
    <n v="4"/>
    <n v="1433"/>
    <n v="5732"/>
    <n v="0"/>
    <n v="0"/>
    <n v="5732"/>
    <n v="4.7"/>
    <x v="0"/>
  </r>
  <r>
    <x v="353"/>
    <x v="146"/>
    <x v="2"/>
    <x v="4"/>
    <x v="4"/>
    <x v="5"/>
    <x v="0"/>
    <x v="1"/>
    <x v="3"/>
    <n v="5"/>
    <n v="492"/>
    <n v="2460"/>
    <n v="30"/>
    <n v="738"/>
    <n v="1722"/>
    <n v="3.9"/>
    <x v="0"/>
  </r>
  <r>
    <x v="354"/>
    <x v="147"/>
    <x v="0"/>
    <x v="16"/>
    <x v="2"/>
    <x v="1"/>
    <x v="1"/>
    <x v="0"/>
    <x v="2"/>
    <n v="5"/>
    <n v="749"/>
    <n v="3745"/>
    <n v="20"/>
    <n v="749"/>
    <n v="2996"/>
    <n v="3.2"/>
    <x v="0"/>
  </r>
  <r>
    <x v="355"/>
    <x v="147"/>
    <x v="3"/>
    <x v="9"/>
    <x v="8"/>
    <x v="1"/>
    <x v="1"/>
    <x v="0"/>
    <x v="3"/>
    <n v="1"/>
    <n v="157"/>
    <n v="157"/>
    <n v="20"/>
    <n v="31"/>
    <n v="126"/>
    <n v="4.5"/>
    <x v="0"/>
  </r>
  <r>
    <x v="356"/>
    <x v="148"/>
    <x v="2"/>
    <x v="3"/>
    <x v="9"/>
    <x v="5"/>
    <x v="0"/>
    <x v="0"/>
    <x v="2"/>
    <n v="2"/>
    <n v="1135"/>
    <n v="2270"/>
    <n v="20"/>
    <n v="454"/>
    <n v="1816"/>
    <n v="3.5"/>
    <x v="0"/>
  </r>
  <r>
    <x v="357"/>
    <x v="148"/>
    <x v="3"/>
    <x v="5"/>
    <x v="1"/>
    <x v="5"/>
    <x v="0"/>
    <x v="0"/>
    <x v="1"/>
    <n v="4"/>
    <n v="661"/>
    <n v="2644"/>
    <n v="10"/>
    <n v="264"/>
    <n v="2380"/>
    <n v="3.9"/>
    <x v="0"/>
  </r>
  <r>
    <x v="358"/>
    <x v="148"/>
    <x v="2"/>
    <x v="6"/>
    <x v="11"/>
    <x v="4"/>
    <x v="0"/>
    <x v="1"/>
    <x v="1"/>
    <n v="3"/>
    <n v="323"/>
    <n v="969"/>
    <n v="0"/>
    <n v="0"/>
    <n v="969"/>
    <n v="3.8"/>
    <x v="0"/>
  </r>
  <r>
    <x v="359"/>
    <x v="148"/>
    <x v="4"/>
    <x v="20"/>
    <x v="8"/>
    <x v="9"/>
    <x v="1"/>
    <x v="1"/>
    <x v="2"/>
    <n v="5"/>
    <n v="1744"/>
    <n v="8720"/>
    <n v="5"/>
    <n v="436"/>
    <n v="8284"/>
    <n v="4.0999999999999996"/>
    <x v="0"/>
  </r>
  <r>
    <x v="360"/>
    <x v="148"/>
    <x v="0"/>
    <x v="22"/>
    <x v="7"/>
    <x v="5"/>
    <x v="2"/>
    <x v="1"/>
    <x v="2"/>
    <n v="1"/>
    <n v="155"/>
    <n v="155"/>
    <n v="25"/>
    <n v="39"/>
    <n v="116"/>
    <n v="4.8"/>
    <x v="0"/>
  </r>
  <r>
    <x v="361"/>
    <x v="149"/>
    <x v="3"/>
    <x v="13"/>
    <x v="1"/>
    <x v="4"/>
    <x v="1"/>
    <x v="1"/>
    <x v="2"/>
    <n v="4"/>
    <n v="258"/>
    <n v="1032"/>
    <n v="30"/>
    <n v="310"/>
    <n v="722"/>
    <n v="3.8"/>
    <x v="0"/>
  </r>
  <r>
    <x v="362"/>
    <x v="149"/>
    <x v="3"/>
    <x v="5"/>
    <x v="8"/>
    <x v="2"/>
    <x v="0"/>
    <x v="0"/>
    <x v="4"/>
    <n v="2"/>
    <n v="465"/>
    <n v="930"/>
    <n v="10"/>
    <n v="93"/>
    <n v="837"/>
    <n v="4.5999999999999996"/>
    <x v="0"/>
  </r>
  <r>
    <x v="363"/>
    <x v="150"/>
    <x v="4"/>
    <x v="20"/>
    <x v="4"/>
    <x v="1"/>
    <x v="0"/>
    <x v="1"/>
    <x v="4"/>
    <n v="3"/>
    <n v="2081"/>
    <n v="6243"/>
    <n v="25"/>
    <n v="1561"/>
    <n v="4682"/>
    <n v="4"/>
    <x v="0"/>
  </r>
  <r>
    <x v="364"/>
    <x v="150"/>
    <x v="5"/>
    <x v="17"/>
    <x v="11"/>
    <x v="5"/>
    <x v="0"/>
    <x v="0"/>
    <x v="3"/>
    <n v="4"/>
    <n v="2917"/>
    <n v="11668"/>
    <n v="30"/>
    <n v="3500"/>
    <n v="8168"/>
    <n v="4.2"/>
    <x v="0"/>
  </r>
  <r>
    <x v="365"/>
    <x v="151"/>
    <x v="2"/>
    <x v="4"/>
    <x v="0"/>
    <x v="4"/>
    <x v="0"/>
    <x v="0"/>
    <x v="1"/>
    <n v="4"/>
    <n v="732"/>
    <n v="2928"/>
    <n v="25"/>
    <n v="732"/>
    <n v="2196"/>
    <n v="3.6"/>
    <x v="0"/>
  </r>
  <r>
    <x v="366"/>
    <x v="151"/>
    <x v="5"/>
    <x v="17"/>
    <x v="3"/>
    <x v="6"/>
    <x v="0"/>
    <x v="2"/>
    <x v="1"/>
    <n v="3"/>
    <n v="2937"/>
    <n v="8811"/>
    <n v="5"/>
    <n v="441"/>
    <n v="8370"/>
    <n v="4.5999999999999996"/>
    <x v="0"/>
  </r>
  <r>
    <x v="367"/>
    <x v="151"/>
    <x v="2"/>
    <x v="3"/>
    <x v="6"/>
    <x v="5"/>
    <x v="1"/>
    <x v="2"/>
    <x v="4"/>
    <n v="5"/>
    <n v="599"/>
    <n v="2995"/>
    <n v="15"/>
    <n v="449"/>
    <n v="2546"/>
    <n v="4.9000000000000004"/>
    <x v="0"/>
  </r>
  <r>
    <x v="368"/>
    <x v="151"/>
    <x v="2"/>
    <x v="3"/>
    <x v="1"/>
    <x v="9"/>
    <x v="1"/>
    <x v="1"/>
    <x v="0"/>
    <n v="4"/>
    <n v="1452"/>
    <n v="5808"/>
    <n v="25"/>
    <n v="1452"/>
    <n v="4356"/>
    <n v="4.8"/>
    <x v="0"/>
  </r>
  <r>
    <x v="369"/>
    <x v="151"/>
    <x v="0"/>
    <x v="18"/>
    <x v="9"/>
    <x v="1"/>
    <x v="2"/>
    <x v="1"/>
    <x v="1"/>
    <n v="1"/>
    <n v="168"/>
    <n v="168"/>
    <n v="20"/>
    <n v="34"/>
    <n v="134"/>
    <n v="4.5"/>
    <x v="0"/>
  </r>
  <r>
    <x v="370"/>
    <x v="152"/>
    <x v="2"/>
    <x v="15"/>
    <x v="9"/>
    <x v="7"/>
    <x v="0"/>
    <x v="1"/>
    <x v="1"/>
    <n v="5"/>
    <n v="1073"/>
    <n v="5365"/>
    <n v="10"/>
    <n v="536"/>
    <n v="4829"/>
    <n v="4.8"/>
    <x v="0"/>
  </r>
  <r>
    <x v="371"/>
    <x v="152"/>
    <x v="2"/>
    <x v="6"/>
    <x v="3"/>
    <x v="2"/>
    <x v="0"/>
    <x v="1"/>
    <x v="1"/>
    <n v="4"/>
    <n v="1135"/>
    <n v="4540"/>
    <n v="0"/>
    <n v="0"/>
    <n v="4540"/>
    <n v="3.8"/>
    <x v="0"/>
  </r>
  <r>
    <x v="372"/>
    <x v="152"/>
    <x v="0"/>
    <x v="18"/>
    <x v="11"/>
    <x v="7"/>
    <x v="1"/>
    <x v="2"/>
    <x v="4"/>
    <n v="4"/>
    <n v="362"/>
    <n v="1448"/>
    <n v="30"/>
    <n v="434"/>
    <n v="1014"/>
    <n v="3.3"/>
    <x v="0"/>
  </r>
  <r>
    <x v="373"/>
    <x v="152"/>
    <x v="1"/>
    <x v="2"/>
    <x v="4"/>
    <x v="4"/>
    <x v="0"/>
    <x v="0"/>
    <x v="2"/>
    <n v="5"/>
    <n v="969"/>
    <n v="4845"/>
    <n v="25"/>
    <n v="1211"/>
    <n v="3634"/>
    <n v="4.0999999999999996"/>
    <x v="0"/>
  </r>
  <r>
    <x v="374"/>
    <x v="153"/>
    <x v="2"/>
    <x v="15"/>
    <x v="10"/>
    <x v="3"/>
    <x v="0"/>
    <x v="1"/>
    <x v="0"/>
    <n v="4"/>
    <n v="1151"/>
    <n v="4604"/>
    <n v="25"/>
    <n v="1151"/>
    <n v="3453"/>
    <n v="4.7"/>
    <x v="0"/>
  </r>
  <r>
    <x v="375"/>
    <x v="153"/>
    <x v="5"/>
    <x v="11"/>
    <x v="7"/>
    <x v="2"/>
    <x v="2"/>
    <x v="1"/>
    <x v="1"/>
    <n v="4"/>
    <n v="1176"/>
    <n v="4704"/>
    <n v="10"/>
    <n v="470"/>
    <n v="4234"/>
    <n v="3.6"/>
    <x v="0"/>
  </r>
  <r>
    <x v="376"/>
    <x v="154"/>
    <x v="4"/>
    <x v="19"/>
    <x v="7"/>
    <x v="9"/>
    <x v="0"/>
    <x v="0"/>
    <x v="0"/>
    <n v="3"/>
    <n v="1670"/>
    <n v="5010"/>
    <n v="20"/>
    <n v="1002"/>
    <n v="4008"/>
    <n v="4.9000000000000004"/>
    <x v="0"/>
  </r>
  <r>
    <x v="377"/>
    <x v="154"/>
    <x v="5"/>
    <x v="11"/>
    <x v="1"/>
    <x v="3"/>
    <x v="1"/>
    <x v="0"/>
    <x v="1"/>
    <n v="2"/>
    <n v="1672"/>
    <n v="3344"/>
    <n v="15"/>
    <n v="502"/>
    <n v="2842"/>
    <n v="3.6"/>
    <x v="0"/>
  </r>
  <r>
    <x v="378"/>
    <x v="155"/>
    <x v="2"/>
    <x v="15"/>
    <x v="7"/>
    <x v="5"/>
    <x v="1"/>
    <x v="1"/>
    <x v="4"/>
    <n v="3"/>
    <n v="978"/>
    <n v="2934"/>
    <n v="10"/>
    <n v="293"/>
    <n v="2641"/>
    <n v="4.5999999999999996"/>
    <x v="0"/>
  </r>
  <r>
    <x v="379"/>
    <x v="155"/>
    <x v="0"/>
    <x v="22"/>
    <x v="4"/>
    <x v="3"/>
    <x v="0"/>
    <x v="1"/>
    <x v="4"/>
    <n v="5"/>
    <n v="487"/>
    <n v="2435"/>
    <n v="0"/>
    <n v="0"/>
    <n v="2435"/>
    <n v="3.2"/>
    <x v="1"/>
  </r>
  <r>
    <x v="380"/>
    <x v="156"/>
    <x v="0"/>
    <x v="0"/>
    <x v="4"/>
    <x v="9"/>
    <x v="1"/>
    <x v="0"/>
    <x v="1"/>
    <n v="5"/>
    <n v="221"/>
    <n v="1105"/>
    <n v="25"/>
    <n v="276"/>
    <n v="829"/>
    <n v="3.3"/>
    <x v="0"/>
  </r>
  <r>
    <x v="381"/>
    <x v="156"/>
    <x v="1"/>
    <x v="12"/>
    <x v="5"/>
    <x v="0"/>
    <x v="0"/>
    <x v="1"/>
    <x v="1"/>
    <n v="3"/>
    <n v="517"/>
    <n v="1551"/>
    <n v="10"/>
    <n v="155"/>
    <n v="1396"/>
    <n v="4.9000000000000004"/>
    <x v="0"/>
  </r>
  <r>
    <x v="382"/>
    <x v="157"/>
    <x v="3"/>
    <x v="5"/>
    <x v="10"/>
    <x v="3"/>
    <x v="1"/>
    <x v="1"/>
    <x v="1"/>
    <n v="5"/>
    <n v="533"/>
    <n v="2665"/>
    <n v="25"/>
    <n v="666"/>
    <n v="1999"/>
    <n v="3.4"/>
    <x v="0"/>
  </r>
  <r>
    <x v="383"/>
    <x v="157"/>
    <x v="5"/>
    <x v="14"/>
    <x v="11"/>
    <x v="6"/>
    <x v="2"/>
    <x v="0"/>
    <x v="0"/>
    <n v="1"/>
    <n v="2177"/>
    <n v="2177"/>
    <n v="15"/>
    <n v="327"/>
    <n v="1850"/>
    <n v="3.9"/>
    <x v="0"/>
  </r>
  <r>
    <x v="384"/>
    <x v="158"/>
    <x v="3"/>
    <x v="9"/>
    <x v="4"/>
    <x v="7"/>
    <x v="0"/>
    <x v="1"/>
    <x v="4"/>
    <n v="4"/>
    <n v="699"/>
    <n v="2796"/>
    <n v="5"/>
    <n v="140"/>
    <n v="2656"/>
    <n v="4.5"/>
    <x v="0"/>
  </r>
  <r>
    <x v="385"/>
    <x v="158"/>
    <x v="4"/>
    <x v="7"/>
    <x v="6"/>
    <x v="4"/>
    <x v="1"/>
    <x v="1"/>
    <x v="0"/>
    <n v="1"/>
    <n v="1954"/>
    <n v="1954"/>
    <n v="15"/>
    <n v="293"/>
    <n v="1661"/>
    <n v="3.5"/>
    <x v="0"/>
  </r>
  <r>
    <x v="386"/>
    <x v="158"/>
    <x v="3"/>
    <x v="13"/>
    <x v="6"/>
    <x v="4"/>
    <x v="1"/>
    <x v="0"/>
    <x v="2"/>
    <n v="4"/>
    <n v="516"/>
    <n v="2064"/>
    <n v="25"/>
    <n v="516"/>
    <n v="1548"/>
    <n v="3.6"/>
    <x v="0"/>
  </r>
  <r>
    <x v="387"/>
    <x v="158"/>
    <x v="1"/>
    <x v="1"/>
    <x v="4"/>
    <x v="1"/>
    <x v="0"/>
    <x v="1"/>
    <x v="1"/>
    <n v="5"/>
    <n v="230"/>
    <n v="1150"/>
    <n v="25"/>
    <n v="288"/>
    <n v="862"/>
    <n v="3.8"/>
    <x v="0"/>
  </r>
  <r>
    <x v="388"/>
    <x v="159"/>
    <x v="4"/>
    <x v="19"/>
    <x v="2"/>
    <x v="1"/>
    <x v="1"/>
    <x v="1"/>
    <x v="3"/>
    <n v="4"/>
    <n v="888"/>
    <n v="3552"/>
    <n v="20"/>
    <n v="710"/>
    <n v="2842"/>
    <n v="4.5999999999999996"/>
    <x v="0"/>
  </r>
  <r>
    <x v="389"/>
    <x v="159"/>
    <x v="3"/>
    <x v="5"/>
    <x v="0"/>
    <x v="5"/>
    <x v="0"/>
    <x v="1"/>
    <x v="3"/>
    <n v="5"/>
    <n v="491"/>
    <n v="2455"/>
    <n v="30"/>
    <n v="736"/>
    <n v="1719"/>
    <n v="4.9000000000000004"/>
    <x v="0"/>
  </r>
  <r>
    <x v="390"/>
    <x v="160"/>
    <x v="1"/>
    <x v="10"/>
    <x v="6"/>
    <x v="1"/>
    <x v="1"/>
    <x v="0"/>
    <x v="2"/>
    <n v="4"/>
    <n v="689"/>
    <n v="2756"/>
    <n v="30"/>
    <n v="827"/>
    <n v="1929"/>
    <n v="3.7"/>
    <x v="0"/>
  </r>
  <r>
    <x v="391"/>
    <x v="160"/>
    <x v="1"/>
    <x v="2"/>
    <x v="3"/>
    <x v="1"/>
    <x v="0"/>
    <x v="1"/>
    <x v="3"/>
    <n v="3"/>
    <n v="249"/>
    <n v="747"/>
    <n v="0"/>
    <n v="0"/>
    <n v="747"/>
    <n v="4.2"/>
    <x v="0"/>
  </r>
  <r>
    <x v="392"/>
    <x v="160"/>
    <x v="5"/>
    <x v="11"/>
    <x v="2"/>
    <x v="0"/>
    <x v="1"/>
    <x v="2"/>
    <x v="0"/>
    <n v="2"/>
    <n v="2143"/>
    <n v="4286"/>
    <n v="10"/>
    <n v="429"/>
    <n v="3857"/>
    <n v="3.5"/>
    <x v="0"/>
  </r>
  <r>
    <x v="393"/>
    <x v="160"/>
    <x v="2"/>
    <x v="3"/>
    <x v="2"/>
    <x v="8"/>
    <x v="0"/>
    <x v="2"/>
    <x v="4"/>
    <n v="4"/>
    <n v="737"/>
    <n v="2948"/>
    <n v="25"/>
    <n v="737"/>
    <n v="2211"/>
    <n v="3.5"/>
    <x v="0"/>
  </r>
  <r>
    <x v="394"/>
    <x v="160"/>
    <x v="1"/>
    <x v="2"/>
    <x v="10"/>
    <x v="4"/>
    <x v="0"/>
    <x v="1"/>
    <x v="4"/>
    <n v="4"/>
    <n v="1295"/>
    <n v="5180"/>
    <n v="30"/>
    <n v="1554"/>
    <n v="3626"/>
    <n v="4.5999999999999996"/>
    <x v="0"/>
  </r>
  <r>
    <x v="395"/>
    <x v="160"/>
    <x v="1"/>
    <x v="10"/>
    <x v="2"/>
    <x v="0"/>
    <x v="1"/>
    <x v="1"/>
    <x v="4"/>
    <n v="2"/>
    <n v="872"/>
    <n v="1744"/>
    <n v="0"/>
    <n v="0"/>
    <n v="1744"/>
    <n v="3.3"/>
    <x v="0"/>
  </r>
  <r>
    <x v="396"/>
    <x v="160"/>
    <x v="2"/>
    <x v="6"/>
    <x v="2"/>
    <x v="7"/>
    <x v="0"/>
    <x v="1"/>
    <x v="4"/>
    <n v="4"/>
    <n v="1061"/>
    <n v="4244"/>
    <n v="0"/>
    <n v="0"/>
    <n v="4244"/>
    <n v="4.4000000000000004"/>
    <x v="0"/>
  </r>
  <r>
    <x v="397"/>
    <x v="161"/>
    <x v="5"/>
    <x v="17"/>
    <x v="3"/>
    <x v="5"/>
    <x v="2"/>
    <x v="0"/>
    <x v="1"/>
    <n v="1"/>
    <n v="1494"/>
    <n v="1494"/>
    <n v="5"/>
    <n v="75"/>
    <n v="1419"/>
    <n v="4.9000000000000004"/>
    <x v="1"/>
  </r>
  <r>
    <x v="398"/>
    <x v="161"/>
    <x v="3"/>
    <x v="5"/>
    <x v="5"/>
    <x v="0"/>
    <x v="0"/>
    <x v="1"/>
    <x v="3"/>
    <n v="3"/>
    <n v="183"/>
    <n v="549"/>
    <n v="0"/>
    <n v="0"/>
    <n v="549"/>
    <n v="4.5999999999999996"/>
    <x v="0"/>
  </r>
  <r>
    <x v="399"/>
    <x v="162"/>
    <x v="2"/>
    <x v="3"/>
    <x v="9"/>
    <x v="8"/>
    <x v="0"/>
    <x v="0"/>
    <x v="2"/>
    <n v="5"/>
    <n v="1458"/>
    <n v="7290"/>
    <n v="10"/>
    <n v="729"/>
    <n v="6561"/>
    <n v="4.3"/>
    <x v="0"/>
  </r>
  <r>
    <x v="400"/>
    <x v="163"/>
    <x v="0"/>
    <x v="0"/>
    <x v="6"/>
    <x v="9"/>
    <x v="0"/>
    <x v="1"/>
    <x v="3"/>
    <n v="1"/>
    <n v="351"/>
    <n v="351"/>
    <n v="30"/>
    <n v="105"/>
    <n v="246"/>
    <n v="4.7"/>
    <x v="0"/>
  </r>
  <r>
    <x v="401"/>
    <x v="163"/>
    <x v="5"/>
    <x v="11"/>
    <x v="8"/>
    <x v="5"/>
    <x v="1"/>
    <x v="1"/>
    <x v="1"/>
    <n v="4"/>
    <n v="1626"/>
    <n v="6504"/>
    <n v="10"/>
    <n v="650"/>
    <n v="5854"/>
    <n v="3.6"/>
    <x v="0"/>
  </r>
  <r>
    <x v="402"/>
    <x v="164"/>
    <x v="1"/>
    <x v="2"/>
    <x v="2"/>
    <x v="0"/>
    <x v="2"/>
    <x v="0"/>
    <x v="4"/>
    <n v="3"/>
    <n v="320"/>
    <n v="960"/>
    <n v="10"/>
    <n v="96"/>
    <n v="864"/>
    <n v="4.8"/>
    <x v="0"/>
  </r>
  <r>
    <x v="403"/>
    <x v="164"/>
    <x v="2"/>
    <x v="15"/>
    <x v="0"/>
    <x v="7"/>
    <x v="0"/>
    <x v="0"/>
    <x v="0"/>
    <n v="3"/>
    <n v="1116"/>
    <n v="3348"/>
    <n v="25"/>
    <n v="837"/>
    <n v="2511"/>
    <n v="3.8"/>
    <x v="0"/>
  </r>
  <r>
    <x v="404"/>
    <x v="165"/>
    <x v="2"/>
    <x v="6"/>
    <x v="8"/>
    <x v="1"/>
    <x v="1"/>
    <x v="1"/>
    <x v="4"/>
    <n v="5"/>
    <n v="695"/>
    <n v="3475"/>
    <n v="0"/>
    <n v="0"/>
    <n v="3475"/>
    <n v="3.9"/>
    <x v="0"/>
  </r>
  <r>
    <x v="405"/>
    <x v="165"/>
    <x v="4"/>
    <x v="20"/>
    <x v="9"/>
    <x v="1"/>
    <x v="1"/>
    <x v="2"/>
    <x v="0"/>
    <n v="1"/>
    <n v="1103"/>
    <n v="1103"/>
    <n v="15"/>
    <n v="165"/>
    <n v="938"/>
    <n v="3.7"/>
    <x v="0"/>
  </r>
  <r>
    <x v="406"/>
    <x v="166"/>
    <x v="5"/>
    <x v="17"/>
    <x v="4"/>
    <x v="2"/>
    <x v="0"/>
    <x v="1"/>
    <x v="4"/>
    <n v="1"/>
    <n v="1521"/>
    <n v="1521"/>
    <n v="0"/>
    <n v="0"/>
    <n v="1521"/>
    <n v="5"/>
    <x v="0"/>
  </r>
  <r>
    <x v="407"/>
    <x v="166"/>
    <x v="2"/>
    <x v="8"/>
    <x v="10"/>
    <x v="2"/>
    <x v="0"/>
    <x v="1"/>
    <x v="4"/>
    <n v="2"/>
    <n v="503"/>
    <n v="1006"/>
    <n v="0"/>
    <n v="0"/>
    <n v="1006"/>
    <n v="4.3"/>
    <x v="0"/>
  </r>
  <r>
    <x v="408"/>
    <x v="166"/>
    <x v="0"/>
    <x v="16"/>
    <x v="9"/>
    <x v="1"/>
    <x v="0"/>
    <x v="1"/>
    <x v="3"/>
    <n v="5"/>
    <n v="475"/>
    <n v="2375"/>
    <n v="5"/>
    <n v="119"/>
    <n v="2256"/>
    <n v="4.0999999999999996"/>
    <x v="0"/>
  </r>
  <r>
    <x v="409"/>
    <x v="167"/>
    <x v="4"/>
    <x v="7"/>
    <x v="2"/>
    <x v="4"/>
    <x v="1"/>
    <x v="1"/>
    <x v="4"/>
    <n v="1"/>
    <n v="1789"/>
    <n v="1789"/>
    <n v="25"/>
    <n v="447"/>
    <n v="1342"/>
    <n v="4.7"/>
    <x v="0"/>
  </r>
  <r>
    <x v="410"/>
    <x v="167"/>
    <x v="0"/>
    <x v="16"/>
    <x v="10"/>
    <x v="0"/>
    <x v="1"/>
    <x v="1"/>
    <x v="2"/>
    <n v="2"/>
    <n v="655"/>
    <n v="1310"/>
    <n v="30"/>
    <n v="393"/>
    <n v="917"/>
    <n v="4.5999999999999996"/>
    <x v="0"/>
  </r>
  <r>
    <x v="411"/>
    <x v="168"/>
    <x v="4"/>
    <x v="7"/>
    <x v="8"/>
    <x v="9"/>
    <x v="0"/>
    <x v="1"/>
    <x v="3"/>
    <n v="2"/>
    <n v="1625"/>
    <n v="3250"/>
    <n v="10"/>
    <n v="325"/>
    <n v="2925"/>
    <n v="3.2"/>
    <x v="0"/>
  </r>
  <r>
    <x v="412"/>
    <x v="168"/>
    <x v="2"/>
    <x v="8"/>
    <x v="4"/>
    <x v="1"/>
    <x v="0"/>
    <x v="1"/>
    <x v="4"/>
    <n v="4"/>
    <n v="1211"/>
    <n v="4844"/>
    <n v="30"/>
    <n v="1453"/>
    <n v="3391"/>
    <n v="4.9000000000000004"/>
    <x v="0"/>
  </r>
  <r>
    <x v="413"/>
    <x v="168"/>
    <x v="3"/>
    <x v="5"/>
    <x v="10"/>
    <x v="6"/>
    <x v="0"/>
    <x v="1"/>
    <x v="2"/>
    <n v="1"/>
    <n v="598"/>
    <n v="598"/>
    <n v="5"/>
    <n v="30"/>
    <n v="568"/>
    <n v="3.8"/>
    <x v="0"/>
  </r>
  <r>
    <x v="414"/>
    <x v="169"/>
    <x v="4"/>
    <x v="7"/>
    <x v="5"/>
    <x v="1"/>
    <x v="1"/>
    <x v="0"/>
    <x v="4"/>
    <n v="1"/>
    <n v="800"/>
    <n v="800"/>
    <n v="15"/>
    <n v="120"/>
    <n v="680"/>
    <n v="3.8"/>
    <x v="0"/>
  </r>
  <r>
    <x v="415"/>
    <x v="169"/>
    <x v="2"/>
    <x v="6"/>
    <x v="0"/>
    <x v="5"/>
    <x v="0"/>
    <x v="1"/>
    <x v="3"/>
    <n v="2"/>
    <n v="1133"/>
    <n v="2266"/>
    <n v="25"/>
    <n v="566"/>
    <n v="1700"/>
    <n v="3.2"/>
    <x v="0"/>
  </r>
  <r>
    <x v="416"/>
    <x v="169"/>
    <x v="5"/>
    <x v="14"/>
    <x v="5"/>
    <x v="8"/>
    <x v="1"/>
    <x v="2"/>
    <x v="3"/>
    <n v="4"/>
    <n v="2800"/>
    <n v="11200"/>
    <n v="0"/>
    <n v="0"/>
    <n v="11200"/>
    <n v="4.8"/>
    <x v="0"/>
  </r>
  <r>
    <x v="417"/>
    <x v="169"/>
    <x v="3"/>
    <x v="13"/>
    <x v="7"/>
    <x v="2"/>
    <x v="1"/>
    <x v="2"/>
    <x v="3"/>
    <n v="3"/>
    <n v="176"/>
    <n v="528"/>
    <n v="25"/>
    <n v="132"/>
    <n v="396"/>
    <n v="3.3"/>
    <x v="1"/>
  </r>
  <r>
    <x v="418"/>
    <x v="170"/>
    <x v="5"/>
    <x v="14"/>
    <x v="3"/>
    <x v="6"/>
    <x v="0"/>
    <x v="0"/>
    <x v="1"/>
    <n v="1"/>
    <n v="2944"/>
    <n v="2944"/>
    <n v="25"/>
    <n v="736"/>
    <n v="2208"/>
    <n v="3.9"/>
    <x v="0"/>
  </r>
  <r>
    <x v="419"/>
    <x v="170"/>
    <x v="4"/>
    <x v="19"/>
    <x v="8"/>
    <x v="0"/>
    <x v="2"/>
    <x v="1"/>
    <x v="3"/>
    <n v="4"/>
    <n v="904"/>
    <n v="3616"/>
    <n v="5"/>
    <n v="181"/>
    <n v="3435"/>
    <n v="4"/>
    <x v="0"/>
  </r>
  <r>
    <x v="420"/>
    <x v="170"/>
    <x v="1"/>
    <x v="21"/>
    <x v="5"/>
    <x v="0"/>
    <x v="0"/>
    <x v="1"/>
    <x v="0"/>
    <n v="1"/>
    <n v="1156"/>
    <n v="1156"/>
    <n v="0"/>
    <n v="0"/>
    <n v="1156"/>
    <n v="4.9000000000000004"/>
    <x v="0"/>
  </r>
  <r>
    <x v="421"/>
    <x v="170"/>
    <x v="3"/>
    <x v="5"/>
    <x v="6"/>
    <x v="2"/>
    <x v="0"/>
    <x v="1"/>
    <x v="3"/>
    <n v="5"/>
    <n v="661"/>
    <n v="3305"/>
    <n v="20"/>
    <n v="661"/>
    <n v="2644"/>
    <n v="3.2"/>
    <x v="0"/>
  </r>
  <r>
    <x v="422"/>
    <x v="170"/>
    <x v="3"/>
    <x v="13"/>
    <x v="4"/>
    <x v="7"/>
    <x v="2"/>
    <x v="0"/>
    <x v="2"/>
    <n v="2"/>
    <n v="458"/>
    <n v="916"/>
    <n v="10"/>
    <n v="92"/>
    <n v="824"/>
    <n v="4.2"/>
    <x v="0"/>
  </r>
  <r>
    <x v="423"/>
    <x v="171"/>
    <x v="3"/>
    <x v="9"/>
    <x v="8"/>
    <x v="0"/>
    <x v="0"/>
    <x v="1"/>
    <x v="4"/>
    <n v="5"/>
    <n v="226"/>
    <n v="1130"/>
    <n v="0"/>
    <n v="0"/>
    <n v="1130"/>
    <n v="3.9"/>
    <x v="0"/>
  </r>
  <r>
    <x v="424"/>
    <x v="172"/>
    <x v="0"/>
    <x v="16"/>
    <x v="8"/>
    <x v="0"/>
    <x v="0"/>
    <x v="0"/>
    <x v="1"/>
    <n v="5"/>
    <n v="538"/>
    <n v="2690"/>
    <n v="30"/>
    <n v="807"/>
    <n v="1883"/>
    <n v="3.2"/>
    <x v="0"/>
  </r>
  <r>
    <x v="425"/>
    <x v="172"/>
    <x v="5"/>
    <x v="14"/>
    <x v="1"/>
    <x v="8"/>
    <x v="0"/>
    <x v="0"/>
    <x v="0"/>
    <n v="3"/>
    <n v="1102"/>
    <n v="3306"/>
    <n v="25"/>
    <n v="826"/>
    <n v="2480"/>
    <n v="4.3"/>
    <x v="0"/>
  </r>
  <r>
    <x v="426"/>
    <x v="173"/>
    <x v="4"/>
    <x v="7"/>
    <x v="1"/>
    <x v="2"/>
    <x v="0"/>
    <x v="0"/>
    <x v="3"/>
    <n v="5"/>
    <n v="2005"/>
    <n v="10025"/>
    <n v="20"/>
    <n v="2005"/>
    <n v="8020"/>
    <n v="4.7"/>
    <x v="0"/>
  </r>
  <r>
    <x v="427"/>
    <x v="174"/>
    <x v="1"/>
    <x v="12"/>
    <x v="6"/>
    <x v="5"/>
    <x v="0"/>
    <x v="0"/>
    <x v="1"/>
    <n v="4"/>
    <n v="1110"/>
    <n v="4440"/>
    <n v="0"/>
    <n v="0"/>
    <n v="4440"/>
    <n v="5"/>
    <x v="0"/>
  </r>
  <r>
    <x v="428"/>
    <x v="175"/>
    <x v="4"/>
    <x v="20"/>
    <x v="2"/>
    <x v="8"/>
    <x v="1"/>
    <x v="0"/>
    <x v="2"/>
    <n v="3"/>
    <n v="2283"/>
    <n v="6849"/>
    <n v="0"/>
    <n v="0"/>
    <n v="6849"/>
    <n v="3.8"/>
    <x v="0"/>
  </r>
  <r>
    <x v="429"/>
    <x v="175"/>
    <x v="4"/>
    <x v="19"/>
    <x v="10"/>
    <x v="0"/>
    <x v="0"/>
    <x v="0"/>
    <x v="3"/>
    <n v="1"/>
    <n v="2398"/>
    <n v="2398"/>
    <n v="30"/>
    <n v="719"/>
    <n v="1679"/>
    <n v="4"/>
    <x v="0"/>
  </r>
  <r>
    <x v="430"/>
    <x v="175"/>
    <x v="0"/>
    <x v="22"/>
    <x v="4"/>
    <x v="9"/>
    <x v="0"/>
    <x v="1"/>
    <x v="3"/>
    <n v="4"/>
    <n v="826"/>
    <n v="3304"/>
    <n v="30"/>
    <n v="991"/>
    <n v="2313"/>
    <n v="4.2"/>
    <x v="1"/>
  </r>
  <r>
    <x v="431"/>
    <x v="175"/>
    <x v="4"/>
    <x v="20"/>
    <x v="10"/>
    <x v="6"/>
    <x v="1"/>
    <x v="0"/>
    <x v="3"/>
    <n v="2"/>
    <n v="1093"/>
    <n v="2186"/>
    <n v="10"/>
    <n v="219"/>
    <n v="1967"/>
    <n v="4.9000000000000004"/>
    <x v="0"/>
  </r>
  <r>
    <x v="432"/>
    <x v="176"/>
    <x v="1"/>
    <x v="12"/>
    <x v="6"/>
    <x v="8"/>
    <x v="1"/>
    <x v="1"/>
    <x v="3"/>
    <n v="5"/>
    <n v="216"/>
    <n v="1080"/>
    <n v="25"/>
    <n v="270"/>
    <n v="810"/>
    <n v="3.3"/>
    <x v="0"/>
  </r>
  <r>
    <x v="433"/>
    <x v="177"/>
    <x v="3"/>
    <x v="13"/>
    <x v="10"/>
    <x v="6"/>
    <x v="0"/>
    <x v="2"/>
    <x v="0"/>
    <n v="3"/>
    <n v="433"/>
    <n v="1299"/>
    <n v="15"/>
    <n v="195"/>
    <n v="1104"/>
    <n v="3.2"/>
    <x v="0"/>
  </r>
  <r>
    <x v="434"/>
    <x v="177"/>
    <x v="1"/>
    <x v="21"/>
    <x v="7"/>
    <x v="0"/>
    <x v="0"/>
    <x v="0"/>
    <x v="4"/>
    <n v="4"/>
    <n v="1226"/>
    <n v="4904"/>
    <n v="10"/>
    <n v="490"/>
    <n v="4414"/>
    <n v="4.2"/>
    <x v="1"/>
  </r>
  <r>
    <x v="435"/>
    <x v="178"/>
    <x v="0"/>
    <x v="18"/>
    <x v="9"/>
    <x v="9"/>
    <x v="0"/>
    <x v="1"/>
    <x v="3"/>
    <n v="2"/>
    <n v="773"/>
    <n v="1546"/>
    <n v="20"/>
    <n v="309"/>
    <n v="1237"/>
    <n v="4.0999999999999996"/>
    <x v="0"/>
  </r>
  <r>
    <x v="436"/>
    <x v="178"/>
    <x v="0"/>
    <x v="18"/>
    <x v="11"/>
    <x v="3"/>
    <x v="1"/>
    <x v="2"/>
    <x v="4"/>
    <n v="5"/>
    <n v="703"/>
    <n v="3515"/>
    <n v="25"/>
    <n v="879"/>
    <n v="2636"/>
    <n v="3.8"/>
    <x v="0"/>
  </r>
  <r>
    <x v="437"/>
    <x v="179"/>
    <x v="5"/>
    <x v="14"/>
    <x v="6"/>
    <x v="5"/>
    <x v="1"/>
    <x v="1"/>
    <x v="4"/>
    <n v="4"/>
    <n v="1318"/>
    <n v="5272"/>
    <n v="25"/>
    <n v="1318"/>
    <n v="3954"/>
    <n v="4.4000000000000004"/>
    <x v="0"/>
  </r>
  <r>
    <x v="438"/>
    <x v="179"/>
    <x v="5"/>
    <x v="17"/>
    <x v="11"/>
    <x v="6"/>
    <x v="1"/>
    <x v="0"/>
    <x v="4"/>
    <n v="3"/>
    <n v="2226"/>
    <n v="6678"/>
    <n v="25"/>
    <n v="1670"/>
    <n v="5008"/>
    <n v="4.4000000000000004"/>
    <x v="0"/>
  </r>
  <r>
    <x v="439"/>
    <x v="179"/>
    <x v="2"/>
    <x v="15"/>
    <x v="8"/>
    <x v="2"/>
    <x v="0"/>
    <x v="1"/>
    <x v="0"/>
    <n v="2"/>
    <n v="398"/>
    <n v="796"/>
    <n v="30"/>
    <n v="239"/>
    <n v="557"/>
    <n v="4"/>
    <x v="0"/>
  </r>
  <r>
    <x v="440"/>
    <x v="180"/>
    <x v="1"/>
    <x v="21"/>
    <x v="6"/>
    <x v="3"/>
    <x v="1"/>
    <x v="1"/>
    <x v="3"/>
    <n v="1"/>
    <n v="521"/>
    <n v="521"/>
    <n v="15"/>
    <n v="78"/>
    <n v="443"/>
    <n v="3.4"/>
    <x v="0"/>
  </r>
  <r>
    <x v="441"/>
    <x v="181"/>
    <x v="5"/>
    <x v="11"/>
    <x v="6"/>
    <x v="5"/>
    <x v="0"/>
    <x v="1"/>
    <x v="1"/>
    <n v="2"/>
    <n v="1172"/>
    <n v="2344"/>
    <n v="5"/>
    <n v="117"/>
    <n v="2227"/>
    <n v="4.9000000000000004"/>
    <x v="0"/>
  </r>
  <r>
    <x v="442"/>
    <x v="181"/>
    <x v="4"/>
    <x v="19"/>
    <x v="9"/>
    <x v="9"/>
    <x v="2"/>
    <x v="2"/>
    <x v="3"/>
    <n v="2"/>
    <n v="923"/>
    <n v="1846"/>
    <n v="25"/>
    <n v="462"/>
    <n v="1384"/>
    <n v="3.8"/>
    <x v="0"/>
  </r>
  <r>
    <x v="443"/>
    <x v="182"/>
    <x v="1"/>
    <x v="1"/>
    <x v="3"/>
    <x v="4"/>
    <x v="0"/>
    <x v="1"/>
    <x v="4"/>
    <n v="2"/>
    <n v="888"/>
    <n v="1776"/>
    <n v="15"/>
    <n v="266"/>
    <n v="1510"/>
    <n v="4.2"/>
    <x v="0"/>
  </r>
  <r>
    <x v="444"/>
    <x v="182"/>
    <x v="4"/>
    <x v="20"/>
    <x v="9"/>
    <x v="3"/>
    <x v="1"/>
    <x v="0"/>
    <x v="2"/>
    <n v="1"/>
    <n v="2139"/>
    <n v="2139"/>
    <n v="30"/>
    <n v="642"/>
    <n v="1497"/>
    <n v="4.8"/>
    <x v="0"/>
  </r>
  <r>
    <x v="445"/>
    <x v="182"/>
    <x v="0"/>
    <x v="16"/>
    <x v="6"/>
    <x v="5"/>
    <x v="0"/>
    <x v="0"/>
    <x v="2"/>
    <n v="3"/>
    <n v="333"/>
    <n v="999"/>
    <n v="10"/>
    <n v="100"/>
    <n v="899"/>
    <n v="3.5"/>
    <x v="0"/>
  </r>
  <r>
    <x v="446"/>
    <x v="182"/>
    <x v="1"/>
    <x v="12"/>
    <x v="10"/>
    <x v="2"/>
    <x v="0"/>
    <x v="1"/>
    <x v="1"/>
    <n v="2"/>
    <n v="1056"/>
    <n v="2112"/>
    <n v="0"/>
    <n v="0"/>
    <n v="2112"/>
    <n v="3.4"/>
    <x v="0"/>
  </r>
  <r>
    <x v="447"/>
    <x v="183"/>
    <x v="4"/>
    <x v="20"/>
    <x v="11"/>
    <x v="3"/>
    <x v="0"/>
    <x v="1"/>
    <x v="2"/>
    <n v="4"/>
    <n v="692"/>
    <n v="2768"/>
    <n v="20"/>
    <n v="554"/>
    <n v="2214"/>
    <n v="4.3"/>
    <x v="0"/>
  </r>
  <r>
    <x v="448"/>
    <x v="183"/>
    <x v="2"/>
    <x v="8"/>
    <x v="10"/>
    <x v="1"/>
    <x v="0"/>
    <x v="1"/>
    <x v="1"/>
    <n v="5"/>
    <n v="901"/>
    <n v="4505"/>
    <n v="10"/>
    <n v="450"/>
    <n v="4055"/>
    <n v="4.7"/>
    <x v="0"/>
  </r>
  <r>
    <x v="449"/>
    <x v="184"/>
    <x v="5"/>
    <x v="14"/>
    <x v="8"/>
    <x v="4"/>
    <x v="0"/>
    <x v="1"/>
    <x v="2"/>
    <n v="5"/>
    <n v="2519"/>
    <n v="12595"/>
    <n v="10"/>
    <n v="1260"/>
    <n v="11335"/>
    <n v="4.9000000000000004"/>
    <x v="0"/>
  </r>
  <r>
    <x v="450"/>
    <x v="185"/>
    <x v="2"/>
    <x v="4"/>
    <x v="7"/>
    <x v="3"/>
    <x v="1"/>
    <x v="0"/>
    <x v="3"/>
    <n v="2"/>
    <n v="1344"/>
    <n v="2688"/>
    <n v="10"/>
    <n v="269"/>
    <n v="2419"/>
    <n v="4"/>
    <x v="0"/>
  </r>
  <r>
    <x v="451"/>
    <x v="185"/>
    <x v="5"/>
    <x v="17"/>
    <x v="6"/>
    <x v="2"/>
    <x v="0"/>
    <x v="0"/>
    <x v="4"/>
    <n v="2"/>
    <n v="1357"/>
    <n v="2714"/>
    <n v="25"/>
    <n v="678"/>
    <n v="2036"/>
    <n v="3.6"/>
    <x v="0"/>
  </r>
  <r>
    <x v="452"/>
    <x v="186"/>
    <x v="0"/>
    <x v="0"/>
    <x v="7"/>
    <x v="6"/>
    <x v="0"/>
    <x v="0"/>
    <x v="2"/>
    <n v="2"/>
    <n v="500"/>
    <n v="1000"/>
    <n v="30"/>
    <n v="300"/>
    <n v="700"/>
    <n v="4.2"/>
    <x v="0"/>
  </r>
  <r>
    <x v="453"/>
    <x v="186"/>
    <x v="4"/>
    <x v="19"/>
    <x v="11"/>
    <x v="2"/>
    <x v="0"/>
    <x v="2"/>
    <x v="2"/>
    <n v="5"/>
    <n v="1241"/>
    <n v="6205"/>
    <n v="20"/>
    <n v="1241"/>
    <n v="4964"/>
    <n v="4.9000000000000004"/>
    <x v="0"/>
  </r>
  <r>
    <x v="454"/>
    <x v="187"/>
    <x v="1"/>
    <x v="21"/>
    <x v="8"/>
    <x v="5"/>
    <x v="0"/>
    <x v="1"/>
    <x v="2"/>
    <n v="1"/>
    <n v="415"/>
    <n v="415"/>
    <n v="0"/>
    <n v="0"/>
    <n v="415"/>
    <n v="4.5999999999999996"/>
    <x v="0"/>
  </r>
  <r>
    <x v="455"/>
    <x v="187"/>
    <x v="4"/>
    <x v="19"/>
    <x v="3"/>
    <x v="1"/>
    <x v="1"/>
    <x v="0"/>
    <x v="4"/>
    <n v="4"/>
    <n v="2431"/>
    <n v="9724"/>
    <n v="5"/>
    <n v="486"/>
    <n v="9238"/>
    <n v="3.7"/>
    <x v="0"/>
  </r>
  <r>
    <x v="456"/>
    <x v="187"/>
    <x v="5"/>
    <x v="14"/>
    <x v="3"/>
    <x v="3"/>
    <x v="0"/>
    <x v="1"/>
    <x v="4"/>
    <n v="5"/>
    <n v="1181"/>
    <n v="5905"/>
    <n v="30"/>
    <n v="1772"/>
    <n v="4133"/>
    <n v="4.5999999999999996"/>
    <x v="1"/>
  </r>
  <r>
    <x v="457"/>
    <x v="188"/>
    <x v="0"/>
    <x v="22"/>
    <x v="9"/>
    <x v="8"/>
    <x v="0"/>
    <x v="0"/>
    <x v="1"/>
    <n v="3"/>
    <n v="411"/>
    <n v="1233"/>
    <n v="15"/>
    <n v="185"/>
    <n v="1048"/>
    <n v="4.8"/>
    <x v="0"/>
  </r>
  <r>
    <x v="458"/>
    <x v="189"/>
    <x v="1"/>
    <x v="1"/>
    <x v="4"/>
    <x v="5"/>
    <x v="0"/>
    <x v="0"/>
    <x v="1"/>
    <n v="2"/>
    <n v="215"/>
    <n v="430"/>
    <n v="25"/>
    <n v="108"/>
    <n v="322"/>
    <n v="3.8"/>
    <x v="0"/>
  </r>
  <r>
    <x v="459"/>
    <x v="189"/>
    <x v="2"/>
    <x v="8"/>
    <x v="5"/>
    <x v="6"/>
    <x v="0"/>
    <x v="1"/>
    <x v="1"/>
    <n v="1"/>
    <n v="785"/>
    <n v="785"/>
    <n v="10"/>
    <n v="78"/>
    <n v="707"/>
    <n v="3.5"/>
    <x v="1"/>
  </r>
  <r>
    <x v="460"/>
    <x v="190"/>
    <x v="2"/>
    <x v="15"/>
    <x v="1"/>
    <x v="8"/>
    <x v="0"/>
    <x v="1"/>
    <x v="0"/>
    <n v="1"/>
    <n v="372"/>
    <n v="372"/>
    <n v="25"/>
    <n v="93"/>
    <n v="279"/>
    <n v="3.8"/>
    <x v="0"/>
  </r>
  <r>
    <x v="461"/>
    <x v="190"/>
    <x v="5"/>
    <x v="17"/>
    <x v="2"/>
    <x v="4"/>
    <x v="1"/>
    <x v="1"/>
    <x v="4"/>
    <n v="3"/>
    <n v="970"/>
    <n v="2910"/>
    <n v="20"/>
    <n v="582"/>
    <n v="2328"/>
    <n v="4"/>
    <x v="0"/>
  </r>
  <r>
    <x v="462"/>
    <x v="190"/>
    <x v="0"/>
    <x v="22"/>
    <x v="10"/>
    <x v="6"/>
    <x v="0"/>
    <x v="0"/>
    <x v="3"/>
    <n v="4"/>
    <n v="416"/>
    <n v="1664"/>
    <n v="15"/>
    <n v="250"/>
    <n v="1414"/>
    <n v="4.9000000000000004"/>
    <x v="0"/>
  </r>
  <r>
    <x v="463"/>
    <x v="190"/>
    <x v="0"/>
    <x v="22"/>
    <x v="1"/>
    <x v="8"/>
    <x v="1"/>
    <x v="1"/>
    <x v="3"/>
    <n v="4"/>
    <n v="800"/>
    <n v="3200"/>
    <n v="25"/>
    <n v="800"/>
    <n v="2400"/>
    <n v="3.7"/>
    <x v="1"/>
  </r>
  <r>
    <x v="464"/>
    <x v="190"/>
    <x v="3"/>
    <x v="5"/>
    <x v="2"/>
    <x v="5"/>
    <x v="0"/>
    <x v="0"/>
    <x v="2"/>
    <n v="4"/>
    <n v="448"/>
    <n v="1792"/>
    <n v="0"/>
    <n v="0"/>
    <n v="1792"/>
    <n v="3.5"/>
    <x v="0"/>
  </r>
  <r>
    <x v="465"/>
    <x v="190"/>
    <x v="5"/>
    <x v="11"/>
    <x v="5"/>
    <x v="5"/>
    <x v="1"/>
    <x v="0"/>
    <x v="4"/>
    <n v="2"/>
    <n v="1574"/>
    <n v="3148"/>
    <n v="5"/>
    <n v="157"/>
    <n v="2991"/>
    <n v="3.9"/>
    <x v="0"/>
  </r>
  <r>
    <x v="466"/>
    <x v="190"/>
    <x v="3"/>
    <x v="5"/>
    <x v="8"/>
    <x v="1"/>
    <x v="1"/>
    <x v="1"/>
    <x v="2"/>
    <n v="3"/>
    <n v="178"/>
    <n v="534"/>
    <n v="0"/>
    <n v="0"/>
    <n v="534"/>
    <n v="4.2"/>
    <x v="0"/>
  </r>
  <r>
    <x v="467"/>
    <x v="190"/>
    <x v="0"/>
    <x v="18"/>
    <x v="0"/>
    <x v="1"/>
    <x v="0"/>
    <x v="0"/>
    <x v="0"/>
    <n v="5"/>
    <n v="723"/>
    <n v="3615"/>
    <n v="25"/>
    <n v="904"/>
    <n v="2711"/>
    <n v="4.2"/>
    <x v="0"/>
  </r>
  <r>
    <x v="468"/>
    <x v="191"/>
    <x v="5"/>
    <x v="17"/>
    <x v="0"/>
    <x v="2"/>
    <x v="0"/>
    <x v="1"/>
    <x v="1"/>
    <n v="4"/>
    <n v="561"/>
    <n v="2244"/>
    <n v="15"/>
    <n v="337"/>
    <n v="1907"/>
    <n v="3.6"/>
    <x v="0"/>
  </r>
  <r>
    <x v="469"/>
    <x v="192"/>
    <x v="2"/>
    <x v="4"/>
    <x v="1"/>
    <x v="8"/>
    <x v="0"/>
    <x v="1"/>
    <x v="4"/>
    <n v="1"/>
    <n v="774"/>
    <n v="774"/>
    <n v="5"/>
    <n v="39"/>
    <n v="735"/>
    <n v="3.2"/>
    <x v="0"/>
  </r>
  <r>
    <x v="470"/>
    <x v="192"/>
    <x v="4"/>
    <x v="19"/>
    <x v="5"/>
    <x v="1"/>
    <x v="0"/>
    <x v="0"/>
    <x v="3"/>
    <n v="4"/>
    <n v="1863"/>
    <n v="7452"/>
    <n v="25"/>
    <n v="1863"/>
    <n v="5589"/>
    <n v="4.9000000000000004"/>
    <x v="0"/>
  </r>
  <r>
    <x v="471"/>
    <x v="192"/>
    <x v="1"/>
    <x v="1"/>
    <x v="5"/>
    <x v="5"/>
    <x v="0"/>
    <x v="2"/>
    <x v="3"/>
    <n v="2"/>
    <n v="410"/>
    <n v="820"/>
    <n v="15"/>
    <n v="123"/>
    <n v="697"/>
    <n v="4.4000000000000004"/>
    <x v="0"/>
  </r>
  <r>
    <x v="472"/>
    <x v="193"/>
    <x v="3"/>
    <x v="5"/>
    <x v="3"/>
    <x v="4"/>
    <x v="1"/>
    <x v="1"/>
    <x v="1"/>
    <n v="5"/>
    <n v="610"/>
    <n v="3050"/>
    <n v="25"/>
    <n v="762"/>
    <n v="2288"/>
    <n v="4.4000000000000004"/>
    <x v="0"/>
  </r>
  <r>
    <x v="473"/>
    <x v="194"/>
    <x v="4"/>
    <x v="19"/>
    <x v="3"/>
    <x v="7"/>
    <x v="2"/>
    <x v="1"/>
    <x v="2"/>
    <n v="5"/>
    <n v="2220"/>
    <n v="11100"/>
    <n v="30"/>
    <n v="3330"/>
    <n v="7770"/>
    <n v="3.3"/>
    <x v="0"/>
  </r>
  <r>
    <x v="474"/>
    <x v="194"/>
    <x v="3"/>
    <x v="5"/>
    <x v="8"/>
    <x v="8"/>
    <x v="2"/>
    <x v="0"/>
    <x v="2"/>
    <n v="3"/>
    <n v="446"/>
    <n v="1338"/>
    <n v="10"/>
    <n v="134"/>
    <n v="1204"/>
    <n v="3.6"/>
    <x v="0"/>
  </r>
  <r>
    <x v="475"/>
    <x v="194"/>
    <x v="0"/>
    <x v="22"/>
    <x v="0"/>
    <x v="7"/>
    <x v="0"/>
    <x v="1"/>
    <x v="3"/>
    <n v="1"/>
    <n v="390"/>
    <n v="390"/>
    <n v="25"/>
    <n v="98"/>
    <n v="292"/>
    <n v="4.3"/>
    <x v="0"/>
  </r>
  <r>
    <x v="476"/>
    <x v="195"/>
    <x v="2"/>
    <x v="4"/>
    <x v="8"/>
    <x v="0"/>
    <x v="0"/>
    <x v="1"/>
    <x v="4"/>
    <n v="2"/>
    <n v="527"/>
    <n v="1054"/>
    <n v="15"/>
    <n v="158"/>
    <n v="896"/>
    <n v="4.5"/>
    <x v="0"/>
  </r>
  <r>
    <x v="477"/>
    <x v="196"/>
    <x v="2"/>
    <x v="15"/>
    <x v="7"/>
    <x v="5"/>
    <x v="2"/>
    <x v="0"/>
    <x v="2"/>
    <n v="3"/>
    <n v="1023"/>
    <n v="3069"/>
    <n v="20"/>
    <n v="614"/>
    <n v="2455"/>
    <n v="4.9000000000000004"/>
    <x v="0"/>
  </r>
  <r>
    <x v="478"/>
    <x v="196"/>
    <x v="1"/>
    <x v="2"/>
    <x v="6"/>
    <x v="1"/>
    <x v="0"/>
    <x v="1"/>
    <x v="3"/>
    <n v="3"/>
    <n v="748"/>
    <n v="2244"/>
    <n v="20"/>
    <n v="449"/>
    <n v="1795"/>
    <n v="4.0999999999999996"/>
    <x v="0"/>
  </r>
  <r>
    <x v="479"/>
    <x v="197"/>
    <x v="1"/>
    <x v="12"/>
    <x v="6"/>
    <x v="7"/>
    <x v="1"/>
    <x v="1"/>
    <x v="2"/>
    <n v="3"/>
    <n v="231"/>
    <n v="693"/>
    <n v="30"/>
    <n v="208"/>
    <n v="485"/>
    <n v="3.8"/>
    <x v="0"/>
  </r>
  <r>
    <x v="480"/>
    <x v="197"/>
    <x v="2"/>
    <x v="3"/>
    <x v="3"/>
    <x v="6"/>
    <x v="0"/>
    <x v="0"/>
    <x v="3"/>
    <n v="2"/>
    <n v="633"/>
    <n v="1266"/>
    <n v="25"/>
    <n v="316"/>
    <n v="950"/>
    <n v="4.7"/>
    <x v="0"/>
  </r>
  <r>
    <x v="481"/>
    <x v="197"/>
    <x v="5"/>
    <x v="17"/>
    <x v="2"/>
    <x v="6"/>
    <x v="0"/>
    <x v="0"/>
    <x v="2"/>
    <n v="1"/>
    <n v="1334"/>
    <n v="1334"/>
    <n v="0"/>
    <n v="0"/>
    <n v="1334"/>
    <n v="4.3"/>
    <x v="0"/>
  </r>
  <r>
    <x v="482"/>
    <x v="198"/>
    <x v="4"/>
    <x v="19"/>
    <x v="9"/>
    <x v="5"/>
    <x v="1"/>
    <x v="0"/>
    <x v="0"/>
    <n v="3"/>
    <n v="947"/>
    <n v="2841"/>
    <n v="0"/>
    <n v="0"/>
    <n v="2841"/>
    <n v="3.3"/>
    <x v="0"/>
  </r>
  <r>
    <x v="483"/>
    <x v="199"/>
    <x v="3"/>
    <x v="9"/>
    <x v="2"/>
    <x v="1"/>
    <x v="0"/>
    <x v="1"/>
    <x v="0"/>
    <n v="5"/>
    <n v="450"/>
    <n v="2250"/>
    <n v="30"/>
    <n v="675"/>
    <n v="1575"/>
    <n v="3.8"/>
    <x v="0"/>
  </r>
  <r>
    <x v="484"/>
    <x v="200"/>
    <x v="2"/>
    <x v="4"/>
    <x v="0"/>
    <x v="9"/>
    <x v="2"/>
    <x v="1"/>
    <x v="3"/>
    <n v="3"/>
    <n v="490"/>
    <n v="1470"/>
    <n v="10"/>
    <n v="147"/>
    <n v="1323"/>
    <n v="3.4"/>
    <x v="0"/>
  </r>
  <r>
    <x v="485"/>
    <x v="200"/>
    <x v="3"/>
    <x v="5"/>
    <x v="0"/>
    <x v="9"/>
    <x v="1"/>
    <x v="0"/>
    <x v="4"/>
    <n v="4"/>
    <n v="788"/>
    <n v="3152"/>
    <n v="0"/>
    <n v="0"/>
    <n v="3152"/>
    <n v="4.2"/>
    <x v="0"/>
  </r>
  <r>
    <x v="486"/>
    <x v="200"/>
    <x v="2"/>
    <x v="6"/>
    <x v="8"/>
    <x v="4"/>
    <x v="1"/>
    <x v="1"/>
    <x v="2"/>
    <n v="4"/>
    <n v="577"/>
    <n v="2308"/>
    <n v="5"/>
    <n v="115"/>
    <n v="2193"/>
    <n v="3.5"/>
    <x v="0"/>
  </r>
  <r>
    <x v="487"/>
    <x v="201"/>
    <x v="4"/>
    <x v="7"/>
    <x v="0"/>
    <x v="3"/>
    <x v="0"/>
    <x v="1"/>
    <x v="3"/>
    <n v="1"/>
    <n v="1133"/>
    <n v="1133"/>
    <n v="5"/>
    <n v="57"/>
    <n v="1076"/>
    <n v="4.8"/>
    <x v="0"/>
  </r>
  <r>
    <x v="488"/>
    <x v="201"/>
    <x v="4"/>
    <x v="7"/>
    <x v="6"/>
    <x v="9"/>
    <x v="0"/>
    <x v="1"/>
    <x v="2"/>
    <n v="4"/>
    <n v="1840"/>
    <n v="7360"/>
    <n v="15"/>
    <n v="1104"/>
    <n v="6256"/>
    <n v="4.5"/>
    <x v="0"/>
  </r>
  <r>
    <x v="489"/>
    <x v="201"/>
    <x v="4"/>
    <x v="7"/>
    <x v="6"/>
    <x v="8"/>
    <x v="2"/>
    <x v="2"/>
    <x v="0"/>
    <n v="4"/>
    <n v="1703"/>
    <n v="6812"/>
    <n v="20"/>
    <n v="1362"/>
    <n v="5450"/>
    <n v="5"/>
    <x v="0"/>
  </r>
  <r>
    <x v="490"/>
    <x v="201"/>
    <x v="1"/>
    <x v="10"/>
    <x v="11"/>
    <x v="1"/>
    <x v="2"/>
    <x v="1"/>
    <x v="4"/>
    <n v="1"/>
    <n v="963"/>
    <n v="963"/>
    <n v="15"/>
    <n v="144"/>
    <n v="819"/>
    <n v="4.0999999999999996"/>
    <x v="0"/>
  </r>
  <r>
    <x v="491"/>
    <x v="202"/>
    <x v="4"/>
    <x v="19"/>
    <x v="4"/>
    <x v="5"/>
    <x v="0"/>
    <x v="0"/>
    <x v="0"/>
    <n v="4"/>
    <n v="1130"/>
    <n v="4520"/>
    <n v="25"/>
    <n v="1130"/>
    <n v="3390"/>
    <n v="3.9"/>
    <x v="0"/>
  </r>
  <r>
    <x v="492"/>
    <x v="202"/>
    <x v="5"/>
    <x v="14"/>
    <x v="3"/>
    <x v="8"/>
    <x v="0"/>
    <x v="1"/>
    <x v="3"/>
    <n v="2"/>
    <n v="558"/>
    <n v="1116"/>
    <n v="5"/>
    <n v="56"/>
    <n v="1060"/>
    <n v="3.9"/>
    <x v="0"/>
  </r>
  <r>
    <x v="493"/>
    <x v="203"/>
    <x v="0"/>
    <x v="22"/>
    <x v="0"/>
    <x v="5"/>
    <x v="0"/>
    <x v="1"/>
    <x v="2"/>
    <n v="2"/>
    <n v="549"/>
    <n v="1098"/>
    <n v="10"/>
    <n v="110"/>
    <n v="988"/>
    <n v="4.7"/>
    <x v="0"/>
  </r>
  <r>
    <x v="494"/>
    <x v="203"/>
    <x v="4"/>
    <x v="19"/>
    <x v="8"/>
    <x v="7"/>
    <x v="0"/>
    <x v="2"/>
    <x v="0"/>
    <n v="4"/>
    <n v="1697"/>
    <n v="6788"/>
    <n v="20"/>
    <n v="1358"/>
    <n v="5430"/>
    <n v="3.7"/>
    <x v="0"/>
  </r>
  <r>
    <x v="495"/>
    <x v="203"/>
    <x v="1"/>
    <x v="1"/>
    <x v="2"/>
    <x v="7"/>
    <x v="0"/>
    <x v="0"/>
    <x v="0"/>
    <n v="4"/>
    <n v="939"/>
    <n v="3756"/>
    <n v="5"/>
    <n v="188"/>
    <n v="3568"/>
    <n v="4.3"/>
    <x v="0"/>
  </r>
  <r>
    <x v="496"/>
    <x v="203"/>
    <x v="0"/>
    <x v="16"/>
    <x v="2"/>
    <x v="9"/>
    <x v="0"/>
    <x v="1"/>
    <x v="2"/>
    <n v="4"/>
    <n v="174"/>
    <n v="696"/>
    <n v="25"/>
    <n v="174"/>
    <n v="522"/>
    <n v="4"/>
    <x v="0"/>
  </r>
  <r>
    <x v="497"/>
    <x v="204"/>
    <x v="0"/>
    <x v="22"/>
    <x v="7"/>
    <x v="7"/>
    <x v="0"/>
    <x v="0"/>
    <x v="1"/>
    <n v="3"/>
    <n v="962"/>
    <n v="2886"/>
    <n v="30"/>
    <n v="866"/>
    <n v="2020"/>
    <n v="4.3"/>
    <x v="0"/>
  </r>
  <r>
    <x v="498"/>
    <x v="204"/>
    <x v="1"/>
    <x v="10"/>
    <x v="6"/>
    <x v="4"/>
    <x v="1"/>
    <x v="0"/>
    <x v="1"/>
    <n v="5"/>
    <n v="243"/>
    <n v="1215"/>
    <n v="30"/>
    <n v="364"/>
    <n v="851"/>
    <n v="4.7"/>
    <x v="0"/>
  </r>
  <r>
    <x v="499"/>
    <x v="205"/>
    <x v="2"/>
    <x v="8"/>
    <x v="3"/>
    <x v="5"/>
    <x v="0"/>
    <x v="0"/>
    <x v="0"/>
    <n v="1"/>
    <n v="647"/>
    <n v="647"/>
    <n v="15"/>
    <n v="97"/>
    <n v="550"/>
    <n v="4.8"/>
    <x v="0"/>
  </r>
  <r>
    <x v="500"/>
    <x v="206"/>
    <x v="3"/>
    <x v="5"/>
    <x v="10"/>
    <x v="9"/>
    <x v="0"/>
    <x v="1"/>
    <x v="1"/>
    <n v="1"/>
    <n v="524"/>
    <n v="524"/>
    <n v="10"/>
    <n v="52"/>
    <n v="472"/>
    <n v="4.3"/>
    <x v="0"/>
  </r>
  <r>
    <x v="501"/>
    <x v="207"/>
    <x v="1"/>
    <x v="21"/>
    <x v="9"/>
    <x v="5"/>
    <x v="1"/>
    <x v="0"/>
    <x v="1"/>
    <n v="3"/>
    <n v="384"/>
    <n v="1152"/>
    <n v="20"/>
    <n v="230"/>
    <n v="922"/>
    <n v="4.9000000000000004"/>
    <x v="0"/>
  </r>
  <r>
    <x v="502"/>
    <x v="207"/>
    <x v="3"/>
    <x v="13"/>
    <x v="5"/>
    <x v="8"/>
    <x v="1"/>
    <x v="0"/>
    <x v="3"/>
    <n v="1"/>
    <n v="371"/>
    <n v="371"/>
    <n v="30"/>
    <n v="111"/>
    <n v="260"/>
    <n v="4.3"/>
    <x v="0"/>
  </r>
  <r>
    <x v="503"/>
    <x v="208"/>
    <x v="1"/>
    <x v="10"/>
    <x v="1"/>
    <x v="3"/>
    <x v="1"/>
    <x v="1"/>
    <x v="1"/>
    <n v="3"/>
    <n v="513"/>
    <n v="1539"/>
    <n v="0"/>
    <n v="0"/>
    <n v="1539"/>
    <n v="4.8"/>
    <x v="0"/>
  </r>
  <r>
    <x v="504"/>
    <x v="208"/>
    <x v="1"/>
    <x v="2"/>
    <x v="8"/>
    <x v="6"/>
    <x v="1"/>
    <x v="1"/>
    <x v="1"/>
    <n v="1"/>
    <n v="637"/>
    <n v="637"/>
    <n v="15"/>
    <n v="96"/>
    <n v="541"/>
    <n v="4.5999999999999996"/>
    <x v="0"/>
  </r>
  <r>
    <x v="505"/>
    <x v="208"/>
    <x v="3"/>
    <x v="5"/>
    <x v="9"/>
    <x v="6"/>
    <x v="1"/>
    <x v="2"/>
    <x v="4"/>
    <n v="5"/>
    <n v="638"/>
    <n v="3190"/>
    <n v="0"/>
    <n v="0"/>
    <n v="3190"/>
    <n v="4.0999999999999996"/>
    <x v="0"/>
  </r>
  <r>
    <x v="506"/>
    <x v="208"/>
    <x v="1"/>
    <x v="12"/>
    <x v="5"/>
    <x v="9"/>
    <x v="2"/>
    <x v="1"/>
    <x v="2"/>
    <n v="5"/>
    <n v="1184"/>
    <n v="5920"/>
    <n v="25"/>
    <n v="1480"/>
    <n v="4440"/>
    <n v="4.0999999999999996"/>
    <x v="0"/>
  </r>
  <r>
    <x v="507"/>
    <x v="208"/>
    <x v="3"/>
    <x v="5"/>
    <x v="11"/>
    <x v="3"/>
    <x v="0"/>
    <x v="0"/>
    <x v="1"/>
    <n v="2"/>
    <n v="412"/>
    <n v="824"/>
    <n v="5"/>
    <n v="41"/>
    <n v="783"/>
    <n v="3.8"/>
    <x v="0"/>
  </r>
  <r>
    <x v="508"/>
    <x v="209"/>
    <x v="2"/>
    <x v="3"/>
    <x v="3"/>
    <x v="3"/>
    <x v="1"/>
    <x v="0"/>
    <x v="0"/>
    <n v="3"/>
    <n v="1201"/>
    <n v="3603"/>
    <n v="0"/>
    <n v="0"/>
    <n v="3603"/>
    <n v="4.4000000000000004"/>
    <x v="0"/>
  </r>
  <r>
    <x v="509"/>
    <x v="210"/>
    <x v="4"/>
    <x v="7"/>
    <x v="5"/>
    <x v="7"/>
    <x v="0"/>
    <x v="0"/>
    <x v="1"/>
    <n v="1"/>
    <n v="1393"/>
    <n v="1393"/>
    <n v="0"/>
    <n v="0"/>
    <n v="1393"/>
    <n v="3.8"/>
    <x v="0"/>
  </r>
  <r>
    <x v="510"/>
    <x v="210"/>
    <x v="4"/>
    <x v="20"/>
    <x v="11"/>
    <x v="7"/>
    <x v="0"/>
    <x v="1"/>
    <x v="4"/>
    <n v="3"/>
    <n v="687"/>
    <n v="2061"/>
    <n v="20"/>
    <n v="412"/>
    <n v="1649"/>
    <n v="4.5"/>
    <x v="0"/>
  </r>
  <r>
    <x v="511"/>
    <x v="210"/>
    <x v="2"/>
    <x v="15"/>
    <x v="2"/>
    <x v="2"/>
    <x v="1"/>
    <x v="1"/>
    <x v="1"/>
    <n v="3"/>
    <n v="596"/>
    <n v="1788"/>
    <n v="15"/>
    <n v="268"/>
    <n v="1520"/>
    <n v="3.6"/>
    <x v="0"/>
  </r>
  <r>
    <x v="512"/>
    <x v="211"/>
    <x v="4"/>
    <x v="20"/>
    <x v="5"/>
    <x v="6"/>
    <x v="0"/>
    <x v="0"/>
    <x v="2"/>
    <n v="1"/>
    <n v="1183"/>
    <n v="1183"/>
    <n v="25"/>
    <n v="296"/>
    <n v="887"/>
    <n v="4.2"/>
    <x v="0"/>
  </r>
  <r>
    <x v="513"/>
    <x v="212"/>
    <x v="1"/>
    <x v="2"/>
    <x v="1"/>
    <x v="7"/>
    <x v="0"/>
    <x v="1"/>
    <x v="4"/>
    <n v="5"/>
    <n v="719"/>
    <n v="3595"/>
    <n v="30"/>
    <n v="1078"/>
    <n v="2517"/>
    <n v="4.0999999999999996"/>
    <x v="0"/>
  </r>
  <r>
    <x v="514"/>
    <x v="213"/>
    <x v="3"/>
    <x v="13"/>
    <x v="3"/>
    <x v="7"/>
    <x v="0"/>
    <x v="1"/>
    <x v="2"/>
    <n v="3"/>
    <n v="584"/>
    <n v="1752"/>
    <n v="30"/>
    <n v="526"/>
    <n v="1226"/>
    <n v="3.9"/>
    <x v="0"/>
  </r>
  <r>
    <x v="515"/>
    <x v="214"/>
    <x v="1"/>
    <x v="1"/>
    <x v="5"/>
    <x v="7"/>
    <x v="1"/>
    <x v="1"/>
    <x v="4"/>
    <n v="1"/>
    <n v="383"/>
    <n v="383"/>
    <n v="15"/>
    <n v="57"/>
    <n v="326"/>
    <n v="4.5999999999999996"/>
    <x v="0"/>
  </r>
  <r>
    <x v="516"/>
    <x v="215"/>
    <x v="0"/>
    <x v="16"/>
    <x v="9"/>
    <x v="9"/>
    <x v="0"/>
    <x v="1"/>
    <x v="2"/>
    <n v="5"/>
    <n v="503"/>
    <n v="2515"/>
    <n v="10"/>
    <n v="252"/>
    <n v="2263"/>
    <n v="4.5"/>
    <x v="0"/>
  </r>
  <r>
    <x v="517"/>
    <x v="216"/>
    <x v="2"/>
    <x v="15"/>
    <x v="6"/>
    <x v="5"/>
    <x v="0"/>
    <x v="2"/>
    <x v="3"/>
    <n v="4"/>
    <n v="843"/>
    <n v="3372"/>
    <n v="25"/>
    <n v="843"/>
    <n v="2529"/>
    <n v="4.9000000000000004"/>
    <x v="0"/>
  </r>
  <r>
    <x v="518"/>
    <x v="216"/>
    <x v="1"/>
    <x v="1"/>
    <x v="3"/>
    <x v="0"/>
    <x v="0"/>
    <x v="1"/>
    <x v="0"/>
    <n v="1"/>
    <n v="455"/>
    <n v="455"/>
    <n v="5"/>
    <n v="23"/>
    <n v="432"/>
    <n v="3.2"/>
    <x v="0"/>
  </r>
  <r>
    <x v="519"/>
    <x v="217"/>
    <x v="4"/>
    <x v="19"/>
    <x v="0"/>
    <x v="7"/>
    <x v="0"/>
    <x v="1"/>
    <x v="2"/>
    <n v="2"/>
    <n v="678"/>
    <n v="1356"/>
    <n v="10"/>
    <n v="136"/>
    <n v="1220"/>
    <n v="3.6"/>
    <x v="1"/>
  </r>
  <r>
    <x v="520"/>
    <x v="217"/>
    <x v="0"/>
    <x v="0"/>
    <x v="11"/>
    <x v="2"/>
    <x v="0"/>
    <x v="2"/>
    <x v="4"/>
    <n v="2"/>
    <n v="995"/>
    <n v="1990"/>
    <n v="10"/>
    <n v="199"/>
    <n v="1791"/>
    <n v="4.5"/>
    <x v="0"/>
  </r>
  <r>
    <x v="521"/>
    <x v="218"/>
    <x v="2"/>
    <x v="3"/>
    <x v="9"/>
    <x v="6"/>
    <x v="2"/>
    <x v="1"/>
    <x v="1"/>
    <n v="3"/>
    <n v="802"/>
    <n v="2406"/>
    <n v="20"/>
    <n v="481"/>
    <n v="1925"/>
    <n v="3.6"/>
    <x v="0"/>
  </r>
  <r>
    <x v="522"/>
    <x v="218"/>
    <x v="3"/>
    <x v="9"/>
    <x v="5"/>
    <x v="3"/>
    <x v="1"/>
    <x v="0"/>
    <x v="4"/>
    <n v="2"/>
    <n v="752"/>
    <n v="1504"/>
    <n v="15"/>
    <n v="226"/>
    <n v="1278"/>
    <n v="4.8"/>
    <x v="0"/>
  </r>
  <r>
    <x v="523"/>
    <x v="218"/>
    <x v="5"/>
    <x v="14"/>
    <x v="8"/>
    <x v="6"/>
    <x v="0"/>
    <x v="1"/>
    <x v="4"/>
    <n v="2"/>
    <n v="2295"/>
    <n v="4590"/>
    <n v="10"/>
    <n v="459"/>
    <n v="4131"/>
    <n v="4"/>
    <x v="0"/>
  </r>
  <r>
    <x v="524"/>
    <x v="219"/>
    <x v="0"/>
    <x v="16"/>
    <x v="6"/>
    <x v="0"/>
    <x v="0"/>
    <x v="0"/>
    <x v="1"/>
    <n v="2"/>
    <n v="233"/>
    <n v="466"/>
    <n v="0"/>
    <n v="0"/>
    <n v="466"/>
    <n v="3.8"/>
    <x v="0"/>
  </r>
  <r>
    <x v="525"/>
    <x v="219"/>
    <x v="4"/>
    <x v="19"/>
    <x v="4"/>
    <x v="6"/>
    <x v="2"/>
    <x v="2"/>
    <x v="0"/>
    <n v="2"/>
    <n v="1488"/>
    <n v="2976"/>
    <n v="20"/>
    <n v="595"/>
    <n v="2381"/>
    <n v="3.8"/>
    <x v="0"/>
  </r>
  <r>
    <x v="526"/>
    <x v="219"/>
    <x v="4"/>
    <x v="7"/>
    <x v="6"/>
    <x v="1"/>
    <x v="0"/>
    <x v="0"/>
    <x v="1"/>
    <n v="5"/>
    <n v="1678"/>
    <n v="8390"/>
    <n v="5"/>
    <n v="420"/>
    <n v="7970"/>
    <n v="3.9"/>
    <x v="0"/>
  </r>
  <r>
    <x v="527"/>
    <x v="220"/>
    <x v="5"/>
    <x v="17"/>
    <x v="5"/>
    <x v="8"/>
    <x v="0"/>
    <x v="0"/>
    <x v="1"/>
    <n v="5"/>
    <n v="1047"/>
    <n v="5235"/>
    <n v="30"/>
    <n v="1570"/>
    <n v="3665"/>
    <n v="4.5999999999999996"/>
    <x v="0"/>
  </r>
  <r>
    <x v="528"/>
    <x v="221"/>
    <x v="2"/>
    <x v="15"/>
    <x v="3"/>
    <x v="3"/>
    <x v="0"/>
    <x v="1"/>
    <x v="2"/>
    <n v="1"/>
    <n v="516"/>
    <n v="516"/>
    <n v="10"/>
    <n v="52"/>
    <n v="464"/>
    <n v="5"/>
    <x v="0"/>
  </r>
  <r>
    <x v="529"/>
    <x v="221"/>
    <x v="1"/>
    <x v="10"/>
    <x v="7"/>
    <x v="3"/>
    <x v="0"/>
    <x v="1"/>
    <x v="2"/>
    <n v="4"/>
    <n v="383"/>
    <n v="1532"/>
    <n v="20"/>
    <n v="306"/>
    <n v="1226"/>
    <n v="3.3"/>
    <x v="0"/>
  </r>
  <r>
    <x v="530"/>
    <x v="221"/>
    <x v="5"/>
    <x v="11"/>
    <x v="11"/>
    <x v="2"/>
    <x v="1"/>
    <x v="1"/>
    <x v="3"/>
    <n v="4"/>
    <n v="1624"/>
    <n v="6496"/>
    <n v="30"/>
    <n v="1949"/>
    <n v="4547"/>
    <n v="3.6"/>
    <x v="0"/>
  </r>
  <r>
    <x v="531"/>
    <x v="222"/>
    <x v="2"/>
    <x v="3"/>
    <x v="5"/>
    <x v="2"/>
    <x v="0"/>
    <x v="1"/>
    <x v="0"/>
    <n v="4"/>
    <n v="1390"/>
    <n v="5560"/>
    <n v="20"/>
    <n v="1112"/>
    <n v="4448"/>
    <n v="4.4000000000000004"/>
    <x v="0"/>
  </r>
  <r>
    <x v="532"/>
    <x v="222"/>
    <x v="5"/>
    <x v="11"/>
    <x v="10"/>
    <x v="4"/>
    <x v="1"/>
    <x v="1"/>
    <x v="4"/>
    <n v="2"/>
    <n v="1233"/>
    <n v="2466"/>
    <n v="15"/>
    <n v="370"/>
    <n v="2096"/>
    <n v="3.4"/>
    <x v="0"/>
  </r>
  <r>
    <x v="533"/>
    <x v="222"/>
    <x v="2"/>
    <x v="8"/>
    <x v="11"/>
    <x v="2"/>
    <x v="0"/>
    <x v="2"/>
    <x v="4"/>
    <n v="1"/>
    <n v="507"/>
    <n v="507"/>
    <n v="30"/>
    <n v="152"/>
    <n v="355"/>
    <n v="3.6"/>
    <x v="0"/>
  </r>
  <r>
    <x v="534"/>
    <x v="222"/>
    <x v="0"/>
    <x v="16"/>
    <x v="10"/>
    <x v="5"/>
    <x v="0"/>
    <x v="1"/>
    <x v="0"/>
    <n v="3"/>
    <n v="856"/>
    <n v="2568"/>
    <n v="0"/>
    <n v="0"/>
    <n v="2568"/>
    <n v="4.4000000000000004"/>
    <x v="1"/>
  </r>
  <r>
    <x v="535"/>
    <x v="223"/>
    <x v="3"/>
    <x v="5"/>
    <x v="2"/>
    <x v="5"/>
    <x v="1"/>
    <x v="0"/>
    <x v="0"/>
    <n v="2"/>
    <n v="411"/>
    <n v="822"/>
    <n v="20"/>
    <n v="164"/>
    <n v="658"/>
    <n v="3.6"/>
    <x v="0"/>
  </r>
  <r>
    <x v="536"/>
    <x v="224"/>
    <x v="4"/>
    <x v="20"/>
    <x v="7"/>
    <x v="0"/>
    <x v="1"/>
    <x v="1"/>
    <x v="0"/>
    <n v="1"/>
    <n v="1366"/>
    <n v="1366"/>
    <n v="5"/>
    <n v="68"/>
    <n v="1298"/>
    <n v="3.4"/>
    <x v="0"/>
  </r>
  <r>
    <x v="537"/>
    <x v="225"/>
    <x v="3"/>
    <x v="13"/>
    <x v="9"/>
    <x v="1"/>
    <x v="0"/>
    <x v="0"/>
    <x v="4"/>
    <n v="2"/>
    <n v="627"/>
    <n v="1254"/>
    <n v="15"/>
    <n v="188"/>
    <n v="1066"/>
    <n v="4.9000000000000004"/>
    <x v="0"/>
  </r>
  <r>
    <x v="538"/>
    <x v="226"/>
    <x v="3"/>
    <x v="13"/>
    <x v="8"/>
    <x v="4"/>
    <x v="0"/>
    <x v="2"/>
    <x v="4"/>
    <n v="4"/>
    <n v="378"/>
    <n v="1512"/>
    <n v="30"/>
    <n v="454"/>
    <n v="1058"/>
    <n v="3.8"/>
    <x v="0"/>
  </r>
  <r>
    <x v="539"/>
    <x v="226"/>
    <x v="0"/>
    <x v="18"/>
    <x v="8"/>
    <x v="1"/>
    <x v="0"/>
    <x v="0"/>
    <x v="2"/>
    <n v="5"/>
    <n v="247"/>
    <n v="1235"/>
    <n v="10"/>
    <n v="124"/>
    <n v="1111"/>
    <n v="4.9000000000000004"/>
    <x v="0"/>
  </r>
  <r>
    <x v="540"/>
    <x v="226"/>
    <x v="3"/>
    <x v="5"/>
    <x v="11"/>
    <x v="5"/>
    <x v="0"/>
    <x v="1"/>
    <x v="1"/>
    <n v="4"/>
    <n v="737"/>
    <n v="2948"/>
    <n v="5"/>
    <n v="147"/>
    <n v="2801"/>
    <n v="4.7"/>
    <x v="0"/>
  </r>
  <r>
    <x v="541"/>
    <x v="226"/>
    <x v="3"/>
    <x v="9"/>
    <x v="0"/>
    <x v="5"/>
    <x v="0"/>
    <x v="1"/>
    <x v="3"/>
    <n v="4"/>
    <n v="559"/>
    <n v="2236"/>
    <n v="25"/>
    <n v="559"/>
    <n v="1677"/>
    <n v="4.9000000000000004"/>
    <x v="0"/>
  </r>
  <r>
    <x v="542"/>
    <x v="226"/>
    <x v="2"/>
    <x v="4"/>
    <x v="3"/>
    <x v="9"/>
    <x v="2"/>
    <x v="0"/>
    <x v="2"/>
    <n v="3"/>
    <n v="1227"/>
    <n v="3681"/>
    <n v="10"/>
    <n v="368"/>
    <n v="3313"/>
    <n v="3.8"/>
    <x v="0"/>
  </r>
  <r>
    <x v="543"/>
    <x v="227"/>
    <x v="0"/>
    <x v="16"/>
    <x v="1"/>
    <x v="3"/>
    <x v="0"/>
    <x v="1"/>
    <x v="0"/>
    <n v="2"/>
    <n v="189"/>
    <n v="378"/>
    <n v="15"/>
    <n v="57"/>
    <n v="321"/>
    <n v="4.2"/>
    <x v="0"/>
  </r>
  <r>
    <x v="544"/>
    <x v="227"/>
    <x v="3"/>
    <x v="9"/>
    <x v="0"/>
    <x v="3"/>
    <x v="0"/>
    <x v="1"/>
    <x v="4"/>
    <n v="4"/>
    <n v="614"/>
    <n v="2456"/>
    <n v="15"/>
    <n v="368"/>
    <n v="2088"/>
    <n v="4.0999999999999996"/>
    <x v="0"/>
  </r>
  <r>
    <x v="545"/>
    <x v="227"/>
    <x v="2"/>
    <x v="4"/>
    <x v="0"/>
    <x v="3"/>
    <x v="2"/>
    <x v="0"/>
    <x v="4"/>
    <n v="4"/>
    <n v="1061"/>
    <n v="4244"/>
    <n v="15"/>
    <n v="637"/>
    <n v="3607"/>
    <n v="4.9000000000000004"/>
    <x v="0"/>
  </r>
  <r>
    <x v="546"/>
    <x v="228"/>
    <x v="4"/>
    <x v="7"/>
    <x v="3"/>
    <x v="8"/>
    <x v="1"/>
    <x v="2"/>
    <x v="1"/>
    <n v="5"/>
    <n v="421"/>
    <n v="2105"/>
    <n v="0"/>
    <n v="0"/>
    <n v="2105"/>
    <n v="4.7"/>
    <x v="0"/>
  </r>
  <r>
    <x v="547"/>
    <x v="228"/>
    <x v="2"/>
    <x v="15"/>
    <x v="1"/>
    <x v="3"/>
    <x v="1"/>
    <x v="0"/>
    <x v="2"/>
    <n v="4"/>
    <n v="905"/>
    <n v="3620"/>
    <n v="20"/>
    <n v="724"/>
    <n v="2896"/>
    <n v="3.8"/>
    <x v="0"/>
  </r>
  <r>
    <x v="548"/>
    <x v="228"/>
    <x v="5"/>
    <x v="11"/>
    <x v="1"/>
    <x v="4"/>
    <x v="1"/>
    <x v="1"/>
    <x v="3"/>
    <n v="4"/>
    <n v="1596"/>
    <n v="6384"/>
    <n v="5"/>
    <n v="319"/>
    <n v="6065"/>
    <n v="4.7"/>
    <x v="1"/>
  </r>
  <r>
    <x v="549"/>
    <x v="229"/>
    <x v="1"/>
    <x v="10"/>
    <x v="9"/>
    <x v="4"/>
    <x v="1"/>
    <x v="2"/>
    <x v="2"/>
    <n v="4"/>
    <n v="678"/>
    <n v="2712"/>
    <n v="25"/>
    <n v="678"/>
    <n v="2034"/>
    <n v="4.3"/>
    <x v="0"/>
  </r>
  <r>
    <x v="550"/>
    <x v="229"/>
    <x v="2"/>
    <x v="15"/>
    <x v="3"/>
    <x v="9"/>
    <x v="0"/>
    <x v="1"/>
    <x v="1"/>
    <n v="4"/>
    <n v="867"/>
    <n v="3468"/>
    <n v="10"/>
    <n v="347"/>
    <n v="3121"/>
    <n v="4.3"/>
    <x v="0"/>
  </r>
  <r>
    <x v="551"/>
    <x v="229"/>
    <x v="3"/>
    <x v="5"/>
    <x v="4"/>
    <x v="2"/>
    <x v="2"/>
    <x v="1"/>
    <x v="2"/>
    <n v="5"/>
    <n v="722"/>
    <n v="3610"/>
    <n v="15"/>
    <n v="542"/>
    <n v="3068"/>
    <n v="3.7"/>
    <x v="0"/>
  </r>
  <r>
    <x v="552"/>
    <x v="230"/>
    <x v="4"/>
    <x v="7"/>
    <x v="0"/>
    <x v="2"/>
    <x v="1"/>
    <x v="1"/>
    <x v="0"/>
    <n v="2"/>
    <n v="2441"/>
    <n v="4882"/>
    <n v="25"/>
    <n v="1220"/>
    <n v="3662"/>
    <n v="3.3"/>
    <x v="0"/>
  </r>
  <r>
    <x v="553"/>
    <x v="230"/>
    <x v="4"/>
    <x v="20"/>
    <x v="10"/>
    <x v="2"/>
    <x v="0"/>
    <x v="1"/>
    <x v="4"/>
    <n v="1"/>
    <n v="629"/>
    <n v="629"/>
    <n v="25"/>
    <n v="157"/>
    <n v="472"/>
    <n v="5"/>
    <x v="0"/>
  </r>
  <r>
    <x v="554"/>
    <x v="230"/>
    <x v="4"/>
    <x v="19"/>
    <x v="0"/>
    <x v="0"/>
    <x v="0"/>
    <x v="1"/>
    <x v="0"/>
    <n v="4"/>
    <n v="1030"/>
    <n v="4120"/>
    <n v="5"/>
    <n v="206"/>
    <n v="3914"/>
    <n v="4.4000000000000004"/>
    <x v="0"/>
  </r>
  <r>
    <x v="555"/>
    <x v="231"/>
    <x v="0"/>
    <x v="22"/>
    <x v="7"/>
    <x v="2"/>
    <x v="2"/>
    <x v="1"/>
    <x v="4"/>
    <n v="2"/>
    <n v="891"/>
    <n v="1782"/>
    <n v="0"/>
    <n v="0"/>
    <n v="1782"/>
    <n v="4.4000000000000004"/>
    <x v="0"/>
  </r>
  <r>
    <x v="556"/>
    <x v="232"/>
    <x v="4"/>
    <x v="19"/>
    <x v="8"/>
    <x v="6"/>
    <x v="0"/>
    <x v="1"/>
    <x v="2"/>
    <n v="3"/>
    <n v="1916"/>
    <n v="5748"/>
    <n v="25"/>
    <n v="1437"/>
    <n v="4311"/>
    <n v="4.5"/>
    <x v="0"/>
  </r>
  <r>
    <x v="557"/>
    <x v="233"/>
    <x v="2"/>
    <x v="15"/>
    <x v="10"/>
    <x v="8"/>
    <x v="0"/>
    <x v="1"/>
    <x v="1"/>
    <n v="2"/>
    <n v="511"/>
    <n v="1022"/>
    <n v="0"/>
    <n v="0"/>
    <n v="1022"/>
    <n v="4.9000000000000004"/>
    <x v="0"/>
  </r>
  <r>
    <x v="558"/>
    <x v="233"/>
    <x v="4"/>
    <x v="20"/>
    <x v="5"/>
    <x v="5"/>
    <x v="0"/>
    <x v="0"/>
    <x v="4"/>
    <n v="2"/>
    <n v="759"/>
    <n v="1518"/>
    <n v="20"/>
    <n v="304"/>
    <n v="1214"/>
    <n v="4.5"/>
    <x v="0"/>
  </r>
  <r>
    <x v="559"/>
    <x v="233"/>
    <x v="5"/>
    <x v="14"/>
    <x v="5"/>
    <x v="9"/>
    <x v="2"/>
    <x v="1"/>
    <x v="0"/>
    <n v="1"/>
    <n v="2106"/>
    <n v="2106"/>
    <n v="5"/>
    <n v="105"/>
    <n v="2001"/>
    <n v="4.8"/>
    <x v="0"/>
  </r>
  <r>
    <x v="560"/>
    <x v="233"/>
    <x v="2"/>
    <x v="4"/>
    <x v="2"/>
    <x v="9"/>
    <x v="0"/>
    <x v="0"/>
    <x v="1"/>
    <n v="2"/>
    <n v="1157"/>
    <n v="2314"/>
    <n v="25"/>
    <n v="578"/>
    <n v="1736"/>
    <n v="3.2"/>
    <x v="0"/>
  </r>
  <r>
    <x v="561"/>
    <x v="234"/>
    <x v="1"/>
    <x v="21"/>
    <x v="3"/>
    <x v="3"/>
    <x v="0"/>
    <x v="0"/>
    <x v="2"/>
    <n v="2"/>
    <n v="1161"/>
    <n v="2322"/>
    <n v="0"/>
    <n v="0"/>
    <n v="2322"/>
    <n v="4"/>
    <x v="0"/>
  </r>
  <r>
    <x v="562"/>
    <x v="234"/>
    <x v="5"/>
    <x v="17"/>
    <x v="8"/>
    <x v="7"/>
    <x v="0"/>
    <x v="0"/>
    <x v="4"/>
    <n v="5"/>
    <n v="598"/>
    <n v="2990"/>
    <n v="0"/>
    <n v="0"/>
    <n v="2990"/>
    <n v="3.5"/>
    <x v="0"/>
  </r>
  <r>
    <x v="563"/>
    <x v="234"/>
    <x v="0"/>
    <x v="16"/>
    <x v="11"/>
    <x v="1"/>
    <x v="0"/>
    <x v="1"/>
    <x v="1"/>
    <n v="5"/>
    <n v="979"/>
    <n v="4895"/>
    <n v="20"/>
    <n v="979"/>
    <n v="3916"/>
    <n v="4.3"/>
    <x v="1"/>
  </r>
  <r>
    <x v="564"/>
    <x v="234"/>
    <x v="5"/>
    <x v="14"/>
    <x v="6"/>
    <x v="5"/>
    <x v="0"/>
    <x v="1"/>
    <x v="1"/>
    <n v="5"/>
    <n v="1452"/>
    <n v="7260"/>
    <n v="25"/>
    <n v="1815"/>
    <n v="5445"/>
    <n v="4.9000000000000004"/>
    <x v="0"/>
  </r>
  <r>
    <x v="565"/>
    <x v="235"/>
    <x v="0"/>
    <x v="18"/>
    <x v="2"/>
    <x v="8"/>
    <x v="0"/>
    <x v="1"/>
    <x v="2"/>
    <n v="5"/>
    <n v="587"/>
    <n v="2935"/>
    <n v="15"/>
    <n v="440"/>
    <n v="2495"/>
    <n v="3.7"/>
    <x v="0"/>
  </r>
  <r>
    <x v="566"/>
    <x v="235"/>
    <x v="0"/>
    <x v="18"/>
    <x v="11"/>
    <x v="7"/>
    <x v="0"/>
    <x v="1"/>
    <x v="1"/>
    <n v="5"/>
    <n v="560"/>
    <n v="2800"/>
    <n v="25"/>
    <n v="700"/>
    <n v="2100"/>
    <n v="5"/>
    <x v="0"/>
  </r>
  <r>
    <x v="567"/>
    <x v="236"/>
    <x v="5"/>
    <x v="14"/>
    <x v="11"/>
    <x v="9"/>
    <x v="2"/>
    <x v="0"/>
    <x v="0"/>
    <n v="1"/>
    <n v="2385"/>
    <n v="2385"/>
    <n v="5"/>
    <n v="119"/>
    <n v="2266"/>
    <n v="3.6"/>
    <x v="0"/>
  </r>
  <r>
    <x v="568"/>
    <x v="236"/>
    <x v="0"/>
    <x v="22"/>
    <x v="0"/>
    <x v="4"/>
    <x v="0"/>
    <x v="0"/>
    <x v="4"/>
    <n v="2"/>
    <n v="651"/>
    <n v="1302"/>
    <n v="15"/>
    <n v="195"/>
    <n v="1107"/>
    <n v="4.3"/>
    <x v="0"/>
  </r>
  <r>
    <x v="569"/>
    <x v="237"/>
    <x v="4"/>
    <x v="19"/>
    <x v="7"/>
    <x v="4"/>
    <x v="1"/>
    <x v="2"/>
    <x v="3"/>
    <n v="3"/>
    <n v="1467"/>
    <n v="4401"/>
    <n v="0"/>
    <n v="0"/>
    <n v="4401"/>
    <n v="5"/>
    <x v="0"/>
  </r>
  <r>
    <x v="570"/>
    <x v="237"/>
    <x v="3"/>
    <x v="9"/>
    <x v="9"/>
    <x v="9"/>
    <x v="0"/>
    <x v="1"/>
    <x v="0"/>
    <n v="1"/>
    <n v="646"/>
    <n v="646"/>
    <n v="15"/>
    <n v="97"/>
    <n v="549"/>
    <n v="3.4"/>
    <x v="0"/>
  </r>
  <r>
    <x v="571"/>
    <x v="237"/>
    <x v="3"/>
    <x v="9"/>
    <x v="0"/>
    <x v="1"/>
    <x v="0"/>
    <x v="0"/>
    <x v="4"/>
    <n v="2"/>
    <n v="710"/>
    <n v="1420"/>
    <n v="10"/>
    <n v="142"/>
    <n v="1278"/>
    <n v="4.4000000000000004"/>
    <x v="0"/>
  </r>
  <r>
    <x v="572"/>
    <x v="238"/>
    <x v="5"/>
    <x v="11"/>
    <x v="10"/>
    <x v="7"/>
    <x v="0"/>
    <x v="1"/>
    <x v="4"/>
    <n v="4"/>
    <n v="785"/>
    <n v="3140"/>
    <n v="20"/>
    <n v="628"/>
    <n v="2512"/>
    <n v="4"/>
    <x v="0"/>
  </r>
  <r>
    <x v="573"/>
    <x v="238"/>
    <x v="1"/>
    <x v="1"/>
    <x v="9"/>
    <x v="8"/>
    <x v="0"/>
    <x v="1"/>
    <x v="4"/>
    <n v="5"/>
    <n v="375"/>
    <n v="1875"/>
    <n v="20"/>
    <n v="375"/>
    <n v="1500"/>
    <n v="3.5"/>
    <x v="0"/>
  </r>
  <r>
    <x v="574"/>
    <x v="239"/>
    <x v="0"/>
    <x v="16"/>
    <x v="10"/>
    <x v="2"/>
    <x v="0"/>
    <x v="0"/>
    <x v="1"/>
    <n v="2"/>
    <n v="458"/>
    <n v="916"/>
    <n v="25"/>
    <n v="229"/>
    <n v="687"/>
    <n v="3.9"/>
    <x v="0"/>
  </r>
  <r>
    <x v="575"/>
    <x v="240"/>
    <x v="1"/>
    <x v="12"/>
    <x v="11"/>
    <x v="0"/>
    <x v="0"/>
    <x v="1"/>
    <x v="1"/>
    <n v="2"/>
    <n v="595"/>
    <n v="1190"/>
    <n v="0"/>
    <n v="0"/>
    <n v="1190"/>
    <n v="4.8"/>
    <x v="0"/>
  </r>
  <r>
    <x v="576"/>
    <x v="240"/>
    <x v="2"/>
    <x v="3"/>
    <x v="3"/>
    <x v="2"/>
    <x v="0"/>
    <x v="0"/>
    <x v="2"/>
    <n v="4"/>
    <n v="1261"/>
    <n v="5044"/>
    <n v="15"/>
    <n v="757"/>
    <n v="4287"/>
    <n v="3.4"/>
    <x v="0"/>
  </r>
  <r>
    <x v="577"/>
    <x v="241"/>
    <x v="3"/>
    <x v="9"/>
    <x v="9"/>
    <x v="6"/>
    <x v="0"/>
    <x v="2"/>
    <x v="2"/>
    <n v="5"/>
    <n v="741"/>
    <n v="3705"/>
    <n v="0"/>
    <n v="0"/>
    <n v="3705"/>
    <n v="4.7"/>
    <x v="0"/>
  </r>
  <r>
    <x v="578"/>
    <x v="242"/>
    <x v="1"/>
    <x v="12"/>
    <x v="6"/>
    <x v="6"/>
    <x v="1"/>
    <x v="1"/>
    <x v="3"/>
    <n v="2"/>
    <n v="562"/>
    <n v="1124"/>
    <n v="15"/>
    <n v="169"/>
    <n v="955"/>
    <n v="4.2"/>
    <x v="0"/>
  </r>
  <r>
    <x v="579"/>
    <x v="242"/>
    <x v="3"/>
    <x v="9"/>
    <x v="11"/>
    <x v="7"/>
    <x v="0"/>
    <x v="1"/>
    <x v="1"/>
    <n v="3"/>
    <n v="748"/>
    <n v="2244"/>
    <n v="5"/>
    <n v="112"/>
    <n v="2132"/>
    <n v="5"/>
    <x v="0"/>
  </r>
  <r>
    <x v="580"/>
    <x v="242"/>
    <x v="0"/>
    <x v="16"/>
    <x v="5"/>
    <x v="7"/>
    <x v="1"/>
    <x v="0"/>
    <x v="0"/>
    <n v="2"/>
    <n v="206"/>
    <n v="412"/>
    <n v="0"/>
    <n v="0"/>
    <n v="412"/>
    <n v="4.7"/>
    <x v="0"/>
  </r>
  <r>
    <x v="581"/>
    <x v="243"/>
    <x v="1"/>
    <x v="1"/>
    <x v="4"/>
    <x v="3"/>
    <x v="0"/>
    <x v="1"/>
    <x v="4"/>
    <n v="3"/>
    <n v="917"/>
    <n v="2751"/>
    <n v="5"/>
    <n v="138"/>
    <n v="2613"/>
    <n v="3.2"/>
    <x v="1"/>
  </r>
  <r>
    <x v="582"/>
    <x v="244"/>
    <x v="4"/>
    <x v="19"/>
    <x v="7"/>
    <x v="2"/>
    <x v="1"/>
    <x v="1"/>
    <x v="4"/>
    <n v="3"/>
    <n v="1815"/>
    <n v="5445"/>
    <n v="25"/>
    <n v="1361"/>
    <n v="4084"/>
    <n v="4.4000000000000004"/>
    <x v="0"/>
  </r>
  <r>
    <x v="583"/>
    <x v="244"/>
    <x v="3"/>
    <x v="9"/>
    <x v="2"/>
    <x v="7"/>
    <x v="2"/>
    <x v="0"/>
    <x v="3"/>
    <n v="4"/>
    <n v="583"/>
    <n v="2332"/>
    <n v="20"/>
    <n v="466"/>
    <n v="1866"/>
    <n v="4.3"/>
    <x v="1"/>
  </r>
  <r>
    <x v="584"/>
    <x v="245"/>
    <x v="1"/>
    <x v="10"/>
    <x v="2"/>
    <x v="2"/>
    <x v="2"/>
    <x v="1"/>
    <x v="3"/>
    <n v="4"/>
    <n v="466"/>
    <n v="1864"/>
    <n v="5"/>
    <n v="93"/>
    <n v="1771"/>
    <n v="3.8"/>
    <x v="0"/>
  </r>
  <r>
    <x v="585"/>
    <x v="245"/>
    <x v="3"/>
    <x v="13"/>
    <x v="2"/>
    <x v="7"/>
    <x v="1"/>
    <x v="1"/>
    <x v="2"/>
    <n v="2"/>
    <n v="441"/>
    <n v="882"/>
    <n v="10"/>
    <n v="88"/>
    <n v="794"/>
    <n v="4.7"/>
    <x v="0"/>
  </r>
  <r>
    <x v="586"/>
    <x v="245"/>
    <x v="4"/>
    <x v="7"/>
    <x v="6"/>
    <x v="5"/>
    <x v="1"/>
    <x v="0"/>
    <x v="4"/>
    <n v="5"/>
    <n v="1610"/>
    <n v="8050"/>
    <n v="0"/>
    <n v="0"/>
    <n v="8050"/>
    <n v="4.9000000000000004"/>
    <x v="0"/>
  </r>
  <r>
    <x v="587"/>
    <x v="245"/>
    <x v="3"/>
    <x v="13"/>
    <x v="8"/>
    <x v="9"/>
    <x v="0"/>
    <x v="0"/>
    <x v="0"/>
    <n v="2"/>
    <n v="741"/>
    <n v="1482"/>
    <n v="5"/>
    <n v="74"/>
    <n v="1408"/>
    <n v="4.5"/>
    <x v="0"/>
  </r>
  <r>
    <x v="588"/>
    <x v="245"/>
    <x v="4"/>
    <x v="20"/>
    <x v="7"/>
    <x v="7"/>
    <x v="1"/>
    <x v="1"/>
    <x v="1"/>
    <n v="3"/>
    <n v="2132"/>
    <n v="6396"/>
    <n v="30"/>
    <n v="1919"/>
    <n v="4477"/>
    <n v="3.6"/>
    <x v="0"/>
  </r>
  <r>
    <x v="589"/>
    <x v="246"/>
    <x v="1"/>
    <x v="1"/>
    <x v="6"/>
    <x v="6"/>
    <x v="0"/>
    <x v="2"/>
    <x v="0"/>
    <n v="5"/>
    <n v="1043"/>
    <n v="5215"/>
    <n v="5"/>
    <n v="261"/>
    <n v="4954"/>
    <n v="3.9"/>
    <x v="0"/>
  </r>
  <r>
    <x v="590"/>
    <x v="246"/>
    <x v="2"/>
    <x v="8"/>
    <x v="9"/>
    <x v="7"/>
    <x v="1"/>
    <x v="1"/>
    <x v="4"/>
    <n v="3"/>
    <n v="760"/>
    <n v="2280"/>
    <n v="25"/>
    <n v="570"/>
    <n v="1710"/>
    <n v="3.5"/>
    <x v="1"/>
  </r>
  <r>
    <x v="591"/>
    <x v="247"/>
    <x v="3"/>
    <x v="9"/>
    <x v="1"/>
    <x v="6"/>
    <x v="0"/>
    <x v="2"/>
    <x v="1"/>
    <n v="2"/>
    <n v="435"/>
    <n v="870"/>
    <n v="15"/>
    <n v="130"/>
    <n v="740"/>
    <n v="4"/>
    <x v="0"/>
  </r>
  <r>
    <x v="592"/>
    <x v="247"/>
    <x v="3"/>
    <x v="13"/>
    <x v="9"/>
    <x v="3"/>
    <x v="0"/>
    <x v="0"/>
    <x v="2"/>
    <n v="1"/>
    <n v="240"/>
    <n v="240"/>
    <n v="20"/>
    <n v="48"/>
    <n v="192"/>
    <n v="3.4"/>
    <x v="0"/>
  </r>
  <r>
    <x v="593"/>
    <x v="248"/>
    <x v="2"/>
    <x v="4"/>
    <x v="1"/>
    <x v="9"/>
    <x v="1"/>
    <x v="2"/>
    <x v="4"/>
    <n v="4"/>
    <n v="1073"/>
    <n v="4292"/>
    <n v="0"/>
    <n v="0"/>
    <n v="4292"/>
    <n v="3.7"/>
    <x v="0"/>
  </r>
  <r>
    <x v="594"/>
    <x v="248"/>
    <x v="3"/>
    <x v="9"/>
    <x v="11"/>
    <x v="1"/>
    <x v="0"/>
    <x v="1"/>
    <x v="1"/>
    <n v="5"/>
    <n v="468"/>
    <n v="2340"/>
    <n v="30"/>
    <n v="702"/>
    <n v="1638"/>
    <n v="4.7"/>
    <x v="0"/>
  </r>
  <r>
    <x v="595"/>
    <x v="249"/>
    <x v="4"/>
    <x v="19"/>
    <x v="7"/>
    <x v="0"/>
    <x v="1"/>
    <x v="1"/>
    <x v="4"/>
    <n v="2"/>
    <n v="652"/>
    <n v="1304"/>
    <n v="30"/>
    <n v="391"/>
    <n v="913"/>
    <n v="4"/>
    <x v="1"/>
  </r>
  <r>
    <x v="596"/>
    <x v="250"/>
    <x v="3"/>
    <x v="13"/>
    <x v="3"/>
    <x v="0"/>
    <x v="0"/>
    <x v="0"/>
    <x v="4"/>
    <n v="4"/>
    <n v="225"/>
    <n v="900"/>
    <n v="5"/>
    <n v="45"/>
    <n v="855"/>
    <n v="4.5"/>
    <x v="0"/>
  </r>
  <r>
    <x v="597"/>
    <x v="251"/>
    <x v="5"/>
    <x v="14"/>
    <x v="5"/>
    <x v="4"/>
    <x v="1"/>
    <x v="1"/>
    <x v="2"/>
    <n v="3"/>
    <n v="1003"/>
    <n v="3009"/>
    <n v="5"/>
    <n v="150"/>
    <n v="2859"/>
    <n v="4"/>
    <x v="0"/>
  </r>
  <r>
    <x v="598"/>
    <x v="251"/>
    <x v="3"/>
    <x v="13"/>
    <x v="11"/>
    <x v="7"/>
    <x v="0"/>
    <x v="0"/>
    <x v="4"/>
    <n v="5"/>
    <n v="247"/>
    <n v="1235"/>
    <n v="0"/>
    <n v="0"/>
    <n v="1235"/>
    <n v="4.0999999999999996"/>
    <x v="0"/>
  </r>
  <r>
    <x v="599"/>
    <x v="251"/>
    <x v="5"/>
    <x v="17"/>
    <x v="1"/>
    <x v="5"/>
    <x v="0"/>
    <x v="1"/>
    <x v="1"/>
    <n v="3"/>
    <n v="975"/>
    <n v="2925"/>
    <n v="10"/>
    <n v="292"/>
    <n v="2633"/>
    <n v="4.3"/>
    <x v="0"/>
  </r>
  <r>
    <x v="600"/>
    <x v="251"/>
    <x v="3"/>
    <x v="13"/>
    <x v="2"/>
    <x v="2"/>
    <x v="0"/>
    <x v="2"/>
    <x v="1"/>
    <n v="4"/>
    <n v="704"/>
    <n v="2816"/>
    <n v="30"/>
    <n v="845"/>
    <n v="1971"/>
    <n v="4"/>
    <x v="0"/>
  </r>
  <r>
    <x v="601"/>
    <x v="251"/>
    <x v="4"/>
    <x v="7"/>
    <x v="0"/>
    <x v="7"/>
    <x v="0"/>
    <x v="0"/>
    <x v="2"/>
    <n v="3"/>
    <n v="638"/>
    <n v="1914"/>
    <n v="20"/>
    <n v="383"/>
    <n v="1531"/>
    <n v="3.6"/>
    <x v="1"/>
  </r>
  <r>
    <x v="602"/>
    <x v="251"/>
    <x v="3"/>
    <x v="5"/>
    <x v="5"/>
    <x v="0"/>
    <x v="0"/>
    <x v="1"/>
    <x v="1"/>
    <n v="3"/>
    <n v="587"/>
    <n v="1761"/>
    <n v="15"/>
    <n v="264"/>
    <n v="1497"/>
    <n v="4.5999999999999996"/>
    <x v="0"/>
  </r>
  <r>
    <x v="603"/>
    <x v="252"/>
    <x v="4"/>
    <x v="7"/>
    <x v="2"/>
    <x v="0"/>
    <x v="0"/>
    <x v="0"/>
    <x v="3"/>
    <n v="3"/>
    <n v="1258"/>
    <n v="3774"/>
    <n v="0"/>
    <n v="0"/>
    <n v="3774"/>
    <n v="3.5"/>
    <x v="0"/>
  </r>
  <r>
    <x v="604"/>
    <x v="252"/>
    <x v="0"/>
    <x v="0"/>
    <x v="7"/>
    <x v="1"/>
    <x v="1"/>
    <x v="1"/>
    <x v="1"/>
    <n v="1"/>
    <n v="188"/>
    <n v="188"/>
    <n v="25"/>
    <n v="47"/>
    <n v="141"/>
    <n v="4.5999999999999996"/>
    <x v="0"/>
  </r>
  <r>
    <x v="605"/>
    <x v="253"/>
    <x v="5"/>
    <x v="17"/>
    <x v="11"/>
    <x v="6"/>
    <x v="1"/>
    <x v="2"/>
    <x v="0"/>
    <n v="4"/>
    <n v="1498"/>
    <n v="5992"/>
    <n v="20"/>
    <n v="1198"/>
    <n v="4794"/>
    <n v="4.3"/>
    <x v="0"/>
  </r>
  <r>
    <x v="606"/>
    <x v="253"/>
    <x v="1"/>
    <x v="2"/>
    <x v="8"/>
    <x v="9"/>
    <x v="2"/>
    <x v="1"/>
    <x v="2"/>
    <n v="4"/>
    <n v="1235"/>
    <n v="4940"/>
    <n v="5"/>
    <n v="247"/>
    <n v="4693"/>
    <n v="3.3"/>
    <x v="0"/>
  </r>
  <r>
    <x v="607"/>
    <x v="253"/>
    <x v="4"/>
    <x v="20"/>
    <x v="5"/>
    <x v="3"/>
    <x v="1"/>
    <x v="1"/>
    <x v="2"/>
    <n v="3"/>
    <n v="1097"/>
    <n v="3291"/>
    <n v="30"/>
    <n v="987"/>
    <n v="2304"/>
    <n v="4.2"/>
    <x v="0"/>
  </r>
  <r>
    <x v="608"/>
    <x v="254"/>
    <x v="2"/>
    <x v="4"/>
    <x v="11"/>
    <x v="3"/>
    <x v="2"/>
    <x v="0"/>
    <x v="3"/>
    <n v="1"/>
    <n v="641"/>
    <n v="641"/>
    <n v="0"/>
    <n v="0"/>
    <n v="641"/>
    <n v="4.8"/>
    <x v="0"/>
  </r>
  <r>
    <x v="609"/>
    <x v="255"/>
    <x v="4"/>
    <x v="19"/>
    <x v="0"/>
    <x v="1"/>
    <x v="0"/>
    <x v="1"/>
    <x v="2"/>
    <n v="3"/>
    <n v="1799"/>
    <n v="5397"/>
    <n v="30"/>
    <n v="1619"/>
    <n v="3778"/>
    <n v="4"/>
    <x v="0"/>
  </r>
  <r>
    <x v="610"/>
    <x v="255"/>
    <x v="4"/>
    <x v="19"/>
    <x v="4"/>
    <x v="0"/>
    <x v="0"/>
    <x v="0"/>
    <x v="1"/>
    <n v="2"/>
    <n v="2056"/>
    <n v="4112"/>
    <n v="20"/>
    <n v="822"/>
    <n v="3290"/>
    <n v="3.7"/>
    <x v="0"/>
  </r>
  <r>
    <x v="611"/>
    <x v="256"/>
    <x v="5"/>
    <x v="11"/>
    <x v="10"/>
    <x v="7"/>
    <x v="2"/>
    <x v="0"/>
    <x v="3"/>
    <n v="3"/>
    <n v="1833"/>
    <n v="5499"/>
    <n v="30"/>
    <n v="1650"/>
    <n v="3849"/>
    <n v="4.9000000000000004"/>
    <x v="0"/>
  </r>
  <r>
    <x v="612"/>
    <x v="256"/>
    <x v="1"/>
    <x v="12"/>
    <x v="0"/>
    <x v="3"/>
    <x v="0"/>
    <x v="1"/>
    <x v="3"/>
    <n v="5"/>
    <n v="699"/>
    <n v="3495"/>
    <n v="15"/>
    <n v="524"/>
    <n v="2971"/>
    <n v="3.9"/>
    <x v="0"/>
  </r>
  <r>
    <x v="613"/>
    <x v="257"/>
    <x v="4"/>
    <x v="19"/>
    <x v="5"/>
    <x v="4"/>
    <x v="2"/>
    <x v="0"/>
    <x v="0"/>
    <n v="2"/>
    <n v="2294"/>
    <n v="4588"/>
    <n v="15"/>
    <n v="688"/>
    <n v="3900"/>
    <n v="4.7"/>
    <x v="0"/>
  </r>
  <r>
    <x v="614"/>
    <x v="258"/>
    <x v="5"/>
    <x v="14"/>
    <x v="3"/>
    <x v="3"/>
    <x v="0"/>
    <x v="1"/>
    <x v="4"/>
    <n v="5"/>
    <n v="515"/>
    <n v="2575"/>
    <n v="20"/>
    <n v="515"/>
    <n v="2060"/>
    <n v="3.7"/>
    <x v="0"/>
  </r>
  <r>
    <x v="615"/>
    <x v="259"/>
    <x v="3"/>
    <x v="9"/>
    <x v="3"/>
    <x v="3"/>
    <x v="1"/>
    <x v="0"/>
    <x v="2"/>
    <n v="2"/>
    <n v="310"/>
    <n v="620"/>
    <n v="15"/>
    <n v="93"/>
    <n v="527"/>
    <n v="4.2"/>
    <x v="0"/>
  </r>
  <r>
    <x v="616"/>
    <x v="259"/>
    <x v="3"/>
    <x v="13"/>
    <x v="4"/>
    <x v="7"/>
    <x v="2"/>
    <x v="1"/>
    <x v="4"/>
    <n v="5"/>
    <n v="456"/>
    <n v="2280"/>
    <n v="30"/>
    <n v="684"/>
    <n v="1596"/>
    <n v="3.5"/>
    <x v="0"/>
  </r>
  <r>
    <x v="617"/>
    <x v="260"/>
    <x v="3"/>
    <x v="13"/>
    <x v="8"/>
    <x v="7"/>
    <x v="2"/>
    <x v="0"/>
    <x v="4"/>
    <n v="3"/>
    <n v="380"/>
    <n v="1140"/>
    <n v="15"/>
    <n v="171"/>
    <n v="969"/>
    <n v="4.5"/>
    <x v="0"/>
  </r>
  <r>
    <x v="618"/>
    <x v="261"/>
    <x v="4"/>
    <x v="20"/>
    <x v="11"/>
    <x v="1"/>
    <x v="0"/>
    <x v="0"/>
    <x v="3"/>
    <n v="4"/>
    <n v="591"/>
    <n v="2364"/>
    <n v="20"/>
    <n v="473"/>
    <n v="1891"/>
    <n v="3.8"/>
    <x v="1"/>
  </r>
  <r>
    <x v="619"/>
    <x v="262"/>
    <x v="1"/>
    <x v="21"/>
    <x v="4"/>
    <x v="1"/>
    <x v="1"/>
    <x v="1"/>
    <x v="3"/>
    <n v="5"/>
    <n v="925"/>
    <n v="4625"/>
    <n v="10"/>
    <n v="462"/>
    <n v="4163"/>
    <n v="3.5"/>
    <x v="0"/>
  </r>
  <r>
    <x v="620"/>
    <x v="263"/>
    <x v="0"/>
    <x v="22"/>
    <x v="1"/>
    <x v="2"/>
    <x v="2"/>
    <x v="1"/>
    <x v="3"/>
    <n v="4"/>
    <n v="241"/>
    <n v="964"/>
    <n v="10"/>
    <n v="96"/>
    <n v="868"/>
    <n v="4.0999999999999996"/>
    <x v="0"/>
  </r>
  <r>
    <x v="621"/>
    <x v="263"/>
    <x v="3"/>
    <x v="9"/>
    <x v="8"/>
    <x v="2"/>
    <x v="0"/>
    <x v="0"/>
    <x v="1"/>
    <n v="1"/>
    <n v="489"/>
    <n v="489"/>
    <n v="0"/>
    <n v="0"/>
    <n v="489"/>
    <n v="3.9"/>
    <x v="1"/>
  </r>
  <r>
    <x v="622"/>
    <x v="263"/>
    <x v="3"/>
    <x v="13"/>
    <x v="11"/>
    <x v="7"/>
    <x v="1"/>
    <x v="2"/>
    <x v="1"/>
    <n v="4"/>
    <n v="264"/>
    <n v="1056"/>
    <n v="25"/>
    <n v="264"/>
    <n v="792"/>
    <n v="3.3"/>
    <x v="1"/>
  </r>
  <r>
    <x v="623"/>
    <x v="264"/>
    <x v="5"/>
    <x v="14"/>
    <x v="11"/>
    <x v="7"/>
    <x v="0"/>
    <x v="0"/>
    <x v="1"/>
    <n v="3"/>
    <n v="1451"/>
    <n v="4353"/>
    <n v="20"/>
    <n v="871"/>
    <n v="3482"/>
    <n v="4.4000000000000004"/>
    <x v="0"/>
  </r>
  <r>
    <x v="624"/>
    <x v="264"/>
    <x v="1"/>
    <x v="2"/>
    <x v="10"/>
    <x v="6"/>
    <x v="0"/>
    <x v="0"/>
    <x v="0"/>
    <n v="3"/>
    <n v="811"/>
    <n v="2433"/>
    <n v="0"/>
    <n v="0"/>
    <n v="2433"/>
    <n v="4.5999999999999996"/>
    <x v="0"/>
  </r>
  <r>
    <x v="625"/>
    <x v="264"/>
    <x v="5"/>
    <x v="11"/>
    <x v="10"/>
    <x v="4"/>
    <x v="0"/>
    <x v="0"/>
    <x v="4"/>
    <n v="5"/>
    <n v="2876"/>
    <n v="14380"/>
    <n v="30"/>
    <n v="4314"/>
    <n v="10066"/>
    <n v="4.4000000000000004"/>
    <x v="0"/>
  </r>
  <r>
    <x v="626"/>
    <x v="264"/>
    <x v="0"/>
    <x v="18"/>
    <x v="6"/>
    <x v="1"/>
    <x v="1"/>
    <x v="1"/>
    <x v="4"/>
    <n v="2"/>
    <n v="640"/>
    <n v="1280"/>
    <n v="20"/>
    <n v="256"/>
    <n v="1024"/>
    <n v="4.7"/>
    <x v="0"/>
  </r>
  <r>
    <x v="627"/>
    <x v="265"/>
    <x v="0"/>
    <x v="22"/>
    <x v="3"/>
    <x v="3"/>
    <x v="0"/>
    <x v="1"/>
    <x v="0"/>
    <n v="3"/>
    <n v="513"/>
    <n v="1539"/>
    <n v="15"/>
    <n v="231"/>
    <n v="1308"/>
    <n v="5"/>
    <x v="0"/>
  </r>
  <r>
    <x v="628"/>
    <x v="265"/>
    <x v="4"/>
    <x v="7"/>
    <x v="2"/>
    <x v="3"/>
    <x v="1"/>
    <x v="2"/>
    <x v="3"/>
    <n v="5"/>
    <n v="2083"/>
    <n v="10415"/>
    <n v="5"/>
    <n v="521"/>
    <n v="9894"/>
    <n v="4.3"/>
    <x v="0"/>
  </r>
  <r>
    <x v="629"/>
    <x v="265"/>
    <x v="3"/>
    <x v="13"/>
    <x v="6"/>
    <x v="6"/>
    <x v="1"/>
    <x v="1"/>
    <x v="3"/>
    <n v="1"/>
    <n v="383"/>
    <n v="383"/>
    <n v="25"/>
    <n v="96"/>
    <n v="287"/>
    <n v="4.5999999999999996"/>
    <x v="0"/>
  </r>
  <r>
    <x v="630"/>
    <x v="265"/>
    <x v="2"/>
    <x v="6"/>
    <x v="6"/>
    <x v="7"/>
    <x v="1"/>
    <x v="2"/>
    <x v="4"/>
    <n v="5"/>
    <n v="337"/>
    <n v="1685"/>
    <n v="15"/>
    <n v="253"/>
    <n v="1432"/>
    <n v="4.5999999999999996"/>
    <x v="0"/>
  </r>
  <r>
    <x v="631"/>
    <x v="265"/>
    <x v="1"/>
    <x v="10"/>
    <x v="10"/>
    <x v="6"/>
    <x v="1"/>
    <x v="1"/>
    <x v="0"/>
    <n v="3"/>
    <n v="754"/>
    <n v="2262"/>
    <n v="15"/>
    <n v="339"/>
    <n v="1923"/>
    <n v="3.7"/>
    <x v="0"/>
  </r>
  <r>
    <x v="632"/>
    <x v="265"/>
    <x v="0"/>
    <x v="18"/>
    <x v="7"/>
    <x v="0"/>
    <x v="0"/>
    <x v="0"/>
    <x v="0"/>
    <n v="2"/>
    <n v="570"/>
    <n v="1140"/>
    <n v="0"/>
    <n v="0"/>
    <n v="1140"/>
    <n v="3.6"/>
    <x v="0"/>
  </r>
  <r>
    <x v="633"/>
    <x v="266"/>
    <x v="4"/>
    <x v="7"/>
    <x v="8"/>
    <x v="1"/>
    <x v="0"/>
    <x v="0"/>
    <x v="2"/>
    <n v="4"/>
    <n v="966"/>
    <n v="3864"/>
    <n v="25"/>
    <n v="966"/>
    <n v="2898"/>
    <n v="4.4000000000000004"/>
    <x v="0"/>
  </r>
  <r>
    <x v="634"/>
    <x v="266"/>
    <x v="1"/>
    <x v="21"/>
    <x v="7"/>
    <x v="0"/>
    <x v="0"/>
    <x v="1"/>
    <x v="3"/>
    <n v="3"/>
    <n v="333"/>
    <n v="999"/>
    <n v="5"/>
    <n v="50"/>
    <n v="949"/>
    <n v="4"/>
    <x v="0"/>
  </r>
  <r>
    <x v="635"/>
    <x v="266"/>
    <x v="5"/>
    <x v="17"/>
    <x v="2"/>
    <x v="2"/>
    <x v="1"/>
    <x v="0"/>
    <x v="4"/>
    <n v="5"/>
    <n v="1839"/>
    <n v="9195"/>
    <n v="25"/>
    <n v="2299"/>
    <n v="6896"/>
    <n v="4.8"/>
    <x v="0"/>
  </r>
  <r>
    <x v="636"/>
    <x v="267"/>
    <x v="5"/>
    <x v="11"/>
    <x v="7"/>
    <x v="1"/>
    <x v="0"/>
    <x v="2"/>
    <x v="2"/>
    <n v="4"/>
    <n v="2435"/>
    <n v="9740"/>
    <n v="25"/>
    <n v="2435"/>
    <n v="7305"/>
    <n v="4.3"/>
    <x v="0"/>
  </r>
  <r>
    <x v="637"/>
    <x v="268"/>
    <x v="0"/>
    <x v="0"/>
    <x v="4"/>
    <x v="1"/>
    <x v="0"/>
    <x v="0"/>
    <x v="4"/>
    <n v="4"/>
    <n v="538"/>
    <n v="2152"/>
    <n v="25"/>
    <n v="538"/>
    <n v="1614"/>
    <n v="3.5"/>
    <x v="0"/>
  </r>
  <r>
    <x v="638"/>
    <x v="269"/>
    <x v="3"/>
    <x v="9"/>
    <x v="9"/>
    <x v="6"/>
    <x v="0"/>
    <x v="1"/>
    <x v="2"/>
    <n v="4"/>
    <n v="674"/>
    <n v="2696"/>
    <n v="20"/>
    <n v="539"/>
    <n v="2157"/>
    <n v="3.6"/>
    <x v="0"/>
  </r>
  <r>
    <x v="639"/>
    <x v="269"/>
    <x v="4"/>
    <x v="20"/>
    <x v="9"/>
    <x v="4"/>
    <x v="0"/>
    <x v="1"/>
    <x v="2"/>
    <n v="1"/>
    <n v="2164"/>
    <n v="2164"/>
    <n v="20"/>
    <n v="433"/>
    <n v="1731"/>
    <n v="3.6"/>
    <x v="0"/>
  </r>
  <r>
    <x v="640"/>
    <x v="269"/>
    <x v="2"/>
    <x v="6"/>
    <x v="10"/>
    <x v="1"/>
    <x v="0"/>
    <x v="1"/>
    <x v="0"/>
    <n v="5"/>
    <n v="709"/>
    <n v="3545"/>
    <n v="15"/>
    <n v="532"/>
    <n v="3013"/>
    <n v="4.4000000000000004"/>
    <x v="0"/>
  </r>
  <r>
    <x v="641"/>
    <x v="270"/>
    <x v="2"/>
    <x v="4"/>
    <x v="2"/>
    <x v="5"/>
    <x v="0"/>
    <x v="1"/>
    <x v="3"/>
    <n v="5"/>
    <n v="394"/>
    <n v="1970"/>
    <n v="5"/>
    <n v="98"/>
    <n v="1872"/>
    <n v="3.9"/>
    <x v="0"/>
  </r>
  <r>
    <x v="642"/>
    <x v="270"/>
    <x v="0"/>
    <x v="18"/>
    <x v="10"/>
    <x v="3"/>
    <x v="1"/>
    <x v="1"/>
    <x v="3"/>
    <n v="2"/>
    <n v="732"/>
    <n v="1464"/>
    <n v="5"/>
    <n v="73"/>
    <n v="1391"/>
    <n v="4.5999999999999996"/>
    <x v="0"/>
  </r>
  <r>
    <x v="643"/>
    <x v="271"/>
    <x v="5"/>
    <x v="11"/>
    <x v="5"/>
    <x v="7"/>
    <x v="1"/>
    <x v="0"/>
    <x v="2"/>
    <n v="3"/>
    <n v="2649"/>
    <n v="7947"/>
    <n v="15"/>
    <n v="1192"/>
    <n v="6755"/>
    <n v="3.7"/>
    <x v="0"/>
  </r>
  <r>
    <x v="644"/>
    <x v="271"/>
    <x v="5"/>
    <x v="17"/>
    <x v="0"/>
    <x v="9"/>
    <x v="0"/>
    <x v="0"/>
    <x v="4"/>
    <n v="1"/>
    <n v="1901"/>
    <n v="1901"/>
    <n v="30"/>
    <n v="570"/>
    <n v="1331"/>
    <n v="3.6"/>
    <x v="1"/>
  </r>
  <r>
    <x v="645"/>
    <x v="272"/>
    <x v="2"/>
    <x v="15"/>
    <x v="3"/>
    <x v="1"/>
    <x v="1"/>
    <x v="1"/>
    <x v="0"/>
    <n v="3"/>
    <n v="1132"/>
    <n v="3396"/>
    <n v="0"/>
    <n v="0"/>
    <n v="3396"/>
    <n v="3.7"/>
    <x v="0"/>
  </r>
  <r>
    <x v="646"/>
    <x v="272"/>
    <x v="1"/>
    <x v="10"/>
    <x v="2"/>
    <x v="0"/>
    <x v="0"/>
    <x v="1"/>
    <x v="0"/>
    <n v="4"/>
    <n v="1199"/>
    <n v="4796"/>
    <n v="10"/>
    <n v="480"/>
    <n v="4316"/>
    <n v="4.4000000000000004"/>
    <x v="0"/>
  </r>
  <r>
    <x v="647"/>
    <x v="273"/>
    <x v="2"/>
    <x v="3"/>
    <x v="6"/>
    <x v="6"/>
    <x v="1"/>
    <x v="1"/>
    <x v="0"/>
    <n v="5"/>
    <n v="1162"/>
    <n v="5810"/>
    <n v="0"/>
    <n v="0"/>
    <n v="5810"/>
    <n v="3.7"/>
    <x v="0"/>
  </r>
  <r>
    <x v="648"/>
    <x v="274"/>
    <x v="0"/>
    <x v="22"/>
    <x v="3"/>
    <x v="5"/>
    <x v="1"/>
    <x v="1"/>
    <x v="4"/>
    <n v="3"/>
    <n v="381"/>
    <n v="1143"/>
    <n v="20"/>
    <n v="229"/>
    <n v="914"/>
    <n v="4.5999999999999996"/>
    <x v="0"/>
  </r>
  <r>
    <x v="649"/>
    <x v="274"/>
    <x v="2"/>
    <x v="8"/>
    <x v="11"/>
    <x v="9"/>
    <x v="0"/>
    <x v="0"/>
    <x v="4"/>
    <n v="1"/>
    <n v="1321"/>
    <n v="1321"/>
    <n v="10"/>
    <n v="132"/>
    <n v="1189"/>
    <n v="3.7"/>
    <x v="0"/>
  </r>
  <r>
    <x v="650"/>
    <x v="274"/>
    <x v="4"/>
    <x v="20"/>
    <x v="7"/>
    <x v="6"/>
    <x v="0"/>
    <x v="0"/>
    <x v="4"/>
    <n v="1"/>
    <n v="426"/>
    <n v="426"/>
    <n v="5"/>
    <n v="21"/>
    <n v="405"/>
    <n v="4.4000000000000004"/>
    <x v="1"/>
  </r>
  <r>
    <x v="651"/>
    <x v="275"/>
    <x v="4"/>
    <x v="7"/>
    <x v="4"/>
    <x v="8"/>
    <x v="1"/>
    <x v="1"/>
    <x v="2"/>
    <n v="5"/>
    <n v="843"/>
    <n v="4215"/>
    <n v="5"/>
    <n v="211"/>
    <n v="4004"/>
    <n v="4.0999999999999996"/>
    <x v="0"/>
  </r>
  <r>
    <x v="652"/>
    <x v="275"/>
    <x v="3"/>
    <x v="9"/>
    <x v="2"/>
    <x v="4"/>
    <x v="1"/>
    <x v="2"/>
    <x v="0"/>
    <n v="5"/>
    <n v="766"/>
    <n v="3830"/>
    <n v="5"/>
    <n v="192"/>
    <n v="3638"/>
    <n v="3.5"/>
    <x v="0"/>
  </r>
  <r>
    <x v="653"/>
    <x v="275"/>
    <x v="5"/>
    <x v="11"/>
    <x v="11"/>
    <x v="9"/>
    <x v="0"/>
    <x v="0"/>
    <x v="3"/>
    <n v="2"/>
    <n v="875"/>
    <n v="1750"/>
    <n v="25"/>
    <n v="438"/>
    <n v="1312"/>
    <n v="4.5999999999999996"/>
    <x v="0"/>
  </r>
  <r>
    <x v="654"/>
    <x v="275"/>
    <x v="0"/>
    <x v="18"/>
    <x v="11"/>
    <x v="3"/>
    <x v="1"/>
    <x v="0"/>
    <x v="0"/>
    <n v="2"/>
    <n v="408"/>
    <n v="816"/>
    <n v="15"/>
    <n v="122"/>
    <n v="694"/>
    <n v="3.8"/>
    <x v="0"/>
  </r>
  <r>
    <x v="655"/>
    <x v="275"/>
    <x v="5"/>
    <x v="14"/>
    <x v="10"/>
    <x v="3"/>
    <x v="1"/>
    <x v="0"/>
    <x v="0"/>
    <n v="4"/>
    <n v="2733"/>
    <n v="10932"/>
    <n v="10"/>
    <n v="1093"/>
    <n v="9839"/>
    <n v="4.2"/>
    <x v="0"/>
  </r>
  <r>
    <x v="656"/>
    <x v="276"/>
    <x v="0"/>
    <x v="22"/>
    <x v="8"/>
    <x v="8"/>
    <x v="0"/>
    <x v="2"/>
    <x v="2"/>
    <n v="2"/>
    <n v="268"/>
    <n v="536"/>
    <n v="5"/>
    <n v="27"/>
    <n v="509"/>
    <n v="3.2"/>
    <x v="1"/>
  </r>
  <r>
    <x v="657"/>
    <x v="276"/>
    <x v="4"/>
    <x v="7"/>
    <x v="9"/>
    <x v="3"/>
    <x v="1"/>
    <x v="0"/>
    <x v="2"/>
    <n v="2"/>
    <n v="1718"/>
    <n v="3436"/>
    <n v="10"/>
    <n v="344"/>
    <n v="3092"/>
    <n v="4.2"/>
    <x v="0"/>
  </r>
  <r>
    <x v="658"/>
    <x v="277"/>
    <x v="1"/>
    <x v="1"/>
    <x v="2"/>
    <x v="0"/>
    <x v="2"/>
    <x v="1"/>
    <x v="4"/>
    <n v="3"/>
    <n v="993"/>
    <n v="2979"/>
    <n v="10"/>
    <n v="298"/>
    <n v="2681"/>
    <n v="4.8"/>
    <x v="0"/>
  </r>
  <r>
    <x v="659"/>
    <x v="278"/>
    <x v="0"/>
    <x v="18"/>
    <x v="10"/>
    <x v="9"/>
    <x v="0"/>
    <x v="0"/>
    <x v="3"/>
    <n v="5"/>
    <n v="799"/>
    <n v="3995"/>
    <n v="15"/>
    <n v="599"/>
    <n v="3396"/>
    <n v="4.5999999999999996"/>
    <x v="0"/>
  </r>
  <r>
    <x v="660"/>
    <x v="278"/>
    <x v="2"/>
    <x v="4"/>
    <x v="11"/>
    <x v="9"/>
    <x v="0"/>
    <x v="1"/>
    <x v="2"/>
    <n v="4"/>
    <n v="843"/>
    <n v="3372"/>
    <n v="5"/>
    <n v="169"/>
    <n v="3203"/>
    <n v="3.9"/>
    <x v="0"/>
  </r>
  <r>
    <x v="661"/>
    <x v="278"/>
    <x v="5"/>
    <x v="17"/>
    <x v="8"/>
    <x v="7"/>
    <x v="1"/>
    <x v="0"/>
    <x v="1"/>
    <n v="2"/>
    <n v="1140"/>
    <n v="2280"/>
    <n v="20"/>
    <n v="456"/>
    <n v="1824"/>
    <n v="3.6"/>
    <x v="0"/>
  </r>
  <r>
    <x v="662"/>
    <x v="278"/>
    <x v="1"/>
    <x v="1"/>
    <x v="4"/>
    <x v="2"/>
    <x v="0"/>
    <x v="2"/>
    <x v="2"/>
    <n v="1"/>
    <n v="240"/>
    <n v="240"/>
    <n v="5"/>
    <n v="12"/>
    <n v="228"/>
    <n v="4.5"/>
    <x v="1"/>
  </r>
  <r>
    <x v="663"/>
    <x v="278"/>
    <x v="0"/>
    <x v="22"/>
    <x v="5"/>
    <x v="5"/>
    <x v="0"/>
    <x v="1"/>
    <x v="3"/>
    <n v="1"/>
    <n v="357"/>
    <n v="357"/>
    <n v="15"/>
    <n v="54"/>
    <n v="303"/>
    <n v="3.4"/>
    <x v="0"/>
  </r>
  <r>
    <x v="664"/>
    <x v="279"/>
    <x v="1"/>
    <x v="10"/>
    <x v="11"/>
    <x v="1"/>
    <x v="0"/>
    <x v="1"/>
    <x v="1"/>
    <n v="1"/>
    <n v="905"/>
    <n v="905"/>
    <n v="30"/>
    <n v="272"/>
    <n v="633"/>
    <n v="4.7"/>
    <x v="0"/>
  </r>
  <r>
    <x v="665"/>
    <x v="279"/>
    <x v="5"/>
    <x v="11"/>
    <x v="5"/>
    <x v="9"/>
    <x v="1"/>
    <x v="1"/>
    <x v="1"/>
    <n v="1"/>
    <n v="1040"/>
    <n v="1040"/>
    <n v="20"/>
    <n v="208"/>
    <n v="832"/>
    <n v="5"/>
    <x v="0"/>
  </r>
  <r>
    <x v="666"/>
    <x v="279"/>
    <x v="4"/>
    <x v="19"/>
    <x v="5"/>
    <x v="5"/>
    <x v="1"/>
    <x v="0"/>
    <x v="4"/>
    <n v="2"/>
    <n v="1189"/>
    <n v="2378"/>
    <n v="30"/>
    <n v="713"/>
    <n v="1665"/>
    <n v="4.8"/>
    <x v="0"/>
  </r>
  <r>
    <x v="667"/>
    <x v="279"/>
    <x v="2"/>
    <x v="3"/>
    <x v="3"/>
    <x v="7"/>
    <x v="0"/>
    <x v="1"/>
    <x v="2"/>
    <n v="1"/>
    <n v="1116"/>
    <n v="1116"/>
    <n v="5"/>
    <n v="56"/>
    <n v="1060"/>
    <n v="3.2"/>
    <x v="0"/>
  </r>
  <r>
    <x v="668"/>
    <x v="280"/>
    <x v="3"/>
    <x v="9"/>
    <x v="7"/>
    <x v="0"/>
    <x v="0"/>
    <x v="0"/>
    <x v="4"/>
    <n v="2"/>
    <n v="672"/>
    <n v="1344"/>
    <n v="15"/>
    <n v="202"/>
    <n v="1142"/>
    <n v="3.8"/>
    <x v="0"/>
  </r>
  <r>
    <x v="669"/>
    <x v="280"/>
    <x v="4"/>
    <x v="19"/>
    <x v="2"/>
    <x v="7"/>
    <x v="1"/>
    <x v="0"/>
    <x v="0"/>
    <n v="3"/>
    <n v="1030"/>
    <n v="3090"/>
    <n v="20"/>
    <n v="618"/>
    <n v="2472"/>
    <n v="3.8"/>
    <x v="0"/>
  </r>
  <r>
    <x v="670"/>
    <x v="281"/>
    <x v="4"/>
    <x v="7"/>
    <x v="6"/>
    <x v="4"/>
    <x v="0"/>
    <x v="1"/>
    <x v="2"/>
    <n v="3"/>
    <n v="1351"/>
    <n v="4053"/>
    <n v="25"/>
    <n v="1013"/>
    <n v="3040"/>
    <n v="3.3"/>
    <x v="0"/>
  </r>
  <r>
    <x v="671"/>
    <x v="281"/>
    <x v="1"/>
    <x v="10"/>
    <x v="3"/>
    <x v="9"/>
    <x v="0"/>
    <x v="1"/>
    <x v="2"/>
    <n v="3"/>
    <n v="347"/>
    <n v="1041"/>
    <n v="10"/>
    <n v="104"/>
    <n v="937"/>
    <n v="4.4000000000000004"/>
    <x v="0"/>
  </r>
  <r>
    <x v="672"/>
    <x v="281"/>
    <x v="2"/>
    <x v="8"/>
    <x v="10"/>
    <x v="0"/>
    <x v="0"/>
    <x v="2"/>
    <x v="4"/>
    <n v="3"/>
    <n v="1426"/>
    <n v="4278"/>
    <n v="0"/>
    <n v="0"/>
    <n v="4278"/>
    <n v="4.8"/>
    <x v="0"/>
  </r>
  <r>
    <x v="673"/>
    <x v="282"/>
    <x v="2"/>
    <x v="15"/>
    <x v="6"/>
    <x v="7"/>
    <x v="0"/>
    <x v="2"/>
    <x v="1"/>
    <n v="4"/>
    <n v="359"/>
    <n v="1436"/>
    <n v="30"/>
    <n v="431"/>
    <n v="1005"/>
    <n v="3.5"/>
    <x v="0"/>
  </r>
  <r>
    <x v="674"/>
    <x v="283"/>
    <x v="3"/>
    <x v="5"/>
    <x v="0"/>
    <x v="3"/>
    <x v="0"/>
    <x v="1"/>
    <x v="3"/>
    <n v="5"/>
    <n v="759"/>
    <n v="3795"/>
    <n v="25"/>
    <n v="949"/>
    <n v="2846"/>
    <n v="4.2"/>
    <x v="0"/>
  </r>
  <r>
    <x v="675"/>
    <x v="283"/>
    <x v="0"/>
    <x v="22"/>
    <x v="0"/>
    <x v="9"/>
    <x v="0"/>
    <x v="0"/>
    <x v="3"/>
    <n v="5"/>
    <n v="697"/>
    <n v="3485"/>
    <n v="15"/>
    <n v="523"/>
    <n v="2962"/>
    <n v="4.2"/>
    <x v="0"/>
  </r>
  <r>
    <x v="676"/>
    <x v="283"/>
    <x v="1"/>
    <x v="21"/>
    <x v="6"/>
    <x v="5"/>
    <x v="0"/>
    <x v="1"/>
    <x v="4"/>
    <n v="3"/>
    <n v="1056"/>
    <n v="3168"/>
    <n v="25"/>
    <n v="792"/>
    <n v="2376"/>
    <n v="3.2"/>
    <x v="0"/>
  </r>
  <r>
    <x v="677"/>
    <x v="284"/>
    <x v="5"/>
    <x v="17"/>
    <x v="2"/>
    <x v="7"/>
    <x v="0"/>
    <x v="2"/>
    <x v="0"/>
    <n v="3"/>
    <n v="1182"/>
    <n v="3546"/>
    <n v="30"/>
    <n v="1064"/>
    <n v="2482"/>
    <n v="3.9"/>
    <x v="0"/>
  </r>
  <r>
    <x v="678"/>
    <x v="284"/>
    <x v="2"/>
    <x v="6"/>
    <x v="9"/>
    <x v="1"/>
    <x v="1"/>
    <x v="0"/>
    <x v="1"/>
    <n v="5"/>
    <n v="1265"/>
    <n v="6325"/>
    <n v="10"/>
    <n v="632"/>
    <n v="5693"/>
    <n v="4.5"/>
    <x v="0"/>
  </r>
  <r>
    <x v="679"/>
    <x v="284"/>
    <x v="4"/>
    <x v="7"/>
    <x v="4"/>
    <x v="5"/>
    <x v="1"/>
    <x v="0"/>
    <x v="2"/>
    <n v="3"/>
    <n v="479"/>
    <n v="1437"/>
    <n v="0"/>
    <n v="0"/>
    <n v="1437"/>
    <n v="3.3"/>
    <x v="0"/>
  </r>
  <r>
    <x v="680"/>
    <x v="284"/>
    <x v="1"/>
    <x v="2"/>
    <x v="1"/>
    <x v="8"/>
    <x v="2"/>
    <x v="0"/>
    <x v="4"/>
    <n v="2"/>
    <n v="335"/>
    <n v="670"/>
    <n v="0"/>
    <n v="0"/>
    <n v="670"/>
    <n v="4.2"/>
    <x v="0"/>
  </r>
  <r>
    <x v="681"/>
    <x v="284"/>
    <x v="3"/>
    <x v="13"/>
    <x v="1"/>
    <x v="2"/>
    <x v="2"/>
    <x v="0"/>
    <x v="2"/>
    <n v="1"/>
    <n v="156"/>
    <n v="156"/>
    <n v="10"/>
    <n v="16"/>
    <n v="140"/>
    <n v="3.6"/>
    <x v="0"/>
  </r>
  <r>
    <x v="682"/>
    <x v="285"/>
    <x v="1"/>
    <x v="1"/>
    <x v="8"/>
    <x v="3"/>
    <x v="1"/>
    <x v="1"/>
    <x v="3"/>
    <n v="2"/>
    <n v="552"/>
    <n v="1104"/>
    <n v="10"/>
    <n v="110"/>
    <n v="994"/>
    <n v="4.0999999999999996"/>
    <x v="0"/>
  </r>
  <r>
    <x v="683"/>
    <x v="285"/>
    <x v="3"/>
    <x v="9"/>
    <x v="11"/>
    <x v="8"/>
    <x v="0"/>
    <x v="0"/>
    <x v="2"/>
    <n v="2"/>
    <n v="255"/>
    <n v="510"/>
    <n v="5"/>
    <n v="26"/>
    <n v="484"/>
    <n v="3.3"/>
    <x v="0"/>
  </r>
  <r>
    <x v="684"/>
    <x v="285"/>
    <x v="5"/>
    <x v="11"/>
    <x v="0"/>
    <x v="8"/>
    <x v="0"/>
    <x v="2"/>
    <x v="4"/>
    <n v="3"/>
    <n v="1057"/>
    <n v="3171"/>
    <n v="20"/>
    <n v="634"/>
    <n v="2537"/>
    <n v="4.7"/>
    <x v="0"/>
  </r>
  <r>
    <x v="685"/>
    <x v="285"/>
    <x v="1"/>
    <x v="1"/>
    <x v="11"/>
    <x v="1"/>
    <x v="1"/>
    <x v="1"/>
    <x v="1"/>
    <n v="4"/>
    <n v="725"/>
    <n v="2900"/>
    <n v="25"/>
    <n v="725"/>
    <n v="2175"/>
    <n v="3.4"/>
    <x v="0"/>
  </r>
  <r>
    <x v="686"/>
    <x v="285"/>
    <x v="2"/>
    <x v="8"/>
    <x v="1"/>
    <x v="1"/>
    <x v="0"/>
    <x v="1"/>
    <x v="3"/>
    <n v="4"/>
    <n v="1086"/>
    <n v="4344"/>
    <n v="25"/>
    <n v="1086"/>
    <n v="3258"/>
    <n v="3.4"/>
    <x v="0"/>
  </r>
  <r>
    <x v="687"/>
    <x v="286"/>
    <x v="1"/>
    <x v="2"/>
    <x v="8"/>
    <x v="4"/>
    <x v="0"/>
    <x v="0"/>
    <x v="4"/>
    <n v="3"/>
    <n v="419"/>
    <n v="1257"/>
    <n v="15"/>
    <n v="189"/>
    <n v="1068"/>
    <n v="3.7"/>
    <x v="0"/>
  </r>
  <r>
    <x v="688"/>
    <x v="286"/>
    <x v="3"/>
    <x v="5"/>
    <x v="2"/>
    <x v="0"/>
    <x v="1"/>
    <x v="2"/>
    <x v="3"/>
    <n v="2"/>
    <n v="413"/>
    <n v="826"/>
    <n v="15"/>
    <n v="124"/>
    <n v="702"/>
    <n v="3.6"/>
    <x v="0"/>
  </r>
  <r>
    <x v="689"/>
    <x v="287"/>
    <x v="0"/>
    <x v="16"/>
    <x v="0"/>
    <x v="9"/>
    <x v="0"/>
    <x v="1"/>
    <x v="4"/>
    <n v="5"/>
    <n v="149"/>
    <n v="745"/>
    <n v="0"/>
    <n v="0"/>
    <n v="745"/>
    <n v="4.5999999999999996"/>
    <x v="1"/>
  </r>
  <r>
    <x v="690"/>
    <x v="287"/>
    <x v="5"/>
    <x v="14"/>
    <x v="3"/>
    <x v="0"/>
    <x v="0"/>
    <x v="1"/>
    <x v="4"/>
    <n v="2"/>
    <n v="2352"/>
    <n v="4704"/>
    <n v="5"/>
    <n v="235"/>
    <n v="4469"/>
    <n v="4.9000000000000004"/>
    <x v="0"/>
  </r>
  <r>
    <x v="691"/>
    <x v="288"/>
    <x v="2"/>
    <x v="3"/>
    <x v="11"/>
    <x v="2"/>
    <x v="0"/>
    <x v="0"/>
    <x v="1"/>
    <n v="3"/>
    <n v="1290"/>
    <n v="3870"/>
    <n v="20"/>
    <n v="774"/>
    <n v="3096"/>
    <n v="3.9"/>
    <x v="0"/>
  </r>
  <r>
    <x v="692"/>
    <x v="288"/>
    <x v="1"/>
    <x v="10"/>
    <x v="9"/>
    <x v="6"/>
    <x v="2"/>
    <x v="0"/>
    <x v="4"/>
    <n v="5"/>
    <n v="1242"/>
    <n v="6210"/>
    <n v="0"/>
    <n v="0"/>
    <n v="6210"/>
    <n v="3.5"/>
    <x v="0"/>
  </r>
  <r>
    <x v="693"/>
    <x v="289"/>
    <x v="5"/>
    <x v="14"/>
    <x v="8"/>
    <x v="4"/>
    <x v="1"/>
    <x v="0"/>
    <x v="0"/>
    <n v="2"/>
    <n v="1527"/>
    <n v="3054"/>
    <n v="30"/>
    <n v="916"/>
    <n v="2138"/>
    <n v="4.3"/>
    <x v="1"/>
  </r>
  <r>
    <x v="694"/>
    <x v="289"/>
    <x v="3"/>
    <x v="5"/>
    <x v="4"/>
    <x v="6"/>
    <x v="1"/>
    <x v="0"/>
    <x v="1"/>
    <n v="2"/>
    <n v="584"/>
    <n v="1168"/>
    <n v="10"/>
    <n v="117"/>
    <n v="1051"/>
    <n v="3.6"/>
    <x v="0"/>
  </r>
  <r>
    <x v="695"/>
    <x v="289"/>
    <x v="4"/>
    <x v="20"/>
    <x v="5"/>
    <x v="3"/>
    <x v="0"/>
    <x v="0"/>
    <x v="2"/>
    <n v="4"/>
    <n v="2148"/>
    <n v="8592"/>
    <n v="25"/>
    <n v="2148"/>
    <n v="6444"/>
    <n v="4.4000000000000004"/>
    <x v="0"/>
  </r>
  <r>
    <x v="696"/>
    <x v="289"/>
    <x v="2"/>
    <x v="8"/>
    <x v="1"/>
    <x v="1"/>
    <x v="0"/>
    <x v="1"/>
    <x v="0"/>
    <n v="2"/>
    <n v="895"/>
    <n v="1790"/>
    <n v="10"/>
    <n v="179"/>
    <n v="1611"/>
    <n v="4.0999999999999996"/>
    <x v="0"/>
  </r>
  <r>
    <x v="697"/>
    <x v="290"/>
    <x v="2"/>
    <x v="8"/>
    <x v="6"/>
    <x v="0"/>
    <x v="0"/>
    <x v="2"/>
    <x v="2"/>
    <n v="1"/>
    <n v="365"/>
    <n v="365"/>
    <n v="0"/>
    <n v="0"/>
    <n v="365"/>
    <n v="3.8"/>
    <x v="0"/>
  </r>
  <r>
    <x v="698"/>
    <x v="290"/>
    <x v="1"/>
    <x v="2"/>
    <x v="5"/>
    <x v="1"/>
    <x v="0"/>
    <x v="0"/>
    <x v="0"/>
    <n v="4"/>
    <n v="538"/>
    <n v="2152"/>
    <n v="25"/>
    <n v="538"/>
    <n v="1614"/>
    <n v="4.5999999999999996"/>
    <x v="0"/>
  </r>
  <r>
    <x v="699"/>
    <x v="290"/>
    <x v="2"/>
    <x v="6"/>
    <x v="11"/>
    <x v="3"/>
    <x v="0"/>
    <x v="2"/>
    <x v="4"/>
    <n v="1"/>
    <n v="694"/>
    <n v="694"/>
    <n v="0"/>
    <n v="0"/>
    <n v="694"/>
    <n v="4.4000000000000004"/>
    <x v="1"/>
  </r>
  <r>
    <x v="700"/>
    <x v="290"/>
    <x v="5"/>
    <x v="17"/>
    <x v="5"/>
    <x v="4"/>
    <x v="1"/>
    <x v="0"/>
    <x v="4"/>
    <n v="3"/>
    <n v="2518"/>
    <n v="7554"/>
    <n v="15"/>
    <n v="1133"/>
    <n v="6421"/>
    <n v="3.5"/>
    <x v="0"/>
  </r>
  <r>
    <x v="701"/>
    <x v="291"/>
    <x v="2"/>
    <x v="15"/>
    <x v="4"/>
    <x v="4"/>
    <x v="1"/>
    <x v="2"/>
    <x v="1"/>
    <n v="1"/>
    <n v="322"/>
    <n v="322"/>
    <n v="30"/>
    <n v="97"/>
    <n v="225"/>
    <n v="4.8"/>
    <x v="0"/>
  </r>
  <r>
    <x v="702"/>
    <x v="292"/>
    <x v="4"/>
    <x v="7"/>
    <x v="2"/>
    <x v="9"/>
    <x v="1"/>
    <x v="1"/>
    <x v="3"/>
    <n v="3"/>
    <n v="1560"/>
    <n v="4680"/>
    <n v="10"/>
    <n v="468"/>
    <n v="4212"/>
    <n v="4.4000000000000004"/>
    <x v="0"/>
  </r>
  <r>
    <x v="703"/>
    <x v="292"/>
    <x v="3"/>
    <x v="5"/>
    <x v="4"/>
    <x v="1"/>
    <x v="0"/>
    <x v="0"/>
    <x v="1"/>
    <n v="4"/>
    <n v="604"/>
    <n v="2416"/>
    <n v="25"/>
    <n v="604"/>
    <n v="1812"/>
    <n v="3.8"/>
    <x v="0"/>
  </r>
  <r>
    <x v="704"/>
    <x v="293"/>
    <x v="0"/>
    <x v="18"/>
    <x v="10"/>
    <x v="5"/>
    <x v="1"/>
    <x v="1"/>
    <x v="2"/>
    <n v="4"/>
    <n v="902"/>
    <n v="3608"/>
    <n v="15"/>
    <n v="541"/>
    <n v="3067"/>
    <n v="3.7"/>
    <x v="0"/>
  </r>
  <r>
    <x v="705"/>
    <x v="293"/>
    <x v="0"/>
    <x v="22"/>
    <x v="5"/>
    <x v="0"/>
    <x v="1"/>
    <x v="1"/>
    <x v="1"/>
    <n v="5"/>
    <n v="261"/>
    <n v="1305"/>
    <n v="30"/>
    <n v="392"/>
    <n v="913"/>
    <n v="3.8"/>
    <x v="0"/>
  </r>
  <r>
    <x v="706"/>
    <x v="294"/>
    <x v="4"/>
    <x v="7"/>
    <x v="2"/>
    <x v="0"/>
    <x v="0"/>
    <x v="1"/>
    <x v="3"/>
    <n v="3"/>
    <n v="641"/>
    <n v="1923"/>
    <n v="0"/>
    <n v="0"/>
    <n v="1923"/>
    <n v="4.5"/>
    <x v="0"/>
  </r>
  <r>
    <x v="707"/>
    <x v="294"/>
    <x v="0"/>
    <x v="18"/>
    <x v="2"/>
    <x v="5"/>
    <x v="0"/>
    <x v="0"/>
    <x v="4"/>
    <n v="3"/>
    <n v="736"/>
    <n v="2208"/>
    <n v="25"/>
    <n v="552"/>
    <n v="1656"/>
    <n v="4.8"/>
    <x v="0"/>
  </r>
  <r>
    <x v="708"/>
    <x v="295"/>
    <x v="5"/>
    <x v="17"/>
    <x v="10"/>
    <x v="5"/>
    <x v="1"/>
    <x v="0"/>
    <x v="2"/>
    <n v="3"/>
    <n v="2155"/>
    <n v="6465"/>
    <n v="15"/>
    <n v="970"/>
    <n v="5495"/>
    <n v="4.7"/>
    <x v="0"/>
  </r>
  <r>
    <x v="709"/>
    <x v="295"/>
    <x v="2"/>
    <x v="6"/>
    <x v="10"/>
    <x v="5"/>
    <x v="0"/>
    <x v="1"/>
    <x v="3"/>
    <n v="2"/>
    <n v="433"/>
    <n v="866"/>
    <n v="25"/>
    <n v="216"/>
    <n v="650"/>
    <n v="4.0999999999999996"/>
    <x v="0"/>
  </r>
  <r>
    <x v="710"/>
    <x v="296"/>
    <x v="5"/>
    <x v="11"/>
    <x v="10"/>
    <x v="5"/>
    <x v="0"/>
    <x v="2"/>
    <x v="0"/>
    <n v="1"/>
    <n v="1476"/>
    <n v="1476"/>
    <n v="5"/>
    <n v="74"/>
    <n v="1402"/>
    <n v="3.7"/>
    <x v="1"/>
  </r>
  <r>
    <x v="711"/>
    <x v="297"/>
    <x v="4"/>
    <x v="19"/>
    <x v="10"/>
    <x v="0"/>
    <x v="0"/>
    <x v="0"/>
    <x v="2"/>
    <n v="5"/>
    <n v="474"/>
    <n v="2370"/>
    <n v="0"/>
    <n v="0"/>
    <n v="2370"/>
    <n v="3.6"/>
    <x v="0"/>
  </r>
  <r>
    <x v="712"/>
    <x v="298"/>
    <x v="0"/>
    <x v="22"/>
    <x v="3"/>
    <x v="8"/>
    <x v="0"/>
    <x v="0"/>
    <x v="3"/>
    <n v="1"/>
    <n v="351"/>
    <n v="351"/>
    <n v="15"/>
    <n v="53"/>
    <n v="298"/>
    <n v="4.8"/>
    <x v="0"/>
  </r>
  <r>
    <x v="713"/>
    <x v="298"/>
    <x v="0"/>
    <x v="18"/>
    <x v="2"/>
    <x v="9"/>
    <x v="1"/>
    <x v="0"/>
    <x v="1"/>
    <n v="3"/>
    <n v="259"/>
    <n v="777"/>
    <n v="15"/>
    <n v="117"/>
    <n v="660"/>
    <n v="4.0999999999999996"/>
    <x v="0"/>
  </r>
  <r>
    <x v="714"/>
    <x v="299"/>
    <x v="5"/>
    <x v="17"/>
    <x v="11"/>
    <x v="2"/>
    <x v="0"/>
    <x v="2"/>
    <x v="4"/>
    <n v="5"/>
    <n v="842"/>
    <n v="4210"/>
    <n v="30"/>
    <n v="1263"/>
    <n v="2947"/>
    <n v="4.9000000000000004"/>
    <x v="0"/>
  </r>
  <r>
    <x v="715"/>
    <x v="299"/>
    <x v="3"/>
    <x v="13"/>
    <x v="2"/>
    <x v="2"/>
    <x v="0"/>
    <x v="0"/>
    <x v="0"/>
    <n v="5"/>
    <n v="428"/>
    <n v="2140"/>
    <n v="30"/>
    <n v="642"/>
    <n v="1498"/>
    <n v="4.0999999999999996"/>
    <x v="0"/>
  </r>
  <r>
    <x v="716"/>
    <x v="299"/>
    <x v="0"/>
    <x v="0"/>
    <x v="5"/>
    <x v="4"/>
    <x v="2"/>
    <x v="2"/>
    <x v="1"/>
    <n v="1"/>
    <n v="644"/>
    <n v="644"/>
    <n v="20"/>
    <n v="129"/>
    <n v="515"/>
    <n v="5"/>
    <x v="0"/>
  </r>
  <r>
    <x v="717"/>
    <x v="299"/>
    <x v="3"/>
    <x v="9"/>
    <x v="5"/>
    <x v="8"/>
    <x v="1"/>
    <x v="0"/>
    <x v="4"/>
    <n v="3"/>
    <n v="669"/>
    <n v="2007"/>
    <n v="30"/>
    <n v="602"/>
    <n v="1405"/>
    <n v="3.8"/>
    <x v="1"/>
  </r>
  <r>
    <x v="718"/>
    <x v="299"/>
    <x v="1"/>
    <x v="12"/>
    <x v="0"/>
    <x v="8"/>
    <x v="0"/>
    <x v="2"/>
    <x v="2"/>
    <n v="1"/>
    <n v="635"/>
    <n v="635"/>
    <n v="20"/>
    <n v="127"/>
    <n v="508"/>
    <n v="4.4000000000000004"/>
    <x v="0"/>
  </r>
  <r>
    <x v="719"/>
    <x v="300"/>
    <x v="1"/>
    <x v="2"/>
    <x v="0"/>
    <x v="3"/>
    <x v="1"/>
    <x v="2"/>
    <x v="2"/>
    <n v="1"/>
    <n v="483"/>
    <n v="483"/>
    <n v="15"/>
    <n v="72"/>
    <n v="411"/>
    <n v="4.3"/>
    <x v="1"/>
  </r>
  <r>
    <x v="720"/>
    <x v="300"/>
    <x v="3"/>
    <x v="13"/>
    <x v="6"/>
    <x v="0"/>
    <x v="1"/>
    <x v="0"/>
    <x v="2"/>
    <n v="1"/>
    <n v="704"/>
    <n v="704"/>
    <n v="10"/>
    <n v="70"/>
    <n v="634"/>
    <n v="4"/>
    <x v="1"/>
  </r>
  <r>
    <x v="721"/>
    <x v="300"/>
    <x v="4"/>
    <x v="7"/>
    <x v="1"/>
    <x v="1"/>
    <x v="1"/>
    <x v="2"/>
    <x v="0"/>
    <n v="3"/>
    <n v="2055"/>
    <n v="6165"/>
    <n v="0"/>
    <n v="0"/>
    <n v="6165"/>
    <n v="4.2"/>
    <x v="0"/>
  </r>
  <r>
    <x v="722"/>
    <x v="300"/>
    <x v="4"/>
    <x v="19"/>
    <x v="3"/>
    <x v="6"/>
    <x v="1"/>
    <x v="0"/>
    <x v="2"/>
    <n v="5"/>
    <n v="1877"/>
    <n v="9385"/>
    <n v="0"/>
    <n v="0"/>
    <n v="9385"/>
    <n v="4.9000000000000004"/>
    <x v="0"/>
  </r>
  <r>
    <x v="723"/>
    <x v="301"/>
    <x v="0"/>
    <x v="0"/>
    <x v="6"/>
    <x v="5"/>
    <x v="0"/>
    <x v="0"/>
    <x v="1"/>
    <n v="3"/>
    <n v="881"/>
    <n v="2643"/>
    <n v="10"/>
    <n v="264"/>
    <n v="2379"/>
    <n v="4.4000000000000004"/>
    <x v="1"/>
  </r>
  <r>
    <x v="724"/>
    <x v="301"/>
    <x v="2"/>
    <x v="3"/>
    <x v="8"/>
    <x v="3"/>
    <x v="0"/>
    <x v="1"/>
    <x v="1"/>
    <n v="2"/>
    <n v="340"/>
    <n v="680"/>
    <n v="20"/>
    <n v="136"/>
    <n v="544"/>
    <n v="3.4"/>
    <x v="1"/>
  </r>
  <r>
    <x v="725"/>
    <x v="301"/>
    <x v="0"/>
    <x v="0"/>
    <x v="6"/>
    <x v="8"/>
    <x v="0"/>
    <x v="1"/>
    <x v="3"/>
    <n v="1"/>
    <n v="265"/>
    <n v="265"/>
    <n v="10"/>
    <n v="26"/>
    <n v="239"/>
    <n v="3.9"/>
    <x v="0"/>
  </r>
  <r>
    <x v="726"/>
    <x v="301"/>
    <x v="4"/>
    <x v="7"/>
    <x v="11"/>
    <x v="0"/>
    <x v="0"/>
    <x v="1"/>
    <x v="4"/>
    <n v="3"/>
    <n v="437"/>
    <n v="1311"/>
    <n v="10"/>
    <n v="131"/>
    <n v="1180"/>
    <n v="3.5"/>
    <x v="0"/>
  </r>
  <r>
    <x v="727"/>
    <x v="302"/>
    <x v="2"/>
    <x v="6"/>
    <x v="11"/>
    <x v="6"/>
    <x v="2"/>
    <x v="2"/>
    <x v="1"/>
    <n v="4"/>
    <n v="1030"/>
    <n v="4120"/>
    <n v="10"/>
    <n v="412"/>
    <n v="3708"/>
    <n v="3.7"/>
    <x v="0"/>
  </r>
  <r>
    <x v="728"/>
    <x v="303"/>
    <x v="3"/>
    <x v="9"/>
    <x v="9"/>
    <x v="0"/>
    <x v="1"/>
    <x v="0"/>
    <x v="0"/>
    <n v="4"/>
    <n v="668"/>
    <n v="2672"/>
    <n v="30"/>
    <n v="802"/>
    <n v="1870"/>
    <n v="4.5999999999999996"/>
    <x v="1"/>
  </r>
  <r>
    <x v="729"/>
    <x v="304"/>
    <x v="5"/>
    <x v="14"/>
    <x v="10"/>
    <x v="2"/>
    <x v="1"/>
    <x v="1"/>
    <x v="2"/>
    <n v="5"/>
    <n v="1140"/>
    <n v="5700"/>
    <n v="0"/>
    <n v="0"/>
    <n v="5700"/>
    <n v="4.2"/>
    <x v="0"/>
  </r>
  <r>
    <x v="730"/>
    <x v="305"/>
    <x v="3"/>
    <x v="9"/>
    <x v="4"/>
    <x v="3"/>
    <x v="1"/>
    <x v="0"/>
    <x v="1"/>
    <n v="5"/>
    <n v="442"/>
    <n v="2210"/>
    <n v="5"/>
    <n v="110"/>
    <n v="2100"/>
    <n v="4.9000000000000004"/>
    <x v="0"/>
  </r>
  <r>
    <x v="731"/>
    <x v="305"/>
    <x v="1"/>
    <x v="1"/>
    <x v="7"/>
    <x v="8"/>
    <x v="1"/>
    <x v="1"/>
    <x v="4"/>
    <n v="4"/>
    <n v="840"/>
    <n v="3360"/>
    <n v="25"/>
    <n v="840"/>
    <n v="2520"/>
    <n v="4.5"/>
    <x v="0"/>
  </r>
  <r>
    <x v="732"/>
    <x v="305"/>
    <x v="2"/>
    <x v="15"/>
    <x v="1"/>
    <x v="3"/>
    <x v="0"/>
    <x v="1"/>
    <x v="3"/>
    <n v="4"/>
    <n v="344"/>
    <n v="1376"/>
    <n v="10"/>
    <n v="138"/>
    <n v="1238"/>
    <n v="3.4"/>
    <x v="0"/>
  </r>
  <r>
    <x v="733"/>
    <x v="305"/>
    <x v="3"/>
    <x v="13"/>
    <x v="6"/>
    <x v="8"/>
    <x v="0"/>
    <x v="1"/>
    <x v="4"/>
    <n v="1"/>
    <n v="714"/>
    <n v="714"/>
    <n v="30"/>
    <n v="214"/>
    <n v="500"/>
    <n v="4.5"/>
    <x v="0"/>
  </r>
  <r>
    <x v="734"/>
    <x v="305"/>
    <x v="1"/>
    <x v="10"/>
    <x v="4"/>
    <x v="6"/>
    <x v="2"/>
    <x v="1"/>
    <x v="3"/>
    <n v="1"/>
    <n v="599"/>
    <n v="599"/>
    <n v="5"/>
    <n v="30"/>
    <n v="569"/>
    <n v="3.8"/>
    <x v="0"/>
  </r>
  <r>
    <x v="735"/>
    <x v="306"/>
    <x v="4"/>
    <x v="19"/>
    <x v="8"/>
    <x v="4"/>
    <x v="1"/>
    <x v="1"/>
    <x v="0"/>
    <n v="5"/>
    <n v="2043"/>
    <n v="10215"/>
    <n v="10"/>
    <n v="1022"/>
    <n v="9193"/>
    <n v="4.2"/>
    <x v="0"/>
  </r>
  <r>
    <x v="736"/>
    <x v="306"/>
    <x v="3"/>
    <x v="5"/>
    <x v="11"/>
    <x v="2"/>
    <x v="0"/>
    <x v="0"/>
    <x v="0"/>
    <n v="1"/>
    <n v="655"/>
    <n v="655"/>
    <n v="5"/>
    <n v="33"/>
    <n v="622"/>
    <n v="3.5"/>
    <x v="1"/>
  </r>
  <r>
    <x v="737"/>
    <x v="306"/>
    <x v="0"/>
    <x v="0"/>
    <x v="0"/>
    <x v="5"/>
    <x v="2"/>
    <x v="0"/>
    <x v="1"/>
    <n v="4"/>
    <n v="807"/>
    <n v="3228"/>
    <n v="10"/>
    <n v="323"/>
    <n v="2905"/>
    <n v="3.7"/>
    <x v="0"/>
  </r>
  <r>
    <x v="738"/>
    <x v="307"/>
    <x v="5"/>
    <x v="14"/>
    <x v="9"/>
    <x v="4"/>
    <x v="0"/>
    <x v="0"/>
    <x v="4"/>
    <n v="5"/>
    <n v="2343"/>
    <n v="11715"/>
    <n v="15"/>
    <n v="1757"/>
    <n v="9958"/>
    <n v="4.5"/>
    <x v="0"/>
  </r>
  <r>
    <x v="739"/>
    <x v="307"/>
    <x v="0"/>
    <x v="0"/>
    <x v="1"/>
    <x v="2"/>
    <x v="0"/>
    <x v="1"/>
    <x v="0"/>
    <n v="3"/>
    <n v="624"/>
    <n v="1872"/>
    <n v="25"/>
    <n v="468"/>
    <n v="1404"/>
    <n v="4.5999999999999996"/>
    <x v="0"/>
  </r>
  <r>
    <x v="740"/>
    <x v="307"/>
    <x v="5"/>
    <x v="11"/>
    <x v="1"/>
    <x v="8"/>
    <x v="1"/>
    <x v="1"/>
    <x v="2"/>
    <n v="2"/>
    <n v="2919"/>
    <n v="5838"/>
    <n v="30"/>
    <n v="1751"/>
    <n v="4087"/>
    <n v="3.6"/>
    <x v="0"/>
  </r>
  <r>
    <x v="741"/>
    <x v="308"/>
    <x v="3"/>
    <x v="13"/>
    <x v="11"/>
    <x v="3"/>
    <x v="1"/>
    <x v="0"/>
    <x v="3"/>
    <n v="5"/>
    <n v="200"/>
    <n v="1000"/>
    <n v="30"/>
    <n v="300"/>
    <n v="700"/>
    <n v="4.5999999999999996"/>
    <x v="0"/>
  </r>
  <r>
    <x v="742"/>
    <x v="308"/>
    <x v="1"/>
    <x v="1"/>
    <x v="4"/>
    <x v="8"/>
    <x v="0"/>
    <x v="1"/>
    <x v="4"/>
    <n v="1"/>
    <n v="755"/>
    <n v="755"/>
    <n v="25"/>
    <n v="189"/>
    <n v="566"/>
    <n v="4.7"/>
    <x v="0"/>
  </r>
  <r>
    <x v="743"/>
    <x v="309"/>
    <x v="3"/>
    <x v="13"/>
    <x v="10"/>
    <x v="5"/>
    <x v="0"/>
    <x v="0"/>
    <x v="3"/>
    <n v="4"/>
    <n v="219"/>
    <n v="876"/>
    <n v="20"/>
    <n v="175"/>
    <n v="701"/>
    <n v="3.6"/>
    <x v="0"/>
  </r>
  <r>
    <x v="744"/>
    <x v="310"/>
    <x v="1"/>
    <x v="10"/>
    <x v="7"/>
    <x v="7"/>
    <x v="0"/>
    <x v="1"/>
    <x v="1"/>
    <n v="1"/>
    <n v="636"/>
    <n v="636"/>
    <n v="25"/>
    <n v="159"/>
    <n v="477"/>
    <n v="3.3"/>
    <x v="0"/>
  </r>
  <r>
    <x v="745"/>
    <x v="310"/>
    <x v="4"/>
    <x v="20"/>
    <x v="8"/>
    <x v="0"/>
    <x v="1"/>
    <x v="0"/>
    <x v="1"/>
    <n v="5"/>
    <n v="1542"/>
    <n v="7710"/>
    <n v="5"/>
    <n v="386"/>
    <n v="7324"/>
    <n v="3.9"/>
    <x v="0"/>
  </r>
  <r>
    <x v="746"/>
    <x v="311"/>
    <x v="5"/>
    <x v="11"/>
    <x v="9"/>
    <x v="7"/>
    <x v="0"/>
    <x v="1"/>
    <x v="4"/>
    <n v="4"/>
    <n v="1538"/>
    <n v="6152"/>
    <n v="5"/>
    <n v="308"/>
    <n v="5844"/>
    <n v="4.7"/>
    <x v="0"/>
  </r>
  <r>
    <x v="747"/>
    <x v="312"/>
    <x v="3"/>
    <x v="13"/>
    <x v="0"/>
    <x v="6"/>
    <x v="0"/>
    <x v="1"/>
    <x v="1"/>
    <n v="3"/>
    <n v="587"/>
    <n v="1761"/>
    <n v="15"/>
    <n v="264"/>
    <n v="1497"/>
    <n v="4.3"/>
    <x v="0"/>
  </r>
  <r>
    <x v="748"/>
    <x v="312"/>
    <x v="1"/>
    <x v="2"/>
    <x v="2"/>
    <x v="2"/>
    <x v="0"/>
    <x v="2"/>
    <x v="4"/>
    <n v="2"/>
    <n v="600"/>
    <n v="1200"/>
    <n v="0"/>
    <n v="0"/>
    <n v="1200"/>
    <n v="4.9000000000000004"/>
    <x v="1"/>
  </r>
  <r>
    <x v="749"/>
    <x v="313"/>
    <x v="2"/>
    <x v="3"/>
    <x v="3"/>
    <x v="1"/>
    <x v="0"/>
    <x v="0"/>
    <x v="2"/>
    <n v="1"/>
    <n v="569"/>
    <n v="569"/>
    <n v="30"/>
    <n v="171"/>
    <n v="398"/>
    <n v="4.8"/>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NYK10417"/>
    <s v="2025-07-01"/>
    <s v="Haircare"/>
    <s v="Hair Oil"/>
    <x v="0"/>
    <s v="Jaipur"/>
    <s v="Nykaa App"/>
    <s v="New Customer"/>
    <x v="0"/>
    <n v="5"/>
    <n v="877"/>
    <n v="4385"/>
    <n v="30"/>
    <n v="1316"/>
    <n v="3069"/>
    <n v="4.3"/>
    <s v="No"/>
  </r>
  <r>
    <s v="NYK10485"/>
    <s v="2025-07-01"/>
    <s v="Makeup"/>
    <s v="Mascara"/>
    <x v="1"/>
    <s v="Bengaluru"/>
    <s v="Nykaa Website"/>
    <s v="Repeat Customer"/>
    <x v="1"/>
    <n v="4"/>
    <n v="876"/>
    <n v="3504"/>
    <n v="15"/>
    <n v="526"/>
    <n v="2978"/>
    <n v="3.6"/>
    <s v="No"/>
  </r>
  <r>
    <s v="NYK10403"/>
    <s v="2025-07-01"/>
    <s v="Makeup"/>
    <s v="Kajal"/>
    <x v="2"/>
    <s v="Jaipur"/>
    <s v="Nykaa Website"/>
    <s v="Repeat Customer"/>
    <x v="1"/>
    <n v="3"/>
    <n v="715"/>
    <n v="2145"/>
    <n v="0"/>
    <n v="0"/>
    <n v="2145"/>
    <n v="4.4000000000000004"/>
    <s v="No"/>
  </r>
  <r>
    <s v="NYK10511"/>
    <s v="2025-07-02"/>
    <s v="Skincare"/>
    <s v="Face Mask"/>
    <x v="3"/>
    <s v="Kolkata"/>
    <s v="Nykaa Offline Store"/>
    <s v="Repeat Customer"/>
    <x v="2"/>
    <n v="1"/>
    <n v="980"/>
    <n v="980"/>
    <n v="10"/>
    <n v="98"/>
    <n v="882"/>
    <n v="3.8"/>
    <s v="No"/>
  </r>
  <r>
    <s v="NYK10019"/>
    <s v="2025-07-02"/>
    <s v="Skincare"/>
    <s v="Moisturizer"/>
    <x v="4"/>
    <s v="Kolkata"/>
    <s v="Nykaa App"/>
    <s v="Repeat Customer"/>
    <x v="2"/>
    <n v="3"/>
    <n v="807"/>
    <n v="2421"/>
    <n v="25"/>
    <n v="605"/>
    <n v="1816"/>
    <n v="5"/>
    <s v="No"/>
  </r>
  <r>
    <s v="NYK10531"/>
    <s v="2025-07-03"/>
    <s v="Bath &amp; Body"/>
    <s v="Body Lotion"/>
    <x v="5"/>
    <s v="Kolkata"/>
    <s v="Nykaa Offline Store"/>
    <s v="New Customer"/>
    <x v="2"/>
    <n v="5"/>
    <n v="171"/>
    <n v="855"/>
    <n v="20"/>
    <n v="171"/>
    <n v="684"/>
    <n v="3.9"/>
    <s v="No"/>
  </r>
  <r>
    <s v="NYK10330"/>
    <s v="2025-07-03"/>
    <s v="Bath &amp; Body"/>
    <s v="Body Lotion"/>
    <x v="0"/>
    <s v="Jaipur"/>
    <s v="Nykaa Website"/>
    <s v="Repeat Customer"/>
    <x v="2"/>
    <n v="5"/>
    <n v="463"/>
    <n v="2315"/>
    <n v="20"/>
    <n v="463"/>
    <n v="1852"/>
    <n v="4.5999999999999996"/>
    <s v="No"/>
  </r>
  <r>
    <s v="NYK10387"/>
    <s v="2025-07-04"/>
    <s v="Skincare"/>
    <s v="Serum"/>
    <x v="5"/>
    <s v="Jaipur"/>
    <s v="Nykaa Offline Store"/>
    <s v="Repeat Customer"/>
    <x v="1"/>
    <n v="5"/>
    <n v="678"/>
    <n v="3390"/>
    <n v="20"/>
    <n v="678"/>
    <n v="2712"/>
    <n v="4.8"/>
    <s v="No"/>
  </r>
  <r>
    <s v="NYK10704"/>
    <s v="2025-07-05"/>
    <s v="Bath &amp; Body"/>
    <s v="Body Lotion"/>
    <x v="6"/>
    <s v="Ahmedabad"/>
    <s v="Nykaa Website"/>
    <s v="Repeat Customer"/>
    <x v="1"/>
    <n v="2"/>
    <n v="421"/>
    <n v="842"/>
    <n v="25"/>
    <n v="210"/>
    <n v="632"/>
    <n v="4.5999999999999996"/>
    <s v="No"/>
  </r>
  <r>
    <s v="NYK10701"/>
    <s v="2025-07-05"/>
    <s v="Personal Care"/>
    <s v="Hair Dryer"/>
    <x v="6"/>
    <s v="Chennai"/>
    <s v="Nykaa App"/>
    <s v="New Customer"/>
    <x v="2"/>
    <n v="4"/>
    <n v="2125"/>
    <n v="8500"/>
    <n v="30"/>
    <n v="2550"/>
    <n v="5950"/>
    <n v="4.4000000000000004"/>
    <s v="No"/>
  </r>
  <r>
    <s v="NYK10275"/>
    <s v="2025-07-06"/>
    <s v="Skincare"/>
    <s v="Sunscreen"/>
    <x v="0"/>
    <s v="Chennai"/>
    <s v="Nykaa App"/>
    <s v="Repeat Customer"/>
    <x v="1"/>
    <n v="3"/>
    <n v="1243"/>
    <n v="3729"/>
    <n v="25"/>
    <n v="932"/>
    <n v="2797"/>
    <n v="3.2"/>
    <s v="No"/>
  </r>
  <r>
    <s v="NYK10009"/>
    <s v="2025-07-06"/>
    <s v="Bath &amp; Body"/>
    <s v="Body Wash"/>
    <x v="7"/>
    <s v="Delhi"/>
    <s v="Nykaa Website"/>
    <s v="Repeat Customer"/>
    <x v="1"/>
    <n v="3"/>
    <n v="222"/>
    <n v="666"/>
    <n v="15"/>
    <n v="100"/>
    <n v="566"/>
    <n v="3.5"/>
    <s v="No"/>
  </r>
  <r>
    <s v="NYK10335"/>
    <s v="2025-07-07"/>
    <s v="Bath &amp; Body"/>
    <s v="Body Wash"/>
    <x v="4"/>
    <s v="Jaipur"/>
    <s v="Nykaa App"/>
    <s v="New Customer"/>
    <x v="0"/>
    <n v="1"/>
    <n v="279"/>
    <n v="279"/>
    <n v="30"/>
    <n v="84"/>
    <n v="195"/>
    <n v="4.5999999999999996"/>
    <s v="Yes"/>
  </r>
  <r>
    <s v="NYK10060"/>
    <s v="2025-07-07"/>
    <s v="Makeup"/>
    <s v="Compact"/>
    <x v="8"/>
    <s v="Lucknow"/>
    <s v="Nykaa App"/>
    <s v="Repeat Customer"/>
    <x v="1"/>
    <n v="2"/>
    <n v="1261"/>
    <n v="2522"/>
    <n v="10"/>
    <n v="252"/>
    <n v="2270"/>
    <n v="4.9000000000000004"/>
    <s v="No"/>
  </r>
  <r>
    <s v="NYK10626"/>
    <s v="2025-07-08"/>
    <s v="Skincare"/>
    <s v="Moisturizer"/>
    <x v="9"/>
    <s v="Hyderabad"/>
    <s v="Nykaa App"/>
    <s v="New Customer"/>
    <x v="3"/>
    <n v="1"/>
    <n v="550"/>
    <n v="550"/>
    <n v="25"/>
    <n v="138"/>
    <n v="412"/>
    <n v="3.5"/>
    <s v="No"/>
  </r>
  <r>
    <s v="NYK10586"/>
    <s v="2025-07-10"/>
    <s v="Personal Care"/>
    <s v="Hair Dryer"/>
    <x v="9"/>
    <s v="Jaipur"/>
    <s v="Nykaa Website"/>
    <s v="Repeat Customer"/>
    <x v="3"/>
    <n v="4"/>
    <n v="962"/>
    <n v="3848"/>
    <n v="25"/>
    <n v="962"/>
    <n v="2886"/>
    <n v="4.2"/>
    <s v="No"/>
  </r>
  <r>
    <s v="NYK10516"/>
    <s v="2025-07-10"/>
    <s v="Makeup"/>
    <s v="Compact"/>
    <x v="1"/>
    <s v="Ahmedabad"/>
    <s v="Nykaa Offline Store"/>
    <s v="Repeat Customer"/>
    <x v="3"/>
    <n v="2"/>
    <n v="215"/>
    <n v="430"/>
    <n v="25"/>
    <n v="108"/>
    <n v="322"/>
    <n v="3.3"/>
    <s v="No"/>
  </r>
  <r>
    <s v="NYK10617"/>
    <s v="2025-07-11"/>
    <s v="Makeup"/>
    <s v="Compact"/>
    <x v="8"/>
    <s v="Hyderabad"/>
    <s v="Nykaa App"/>
    <s v="Repeat Customer"/>
    <x v="1"/>
    <n v="2"/>
    <n v="332"/>
    <n v="664"/>
    <n v="15"/>
    <n v="100"/>
    <n v="564"/>
    <n v="4.5999999999999996"/>
    <s v="No"/>
  </r>
  <r>
    <s v="NYK10415"/>
    <s v="2025-07-11"/>
    <s v="Fragrance"/>
    <s v="Body Mist"/>
    <x v="3"/>
    <s v="Kolkata"/>
    <s v="Nykaa App"/>
    <s v="New Customer"/>
    <x v="0"/>
    <n v="4"/>
    <n v="2266"/>
    <n v="9064"/>
    <n v="20"/>
    <n v="1813"/>
    <n v="7251"/>
    <n v="3.7"/>
    <s v="No"/>
  </r>
  <r>
    <s v="NYK10465"/>
    <s v="2025-07-13"/>
    <s v="Makeup"/>
    <s v="Lipstick"/>
    <x v="8"/>
    <s v="Ahmedabad"/>
    <s v="Nykaa Website"/>
    <s v="New Customer"/>
    <x v="3"/>
    <n v="5"/>
    <n v="1298"/>
    <n v="6490"/>
    <n v="15"/>
    <n v="974"/>
    <n v="5516"/>
    <n v="3.3"/>
    <s v="No"/>
  </r>
  <r>
    <s v="NYK10345"/>
    <s v="2025-07-13"/>
    <s v="Bath &amp; Body"/>
    <s v="Bath Salt"/>
    <x v="6"/>
    <s v="Jaipur"/>
    <s v="Nykaa Website"/>
    <s v="New Customer"/>
    <x v="4"/>
    <n v="4"/>
    <n v="465"/>
    <n v="1860"/>
    <n v="10"/>
    <n v="186"/>
    <n v="1674"/>
    <n v="4.8"/>
    <s v="No"/>
  </r>
  <r>
    <s v="NYK10128"/>
    <s v="2025-07-14"/>
    <s v="Makeup"/>
    <s v="Compact"/>
    <x v="10"/>
    <s v="Kolkata"/>
    <s v="Nykaa App"/>
    <s v="Repeat Customer"/>
    <x v="3"/>
    <n v="4"/>
    <n v="1293"/>
    <n v="5172"/>
    <n v="10"/>
    <n v="517"/>
    <n v="4655"/>
    <n v="3.6"/>
    <s v="No"/>
  </r>
  <r>
    <s v="NYK10096"/>
    <s v="2025-07-14"/>
    <s v="Makeup"/>
    <s v="Lipstick"/>
    <x v="1"/>
    <s v="Bengaluru"/>
    <s v="Nykaa App"/>
    <s v="Repeat Customer"/>
    <x v="3"/>
    <n v="5"/>
    <n v="555"/>
    <n v="2775"/>
    <n v="5"/>
    <n v="139"/>
    <n v="2636"/>
    <n v="3.7"/>
    <s v="No"/>
  </r>
  <r>
    <s v="NYK10161"/>
    <s v="2025-07-14"/>
    <s v="Personal Care"/>
    <s v="Hair Dryer"/>
    <x v="1"/>
    <s v="Lucknow"/>
    <s v="Nykaa App"/>
    <s v="Premium Member"/>
    <x v="4"/>
    <n v="5"/>
    <n v="877"/>
    <n v="4385"/>
    <n v="0"/>
    <n v="0"/>
    <n v="4385"/>
    <n v="4.3"/>
    <s v="No"/>
  </r>
  <r>
    <s v="NYK10105"/>
    <s v="2025-07-15"/>
    <s v="Personal Care"/>
    <s v="Hair Dryer"/>
    <x v="6"/>
    <s v="Bengaluru"/>
    <s v="Nykaa App"/>
    <s v="Repeat Customer"/>
    <x v="1"/>
    <n v="3"/>
    <n v="412"/>
    <n v="1236"/>
    <n v="30"/>
    <n v="371"/>
    <n v="865"/>
    <n v="3.5"/>
    <s v="No"/>
  </r>
  <r>
    <s v="NYK10605"/>
    <s v="2025-07-15"/>
    <s v="Makeup"/>
    <s v="Compact"/>
    <x v="9"/>
    <s v="Chennai"/>
    <s v="Nykaa Offline Store"/>
    <s v="New Customer"/>
    <x v="2"/>
    <n v="2"/>
    <n v="606"/>
    <n v="1212"/>
    <n v="25"/>
    <n v="303"/>
    <n v="909"/>
    <n v="4.4000000000000004"/>
    <s v="No"/>
  </r>
  <r>
    <s v="NYK10653"/>
    <s v="2025-07-15"/>
    <s v="Haircare"/>
    <s v="Hair Oil"/>
    <x v="0"/>
    <s v="Bengaluru"/>
    <s v="Nykaa App"/>
    <s v="Repeat Customer"/>
    <x v="0"/>
    <n v="3"/>
    <n v="905"/>
    <n v="2715"/>
    <n v="5"/>
    <n v="136"/>
    <n v="2579"/>
    <n v="3.5"/>
    <s v="No"/>
  </r>
  <r>
    <s v="NYK10663"/>
    <s v="2025-07-15"/>
    <s v="Fragrance"/>
    <s v="Perfume"/>
    <x v="0"/>
    <s v="Kolkata"/>
    <s v="Nykaa Website"/>
    <s v="Premium Member"/>
    <x v="0"/>
    <n v="3"/>
    <n v="1884"/>
    <n v="5652"/>
    <n v="20"/>
    <n v="1130"/>
    <n v="4522"/>
    <n v="4.4000000000000004"/>
    <s v="No"/>
  </r>
  <r>
    <s v="NYK10689"/>
    <s v="2025-07-16"/>
    <s v="Skincare"/>
    <s v="Face Wash"/>
    <x v="10"/>
    <s v="Jaipur"/>
    <s v="Nykaa App"/>
    <s v="New Customer"/>
    <x v="3"/>
    <n v="5"/>
    <n v="1394"/>
    <n v="6970"/>
    <n v="10"/>
    <n v="697"/>
    <n v="6273"/>
    <n v="3.3"/>
    <s v="No"/>
  </r>
  <r>
    <s v="NYK10670"/>
    <s v="2025-07-16"/>
    <s v="Skincare"/>
    <s v="Face Wash"/>
    <x v="7"/>
    <s v="Ahmedabad"/>
    <s v="Nykaa Website"/>
    <s v="New Customer"/>
    <x v="2"/>
    <n v="5"/>
    <n v="729"/>
    <n v="3645"/>
    <n v="5"/>
    <n v="182"/>
    <n v="3463"/>
    <n v="4.7"/>
    <s v="No"/>
  </r>
  <r>
    <s v="NYK10064"/>
    <s v="2025-07-17"/>
    <s v="Bath &amp; Body"/>
    <s v="Body Wash"/>
    <x v="6"/>
    <s v="Hyderabad"/>
    <s v="Nykaa App"/>
    <s v="New Customer"/>
    <x v="2"/>
    <n v="1"/>
    <n v="596"/>
    <n v="596"/>
    <n v="10"/>
    <n v="60"/>
    <n v="536"/>
    <n v="4.5999999999999996"/>
    <s v="No"/>
  </r>
  <r>
    <s v="NYK10201"/>
    <s v="2025-07-17"/>
    <s v="Bath &amp; Body"/>
    <s v="Bath Salt"/>
    <x v="1"/>
    <s v="Bengaluru"/>
    <s v="Nykaa Offline Store"/>
    <s v="New Customer"/>
    <x v="3"/>
    <n v="5"/>
    <n v="243"/>
    <n v="1215"/>
    <n v="30"/>
    <n v="364"/>
    <n v="851"/>
    <n v="4.5"/>
    <s v="No"/>
  </r>
  <r>
    <s v="NYK10498"/>
    <s v="2025-07-17"/>
    <s v="Fragrance"/>
    <s v="Perfume"/>
    <x v="7"/>
    <s v="Pune"/>
    <s v="Nykaa Offline Store"/>
    <s v="Premium Member"/>
    <x v="4"/>
    <n v="2"/>
    <n v="2593"/>
    <n v="5186"/>
    <n v="30"/>
    <n v="1556"/>
    <n v="3630"/>
    <n v="5"/>
    <s v="No"/>
  </r>
  <r>
    <s v="NYK10006"/>
    <s v="2025-07-17"/>
    <s v="Haircare"/>
    <s v="Shampoo"/>
    <x v="3"/>
    <s v="Pune"/>
    <s v="Nykaa App"/>
    <s v="New Customer"/>
    <x v="4"/>
    <n v="3"/>
    <n v="330"/>
    <n v="990"/>
    <n v="15"/>
    <n v="148"/>
    <n v="842"/>
    <n v="3.9"/>
    <s v="No"/>
  </r>
  <r>
    <s v="NYK10379"/>
    <s v="2025-07-18"/>
    <s v="Bath &amp; Body"/>
    <s v="Body Wash"/>
    <x v="3"/>
    <s v="Lucknow"/>
    <s v="Nykaa App"/>
    <s v="Repeat Customer"/>
    <x v="4"/>
    <n v="2"/>
    <n v="587"/>
    <n v="1174"/>
    <n v="10"/>
    <n v="117"/>
    <n v="1057"/>
    <n v="3.6"/>
    <s v="No"/>
  </r>
  <r>
    <s v="NYK10410"/>
    <s v="2025-07-18"/>
    <s v="Fragrance"/>
    <s v="Deodorant"/>
    <x v="3"/>
    <s v="Hyderabad"/>
    <s v="Nykaa App"/>
    <s v="Repeat Customer"/>
    <x v="4"/>
    <n v="2"/>
    <n v="1681"/>
    <n v="3362"/>
    <n v="25"/>
    <n v="840"/>
    <n v="2522"/>
    <n v="4.9000000000000004"/>
    <s v="Yes"/>
  </r>
  <r>
    <s v="NYK10426"/>
    <s v="2025-07-18"/>
    <s v="Fragrance"/>
    <s v="Deodorant"/>
    <x v="2"/>
    <s v="Chennai"/>
    <s v="Nykaa Website"/>
    <s v="Repeat Customer"/>
    <x v="1"/>
    <n v="1"/>
    <n v="1250"/>
    <n v="1250"/>
    <n v="5"/>
    <n v="62"/>
    <n v="1188"/>
    <n v="3.6"/>
    <s v="No"/>
  </r>
  <r>
    <s v="NYK10718"/>
    <s v="2025-07-18"/>
    <s v="Haircare"/>
    <s v="Conditioner"/>
    <x v="3"/>
    <s v="Jaipur"/>
    <s v="Nykaa App"/>
    <s v="Repeat Customer"/>
    <x v="4"/>
    <n v="1"/>
    <n v="481"/>
    <n v="481"/>
    <n v="10"/>
    <n v="48"/>
    <n v="433"/>
    <n v="4"/>
    <s v="No"/>
  </r>
  <r>
    <s v="NYK10492"/>
    <s v="2025-07-18"/>
    <s v="Bath &amp; Body"/>
    <s v="Bath Salt"/>
    <x v="10"/>
    <s v="Mumbai"/>
    <s v="Nykaa Website"/>
    <s v="Repeat Customer"/>
    <x v="0"/>
    <n v="5"/>
    <n v="462"/>
    <n v="2310"/>
    <n v="25"/>
    <n v="578"/>
    <n v="1732"/>
    <n v="3.3"/>
    <s v="No"/>
  </r>
  <r>
    <s v="NYK10696"/>
    <s v="2025-07-19"/>
    <s v="Personal Care"/>
    <s v="Hair Dryer"/>
    <x v="1"/>
    <s v="Hyderabad"/>
    <s v="Nykaa App"/>
    <s v="New Customer"/>
    <x v="3"/>
    <n v="4"/>
    <n v="858"/>
    <n v="3432"/>
    <n v="15"/>
    <n v="515"/>
    <n v="2917"/>
    <n v="4.8"/>
    <s v="No"/>
  </r>
  <r>
    <s v="NYK10028"/>
    <s v="2025-07-19"/>
    <s v="Personal Care"/>
    <s v="Trimmer"/>
    <x v="7"/>
    <s v="Pune"/>
    <s v="Nykaa Website"/>
    <s v="New Customer"/>
    <x v="3"/>
    <n v="1"/>
    <n v="1046"/>
    <n v="1046"/>
    <n v="30"/>
    <n v="314"/>
    <n v="732"/>
    <n v="4.9000000000000004"/>
    <s v="No"/>
  </r>
  <r>
    <s v="NYK10170"/>
    <s v="2025-07-20"/>
    <s v="Bath &amp; Body"/>
    <s v="Body Lotion"/>
    <x v="7"/>
    <s v="Bengaluru"/>
    <s v="Nykaa App"/>
    <s v="Repeat Customer"/>
    <x v="0"/>
    <n v="4"/>
    <n v="661"/>
    <n v="2644"/>
    <n v="5"/>
    <n v="132"/>
    <n v="2512"/>
    <n v="4.9000000000000004"/>
    <s v="Yes"/>
  </r>
  <r>
    <s v="NYK10227"/>
    <s v="2025-07-22"/>
    <s v="Bath &amp; Body"/>
    <s v="Body Wash"/>
    <x v="7"/>
    <s v="Ahmedabad"/>
    <s v="Nykaa App"/>
    <s v="Premium Member"/>
    <x v="0"/>
    <n v="2"/>
    <n v="343"/>
    <n v="686"/>
    <n v="0"/>
    <n v="0"/>
    <n v="686"/>
    <n v="4"/>
    <s v="No"/>
  </r>
  <r>
    <s v="NYK10608"/>
    <s v="2025-07-22"/>
    <s v="Haircare"/>
    <s v="Conditioner"/>
    <x v="7"/>
    <s v="Lucknow"/>
    <s v="Nykaa App"/>
    <s v="New Customer"/>
    <x v="2"/>
    <n v="3"/>
    <n v="895"/>
    <n v="2685"/>
    <n v="5"/>
    <n v="134"/>
    <n v="2551"/>
    <n v="3.4"/>
    <s v="No"/>
  </r>
  <r>
    <s v="NYK10200"/>
    <s v="2025-07-22"/>
    <s v="Bath &amp; Body"/>
    <s v="Body Lotion"/>
    <x v="7"/>
    <s v="Hyderabad"/>
    <s v="Nykaa App"/>
    <s v="Premium Member"/>
    <x v="4"/>
    <n v="4"/>
    <n v="325"/>
    <n v="1300"/>
    <n v="0"/>
    <n v="0"/>
    <n v="1300"/>
    <n v="4.4000000000000004"/>
    <s v="No"/>
  </r>
  <r>
    <s v="NYK10134"/>
    <s v="2025-07-23"/>
    <s v="Personal Care"/>
    <s v="Face Roller"/>
    <x v="9"/>
    <s v="Pune"/>
    <s v="Nykaa App"/>
    <s v="Repeat Customer"/>
    <x v="3"/>
    <n v="4"/>
    <n v="2459"/>
    <n v="9836"/>
    <n v="15"/>
    <n v="1475"/>
    <n v="8361"/>
    <n v="4.3"/>
    <s v="No"/>
  </r>
  <r>
    <s v="NYK10419"/>
    <s v="2025-07-23"/>
    <s v="Bath &amp; Body"/>
    <s v="Bath Salt"/>
    <x v="8"/>
    <s v="Bengaluru"/>
    <s v="Nykaa App"/>
    <s v="New Customer"/>
    <x v="0"/>
    <n v="4"/>
    <n v="274"/>
    <n v="1096"/>
    <n v="0"/>
    <n v="0"/>
    <n v="1096"/>
    <n v="4.2"/>
    <s v="No"/>
  </r>
  <r>
    <s v="NYK10693"/>
    <s v="2025-07-24"/>
    <s v="Fragrance"/>
    <s v="Body Mist"/>
    <x v="3"/>
    <s v="Lucknow"/>
    <s v="Nykaa Website"/>
    <s v="Premium Member"/>
    <x v="1"/>
    <n v="2"/>
    <n v="1318"/>
    <n v="2636"/>
    <n v="0"/>
    <n v="0"/>
    <n v="2636"/>
    <n v="4.3"/>
    <s v="No"/>
  </r>
  <r>
    <s v="NYK10579"/>
    <s v="2025-07-24"/>
    <s v="Skincare"/>
    <s v="Face Wash"/>
    <x v="5"/>
    <s v="Bengaluru"/>
    <s v="Nykaa Website"/>
    <s v="New Customer"/>
    <x v="4"/>
    <n v="1"/>
    <n v="1217"/>
    <n v="1217"/>
    <n v="25"/>
    <n v="304"/>
    <n v="913"/>
    <n v="3.8"/>
    <s v="No"/>
  </r>
  <r>
    <s v="NYK10616"/>
    <s v="2025-07-25"/>
    <s v="Haircare"/>
    <s v="Conditioner"/>
    <x v="3"/>
    <s v="Chennai"/>
    <s v="Nykaa App"/>
    <s v="New Customer"/>
    <x v="0"/>
    <n v="5"/>
    <n v="958"/>
    <n v="4790"/>
    <n v="15"/>
    <n v="718"/>
    <n v="4072"/>
    <n v="3.4"/>
    <s v="No"/>
  </r>
  <r>
    <s v="NYK10431"/>
    <s v="2025-07-26"/>
    <s v="Haircare"/>
    <s v="Conditioner"/>
    <x v="9"/>
    <s v="Kolkata"/>
    <s v="Nykaa Offline Store"/>
    <s v="Repeat Customer"/>
    <x v="4"/>
    <n v="5"/>
    <n v="226"/>
    <n v="1130"/>
    <n v="15"/>
    <n v="170"/>
    <n v="960"/>
    <n v="3.7"/>
    <s v="No"/>
  </r>
  <r>
    <s v="NYK10107"/>
    <s v="2025-07-27"/>
    <s v="Bath &amp; Body"/>
    <s v="Bath Salt"/>
    <x v="8"/>
    <s v="Bengaluru"/>
    <s v="Nykaa App"/>
    <s v="Repeat Customer"/>
    <x v="0"/>
    <n v="3"/>
    <n v="437"/>
    <n v="1311"/>
    <n v="15"/>
    <n v="197"/>
    <n v="1114"/>
    <n v="4.0999999999999996"/>
    <s v="No"/>
  </r>
  <r>
    <s v="NYK10525"/>
    <s v="2025-07-27"/>
    <s v="Skincare"/>
    <s v="Face Wash"/>
    <x v="11"/>
    <s v="Jaipur"/>
    <s v="Nykaa App"/>
    <s v="Repeat Customer"/>
    <x v="2"/>
    <n v="5"/>
    <n v="438"/>
    <n v="2190"/>
    <n v="5"/>
    <n v="110"/>
    <n v="2080"/>
    <n v="4.5"/>
    <s v="No"/>
  </r>
  <r>
    <s v="NYK10338"/>
    <s v="2025-07-28"/>
    <s v="Personal Care"/>
    <s v="Face Roller"/>
    <x v="7"/>
    <s v="Mumbai"/>
    <s v="Nykaa Website"/>
    <s v="New Customer"/>
    <x v="2"/>
    <n v="2"/>
    <n v="2313"/>
    <n v="4626"/>
    <n v="25"/>
    <n v="1156"/>
    <n v="3470"/>
    <n v="4.5"/>
    <s v="No"/>
  </r>
  <r>
    <s v="NYK10574"/>
    <s v="2025-07-28"/>
    <s v="Makeup"/>
    <s v="Lipstick"/>
    <x v="8"/>
    <s v="Delhi"/>
    <s v="Nykaa App"/>
    <s v="New Customer"/>
    <x v="3"/>
    <n v="4"/>
    <n v="864"/>
    <n v="3456"/>
    <n v="10"/>
    <n v="346"/>
    <n v="3110"/>
    <n v="3.5"/>
    <s v="No"/>
  </r>
  <r>
    <s v="NYK10304"/>
    <s v="2025-07-28"/>
    <s v="Fragrance"/>
    <s v="Perfume"/>
    <x v="0"/>
    <s v="Lucknow"/>
    <s v="Nykaa Website"/>
    <s v="Repeat Customer"/>
    <x v="2"/>
    <n v="2"/>
    <n v="1750"/>
    <n v="3500"/>
    <n v="30"/>
    <n v="1050"/>
    <n v="2450"/>
    <n v="4.4000000000000004"/>
    <s v="No"/>
  </r>
  <r>
    <s v="NYK10646"/>
    <s v="2025-07-31"/>
    <s v="Bath &amp; Body"/>
    <s v="Body Lotion"/>
    <x v="11"/>
    <s v="Pune"/>
    <s v="Nykaa App"/>
    <s v="Repeat Customer"/>
    <x v="0"/>
    <n v="1"/>
    <n v="641"/>
    <n v="641"/>
    <n v="0"/>
    <n v="0"/>
    <n v="641"/>
    <n v="4"/>
    <s v="No"/>
  </r>
  <r>
    <s v="NYK10684"/>
    <s v="2025-07-31"/>
    <s v="Makeup"/>
    <s v="Foundation"/>
    <x v="2"/>
    <s v="Bengaluru"/>
    <s v="Nykaa App"/>
    <s v="Repeat Customer"/>
    <x v="1"/>
    <n v="3"/>
    <n v="841"/>
    <n v="2523"/>
    <n v="20"/>
    <n v="505"/>
    <n v="2018"/>
    <n v="4.5999999999999996"/>
    <s v="No"/>
  </r>
  <r>
    <s v="NYK10118"/>
    <s v="2025-08-01"/>
    <s v="Fragrance"/>
    <s v="Body Mist"/>
    <x v="9"/>
    <s v="Ahmedabad"/>
    <s v="Nykaa App"/>
    <s v="Premium Member"/>
    <x v="1"/>
    <n v="1"/>
    <n v="1760"/>
    <n v="1760"/>
    <n v="5"/>
    <n v="88"/>
    <n v="1672"/>
    <n v="3.3"/>
    <s v="No"/>
  </r>
  <r>
    <s v="NYK10336"/>
    <s v="2025-08-01"/>
    <s v="Personal Care"/>
    <s v="Face Roller"/>
    <x v="9"/>
    <s v="Chennai"/>
    <s v="Nykaa App"/>
    <s v="Repeat Customer"/>
    <x v="1"/>
    <n v="4"/>
    <n v="614"/>
    <n v="2456"/>
    <n v="30"/>
    <n v="737"/>
    <n v="1719"/>
    <n v="4.4000000000000004"/>
    <s v="No"/>
  </r>
  <r>
    <s v="NYK10283"/>
    <s v="2025-08-01"/>
    <s v="Makeup"/>
    <s v="Kajal"/>
    <x v="5"/>
    <s v="Bengaluru"/>
    <s v="Nykaa Website"/>
    <s v="Repeat Customer"/>
    <x v="0"/>
    <n v="3"/>
    <n v="1088"/>
    <n v="3264"/>
    <n v="15"/>
    <n v="490"/>
    <n v="2774"/>
    <n v="4.9000000000000004"/>
    <s v="No"/>
  </r>
  <r>
    <s v="NYK10630"/>
    <s v="2025-08-01"/>
    <s v="Personal Care"/>
    <s v="Face Roller"/>
    <x v="3"/>
    <s v="Jaipur"/>
    <s v="Nykaa App"/>
    <s v="Repeat Customer"/>
    <x v="4"/>
    <n v="1"/>
    <n v="961"/>
    <n v="961"/>
    <n v="25"/>
    <n v="240"/>
    <n v="721"/>
    <n v="4"/>
    <s v="No"/>
  </r>
  <r>
    <s v="NYK10421"/>
    <s v="2025-08-01"/>
    <s v="Skincare"/>
    <s v="Serum"/>
    <x v="1"/>
    <s v="Pune"/>
    <s v="Nykaa Website"/>
    <s v="Premium Member"/>
    <x v="2"/>
    <n v="3"/>
    <n v="1252"/>
    <n v="3756"/>
    <n v="0"/>
    <n v="0"/>
    <n v="3756"/>
    <n v="4.7"/>
    <s v="No"/>
  </r>
  <r>
    <s v="NYK10399"/>
    <s v="2025-08-02"/>
    <s v="Fragrance"/>
    <s v="Perfume"/>
    <x v="8"/>
    <s v="Ahmedabad"/>
    <s v="Nykaa App"/>
    <s v="New Customer"/>
    <x v="2"/>
    <n v="5"/>
    <n v="2411"/>
    <n v="12055"/>
    <n v="0"/>
    <n v="0"/>
    <n v="12055"/>
    <n v="3.4"/>
    <s v="No"/>
  </r>
  <r>
    <s v="NYK10349"/>
    <s v="2025-08-02"/>
    <s v="Personal Care"/>
    <s v="Hair Dryer"/>
    <x v="5"/>
    <s v="Lucknow"/>
    <s v="Nykaa App"/>
    <s v="Repeat Customer"/>
    <x v="1"/>
    <n v="5"/>
    <n v="622"/>
    <n v="3110"/>
    <n v="30"/>
    <n v="933"/>
    <n v="2177"/>
    <n v="4.4000000000000004"/>
    <s v="No"/>
  </r>
  <r>
    <s v="NYK10097"/>
    <s v="2025-08-02"/>
    <s v="Fragrance"/>
    <s v="Body Mist"/>
    <x v="8"/>
    <s v="Ahmedabad"/>
    <s v="Nykaa App"/>
    <s v="New Customer"/>
    <x v="4"/>
    <n v="1"/>
    <n v="1629"/>
    <n v="1629"/>
    <n v="5"/>
    <n v="81"/>
    <n v="1548"/>
    <n v="4.9000000000000004"/>
    <s v="No"/>
  </r>
  <r>
    <s v="NYK10514"/>
    <s v="2025-08-02"/>
    <s v="Makeup"/>
    <s v="Compact"/>
    <x v="4"/>
    <s v="Jaipur"/>
    <s v="Nykaa Website"/>
    <s v="Repeat Customer"/>
    <x v="2"/>
    <n v="1"/>
    <n v="240"/>
    <n v="240"/>
    <n v="0"/>
    <n v="0"/>
    <n v="240"/>
    <n v="3.8"/>
    <s v="No"/>
  </r>
  <r>
    <s v="NYK10680"/>
    <s v="2025-08-03"/>
    <s v="Fragrance"/>
    <s v="Deodorant"/>
    <x v="11"/>
    <s v="Bengaluru"/>
    <s v="Nykaa App"/>
    <s v="Repeat Customer"/>
    <x v="0"/>
    <n v="3"/>
    <n v="2026"/>
    <n v="6078"/>
    <n v="15"/>
    <n v="912"/>
    <n v="5166"/>
    <n v="3.3"/>
    <s v="No"/>
  </r>
  <r>
    <s v="NYK10566"/>
    <s v="2025-08-04"/>
    <s v="Makeup"/>
    <s v="Mascara"/>
    <x v="5"/>
    <s v="Delhi"/>
    <s v="Nykaa Website"/>
    <s v="Repeat Customer"/>
    <x v="4"/>
    <n v="2"/>
    <n v="986"/>
    <n v="1972"/>
    <n v="10"/>
    <n v="197"/>
    <n v="1775"/>
    <n v="3.5"/>
    <s v="No"/>
  </r>
  <r>
    <s v="NYK10184"/>
    <s v="2025-08-04"/>
    <s v="Skincare"/>
    <s v="Moisturizer"/>
    <x v="3"/>
    <s v="Delhi"/>
    <s v="Nykaa Website"/>
    <s v="Repeat Customer"/>
    <x v="0"/>
    <n v="2"/>
    <n v="1188"/>
    <n v="2376"/>
    <n v="15"/>
    <n v="356"/>
    <n v="2020"/>
    <n v="4"/>
    <s v="No"/>
  </r>
  <r>
    <s v="NYK10244"/>
    <s v="2025-08-04"/>
    <s v="Skincare"/>
    <s v="Face Wash"/>
    <x v="5"/>
    <s v="Mumbai"/>
    <s v="Nykaa App"/>
    <s v="New Customer"/>
    <x v="0"/>
    <n v="4"/>
    <n v="907"/>
    <n v="3628"/>
    <n v="25"/>
    <n v="907"/>
    <n v="2721"/>
    <n v="4.5"/>
    <s v="No"/>
  </r>
  <r>
    <s v="NYK10369"/>
    <s v="2025-08-05"/>
    <s v="Fragrance"/>
    <s v="Body Mist"/>
    <x v="5"/>
    <s v="Hyderabad"/>
    <s v="Nykaa App"/>
    <s v="New Customer"/>
    <x v="0"/>
    <n v="2"/>
    <n v="1806"/>
    <n v="3612"/>
    <n v="20"/>
    <n v="722"/>
    <n v="2890"/>
    <n v="4.4000000000000004"/>
    <s v="No"/>
  </r>
  <r>
    <s v="NYK10061"/>
    <s v="2025-08-07"/>
    <s v="Skincare"/>
    <s v="Serum"/>
    <x v="0"/>
    <s v="Lucknow"/>
    <s v="Nykaa Website"/>
    <s v="New Customer"/>
    <x v="3"/>
    <n v="5"/>
    <n v="1438"/>
    <n v="7190"/>
    <n v="0"/>
    <n v="0"/>
    <n v="7190"/>
    <n v="5"/>
    <s v="No"/>
  </r>
  <r>
    <s v="NYK10271"/>
    <s v="2025-08-07"/>
    <s v="Skincare"/>
    <s v="Face Mask"/>
    <x v="10"/>
    <s v="Pune"/>
    <s v="Nykaa Website"/>
    <s v="Repeat Customer"/>
    <x v="4"/>
    <n v="1"/>
    <n v="703"/>
    <n v="703"/>
    <n v="10"/>
    <n v="70"/>
    <n v="633"/>
    <n v="3.4"/>
    <s v="No"/>
  </r>
  <r>
    <s v="NYK10205"/>
    <s v="2025-08-07"/>
    <s v="Bath &amp; Body"/>
    <s v="Body Wash"/>
    <x v="3"/>
    <s v="Delhi"/>
    <s v="Nykaa App"/>
    <s v="New Customer"/>
    <x v="3"/>
    <n v="4"/>
    <n v="355"/>
    <n v="1420"/>
    <n v="0"/>
    <n v="0"/>
    <n v="1420"/>
    <n v="3.4"/>
    <s v="Yes"/>
  </r>
  <r>
    <s v="NYK10278"/>
    <s v="2025-08-08"/>
    <s v="Fragrance"/>
    <s v="Perfume"/>
    <x v="11"/>
    <s v="Jaipur"/>
    <s v="Nykaa Offline Store"/>
    <s v="Premium Member"/>
    <x v="1"/>
    <n v="5"/>
    <n v="2962"/>
    <n v="14810"/>
    <n v="15"/>
    <n v="2222"/>
    <n v="12588"/>
    <n v="4.5"/>
    <s v="No"/>
  </r>
  <r>
    <s v="NYK10422"/>
    <s v="2025-08-09"/>
    <s v="Skincare"/>
    <s v="Face Wash"/>
    <x v="6"/>
    <s v="Hyderabad"/>
    <s v="Nykaa Offline Store"/>
    <s v="New Customer"/>
    <x v="3"/>
    <n v="5"/>
    <n v="761"/>
    <n v="3805"/>
    <n v="5"/>
    <n v="190"/>
    <n v="3615"/>
    <n v="4.0999999999999996"/>
    <s v="No"/>
  </r>
  <r>
    <s v="NYK10113"/>
    <s v="2025-08-09"/>
    <s v="Makeup"/>
    <s v="Kajal"/>
    <x v="9"/>
    <s v="Jaipur"/>
    <s v="Nykaa Website"/>
    <s v="Repeat Customer"/>
    <x v="3"/>
    <n v="3"/>
    <n v="585"/>
    <n v="1755"/>
    <n v="30"/>
    <n v="526"/>
    <n v="1229"/>
    <n v="4.4000000000000004"/>
    <s v="No"/>
  </r>
  <r>
    <s v="NYK10249"/>
    <s v="2025-08-09"/>
    <s v="Personal Care"/>
    <s v="Hair Dryer"/>
    <x v="1"/>
    <s v="Ahmedabad"/>
    <s v="Nykaa App"/>
    <s v="New Customer"/>
    <x v="2"/>
    <n v="5"/>
    <n v="749"/>
    <n v="3745"/>
    <n v="5"/>
    <n v="187"/>
    <n v="3558"/>
    <n v="3.7"/>
    <s v="No"/>
  </r>
  <r>
    <s v="NYK10624"/>
    <s v="2025-08-10"/>
    <s v="Makeup"/>
    <s v="Foundation"/>
    <x v="9"/>
    <s v="Lucknow"/>
    <s v="Nykaa App"/>
    <s v="Repeat Customer"/>
    <x v="2"/>
    <n v="5"/>
    <n v="219"/>
    <n v="1095"/>
    <n v="15"/>
    <n v="164"/>
    <n v="931"/>
    <n v="3.4"/>
    <s v="No"/>
  </r>
  <r>
    <s v="NYK10738"/>
    <s v="2025-08-11"/>
    <s v="Fragrance"/>
    <s v="Body Mist"/>
    <x v="5"/>
    <s v="Jaipur"/>
    <s v="Nykaa Offline Store"/>
    <s v="Premium Member"/>
    <x v="3"/>
    <n v="4"/>
    <n v="1131"/>
    <n v="4524"/>
    <n v="10"/>
    <n v="452"/>
    <n v="4072"/>
    <n v="4.0999999999999996"/>
    <s v="No"/>
  </r>
  <r>
    <s v="NYK10150"/>
    <s v="2025-08-11"/>
    <s v="Bath &amp; Body"/>
    <s v="Body Lotion"/>
    <x v="2"/>
    <s v="Mumbai"/>
    <s v="Nykaa Offline Store"/>
    <s v="Repeat Customer"/>
    <x v="1"/>
    <n v="2"/>
    <n v="648"/>
    <n v="1296"/>
    <n v="15"/>
    <n v="194"/>
    <n v="1102"/>
    <n v="4.3"/>
    <s v="No"/>
  </r>
  <r>
    <s v="NYK10649"/>
    <s v="2025-08-11"/>
    <s v="Makeup"/>
    <s v="Compact"/>
    <x v="4"/>
    <s v="Delhi"/>
    <s v="Nykaa App"/>
    <s v="Premium Member"/>
    <x v="2"/>
    <n v="2"/>
    <n v="690"/>
    <n v="1380"/>
    <n v="10"/>
    <n v="138"/>
    <n v="1242"/>
    <n v="4.4000000000000004"/>
    <s v="No"/>
  </r>
  <r>
    <s v="NYK10677"/>
    <s v="2025-08-11"/>
    <s v="Fragrance"/>
    <s v="Perfume"/>
    <x v="10"/>
    <s v="Lucknow"/>
    <s v="Nykaa Website"/>
    <s v="Premium Member"/>
    <x v="3"/>
    <n v="4"/>
    <n v="2893"/>
    <n v="11572"/>
    <n v="5"/>
    <n v="579"/>
    <n v="10993"/>
    <n v="3.6"/>
    <s v="No"/>
  </r>
  <r>
    <s v="NYK10535"/>
    <s v="2025-08-11"/>
    <s v="Haircare"/>
    <s v="Conditioner"/>
    <x v="1"/>
    <s v="Lucknow"/>
    <s v="Nykaa Website"/>
    <s v="Repeat Customer"/>
    <x v="0"/>
    <n v="5"/>
    <n v="953"/>
    <n v="4765"/>
    <n v="25"/>
    <n v="1191"/>
    <n v="3574"/>
    <n v="3.9"/>
    <s v="No"/>
  </r>
  <r>
    <s v="NYK10245"/>
    <s v="2025-08-12"/>
    <s v="Fragrance"/>
    <s v="Body Mist"/>
    <x v="4"/>
    <s v="Jaipur"/>
    <s v="Nykaa App"/>
    <s v="New Customer"/>
    <x v="0"/>
    <n v="3"/>
    <n v="697"/>
    <n v="2091"/>
    <n v="5"/>
    <n v="105"/>
    <n v="1986"/>
    <n v="5"/>
    <s v="No"/>
  </r>
  <r>
    <s v="NYK10697"/>
    <s v="2025-08-13"/>
    <s v="Haircare"/>
    <s v="Hair Oil"/>
    <x v="7"/>
    <s v="Bengaluru"/>
    <s v="Nykaa Website"/>
    <s v="New Customer"/>
    <x v="4"/>
    <n v="3"/>
    <n v="345"/>
    <n v="1035"/>
    <n v="0"/>
    <n v="0"/>
    <n v="1035"/>
    <n v="4"/>
    <s v="No"/>
  </r>
  <r>
    <s v="NYK10490"/>
    <s v="2025-08-13"/>
    <s v="Personal Care"/>
    <s v="Face Roller"/>
    <x v="9"/>
    <s v="Bengaluru"/>
    <s v="Nykaa Website"/>
    <s v="Repeat Customer"/>
    <x v="2"/>
    <n v="5"/>
    <n v="2353"/>
    <n v="11765"/>
    <n v="20"/>
    <n v="2353"/>
    <n v="9412"/>
    <n v="3.5"/>
    <s v="No"/>
  </r>
  <r>
    <s v="NYK10641"/>
    <s v="2025-08-13"/>
    <s v="Skincare"/>
    <s v="Face Mask"/>
    <x v="8"/>
    <s v="Pune"/>
    <s v="Nykaa App"/>
    <s v="Premium Member"/>
    <x v="3"/>
    <n v="4"/>
    <n v="373"/>
    <n v="1492"/>
    <n v="30"/>
    <n v="448"/>
    <n v="1044"/>
    <n v="3.3"/>
    <s v="Yes"/>
  </r>
  <r>
    <s v="NYK10627"/>
    <s v="2025-08-14"/>
    <s v="Personal Care"/>
    <s v="Hair Dryer"/>
    <x v="3"/>
    <s v="Chennai"/>
    <s v="Nykaa Website"/>
    <s v="New Customer"/>
    <x v="2"/>
    <n v="1"/>
    <n v="644"/>
    <n v="644"/>
    <n v="5"/>
    <n v="32"/>
    <n v="612"/>
    <n v="4.5"/>
    <s v="No"/>
  </r>
  <r>
    <s v="NYK10112"/>
    <s v="2025-08-15"/>
    <s v="Fragrance"/>
    <s v="Body Mist"/>
    <x v="10"/>
    <s v="Kolkata"/>
    <s v="Nykaa Website"/>
    <s v="New Customer"/>
    <x v="4"/>
    <n v="4"/>
    <n v="1809"/>
    <n v="7236"/>
    <n v="15"/>
    <n v="1085"/>
    <n v="6151"/>
    <n v="4.8"/>
    <s v="No"/>
  </r>
  <r>
    <s v="NYK10667"/>
    <s v="2025-08-15"/>
    <s v="Bath &amp; Body"/>
    <s v="Body Lotion"/>
    <x v="6"/>
    <s v="Kolkata"/>
    <s v="Nykaa Website"/>
    <s v="Repeat Customer"/>
    <x v="4"/>
    <n v="3"/>
    <n v="720"/>
    <n v="2160"/>
    <n v="5"/>
    <n v="108"/>
    <n v="2052"/>
    <n v="4.3"/>
    <s v="Yes"/>
  </r>
  <r>
    <s v="NYK10008"/>
    <s v="2025-08-16"/>
    <s v="Makeup"/>
    <s v="Mascara"/>
    <x v="0"/>
    <s v="Mumbai"/>
    <s v="Nykaa Website"/>
    <s v="New Customer"/>
    <x v="3"/>
    <n v="4"/>
    <n v="855"/>
    <n v="3420"/>
    <n v="15"/>
    <n v="513"/>
    <n v="2907"/>
    <n v="3.9"/>
    <s v="Yes"/>
  </r>
  <r>
    <s v="NYK10729"/>
    <s v="2025-08-16"/>
    <s v="Makeup"/>
    <s v="Foundation"/>
    <x v="9"/>
    <s v="Bengaluru"/>
    <s v="Nykaa Website"/>
    <s v="Repeat Customer"/>
    <x v="3"/>
    <n v="2"/>
    <n v="757"/>
    <n v="1514"/>
    <n v="15"/>
    <n v="227"/>
    <n v="1287"/>
    <n v="4.5"/>
    <s v="No"/>
  </r>
  <r>
    <s v="NYK10080"/>
    <s v="2025-08-16"/>
    <s v="Haircare"/>
    <s v="Conditioner"/>
    <x v="11"/>
    <s v="Kolkata"/>
    <s v="Nykaa Offline Store"/>
    <s v="Repeat Customer"/>
    <x v="0"/>
    <n v="4"/>
    <n v="290"/>
    <n v="1160"/>
    <n v="10"/>
    <n v="116"/>
    <n v="1044"/>
    <n v="4.8"/>
    <s v="No"/>
  </r>
  <r>
    <s v="NYK10565"/>
    <s v="2025-08-16"/>
    <s v="Personal Care"/>
    <s v="Face Roller"/>
    <x v="2"/>
    <s v="Bengaluru"/>
    <s v="Nykaa Website"/>
    <s v="Premium Member"/>
    <x v="4"/>
    <n v="3"/>
    <n v="1139"/>
    <n v="3417"/>
    <n v="30"/>
    <n v="1025"/>
    <n v="2392"/>
    <n v="4.0999999999999996"/>
    <s v="No"/>
  </r>
  <r>
    <s v="NYK10282"/>
    <s v="2025-08-16"/>
    <s v="Fragrance"/>
    <s v="Body Mist"/>
    <x v="6"/>
    <s v="Jaipur"/>
    <s v="Nykaa App"/>
    <s v="New Customer"/>
    <x v="2"/>
    <n v="3"/>
    <n v="965"/>
    <n v="2895"/>
    <n v="0"/>
    <n v="0"/>
    <n v="2895"/>
    <n v="3.7"/>
    <s v="No"/>
  </r>
  <r>
    <s v="NYK10318"/>
    <s v="2025-08-17"/>
    <s v="Fragrance"/>
    <s v="Body Mist"/>
    <x v="6"/>
    <s v="Pune"/>
    <s v="Nykaa Website"/>
    <s v="New Customer"/>
    <x v="2"/>
    <n v="4"/>
    <n v="2905"/>
    <n v="11620"/>
    <n v="10"/>
    <n v="1162"/>
    <n v="10458"/>
    <n v="4.7"/>
    <s v="No"/>
  </r>
  <r>
    <s v="NYK10322"/>
    <s v="2025-08-18"/>
    <s v="Personal Care"/>
    <s v="Hair Dryer"/>
    <x v="5"/>
    <s v="Kolkata"/>
    <s v="Nykaa Website"/>
    <s v="New Customer"/>
    <x v="1"/>
    <n v="4"/>
    <n v="711"/>
    <n v="2844"/>
    <n v="30"/>
    <n v="853"/>
    <n v="1991"/>
    <n v="4.2"/>
    <s v="Yes"/>
  </r>
  <r>
    <s v="NYK10429"/>
    <s v="2025-08-18"/>
    <s v="Personal Care"/>
    <s v="Hair Dryer"/>
    <x v="5"/>
    <s v="Lucknow"/>
    <s v="Nykaa Website"/>
    <s v="New Customer"/>
    <x v="4"/>
    <n v="4"/>
    <n v="564"/>
    <n v="2256"/>
    <n v="0"/>
    <n v="0"/>
    <n v="2256"/>
    <n v="4.9000000000000004"/>
    <s v="No"/>
  </r>
  <r>
    <s v="NYK10101"/>
    <s v="2025-08-18"/>
    <s v="Fragrance"/>
    <s v="Deodorant"/>
    <x v="11"/>
    <s v="Pune"/>
    <s v="Nykaa App"/>
    <s v="Repeat Customer"/>
    <x v="1"/>
    <n v="2"/>
    <n v="2216"/>
    <n v="4432"/>
    <n v="15"/>
    <n v="665"/>
    <n v="3767"/>
    <n v="3.3"/>
    <s v="No"/>
  </r>
  <r>
    <s v="NYK10720"/>
    <s v="2025-08-19"/>
    <s v="Personal Care"/>
    <s v="Trimmer"/>
    <x v="3"/>
    <s v="Bengaluru"/>
    <s v="Nykaa Website"/>
    <s v="New Customer"/>
    <x v="4"/>
    <n v="1"/>
    <n v="2112"/>
    <n v="2112"/>
    <n v="10"/>
    <n v="211"/>
    <n v="1901"/>
    <n v="4.2"/>
    <s v="No"/>
  </r>
  <r>
    <s v="NYK10638"/>
    <s v="2025-08-20"/>
    <s v="Bath &amp; Body"/>
    <s v="Body Wash"/>
    <x v="11"/>
    <s v="Bengaluru"/>
    <s v="Nykaa Website"/>
    <s v="New Customer"/>
    <x v="3"/>
    <n v="1"/>
    <n v="701"/>
    <n v="701"/>
    <n v="15"/>
    <n v="105"/>
    <n v="596"/>
    <n v="4.9000000000000004"/>
    <s v="No"/>
  </r>
  <r>
    <s v="NYK10440"/>
    <s v="2025-08-20"/>
    <s v="Fragrance"/>
    <s v="Body Mist"/>
    <x v="11"/>
    <s v="Pune"/>
    <s v="Nykaa App"/>
    <s v="Repeat Customer"/>
    <x v="0"/>
    <n v="2"/>
    <n v="996"/>
    <n v="1992"/>
    <n v="15"/>
    <n v="299"/>
    <n v="1693"/>
    <n v="4.2"/>
    <s v="No"/>
  </r>
  <r>
    <s v="NYK10192"/>
    <s v="2025-08-20"/>
    <s v="Haircare"/>
    <s v="Hair Serum"/>
    <x v="0"/>
    <s v="Ahmedabad"/>
    <s v="Nykaa Website"/>
    <s v="New Customer"/>
    <x v="3"/>
    <n v="3"/>
    <n v="415"/>
    <n v="1245"/>
    <n v="0"/>
    <n v="0"/>
    <n v="1245"/>
    <n v="4.2"/>
    <s v="No"/>
  </r>
  <r>
    <s v="NYK10682"/>
    <s v="2025-08-21"/>
    <s v="Fragrance"/>
    <s v="Body Mist"/>
    <x v="5"/>
    <s v="Pune"/>
    <s v="Nykaa Website"/>
    <s v="Repeat Customer"/>
    <x v="0"/>
    <n v="4"/>
    <n v="1792"/>
    <n v="7168"/>
    <n v="20"/>
    <n v="1434"/>
    <n v="5734"/>
    <n v="3.5"/>
    <s v="No"/>
  </r>
  <r>
    <s v="NYK10004"/>
    <s v="2025-08-21"/>
    <s v="Haircare"/>
    <s v="Shampoo"/>
    <x v="3"/>
    <s v="Kolkata"/>
    <s v="Nykaa App"/>
    <s v="Repeat Customer"/>
    <x v="1"/>
    <n v="2"/>
    <n v="464"/>
    <n v="928"/>
    <n v="5"/>
    <n v="46"/>
    <n v="882"/>
    <n v="4.4000000000000004"/>
    <s v="No"/>
  </r>
  <r>
    <s v="NYK10520"/>
    <s v="2025-08-21"/>
    <s v="Bath &amp; Body"/>
    <s v="Body Lotion"/>
    <x v="9"/>
    <s v="Lucknow"/>
    <s v="Nykaa App"/>
    <s v="New Customer"/>
    <x v="2"/>
    <n v="1"/>
    <n v="153"/>
    <n v="153"/>
    <n v="5"/>
    <n v="8"/>
    <n v="145"/>
    <n v="4.9000000000000004"/>
    <s v="No"/>
  </r>
  <r>
    <s v="NYK10509"/>
    <s v="2025-08-22"/>
    <s v="Fragrance"/>
    <s v="Body Mist"/>
    <x v="6"/>
    <s v="Mumbai"/>
    <s v="Nykaa App"/>
    <s v="Repeat Customer"/>
    <x v="1"/>
    <n v="4"/>
    <n v="546"/>
    <n v="2184"/>
    <n v="15"/>
    <n v="328"/>
    <n v="1856"/>
    <n v="3.5"/>
    <s v="No"/>
  </r>
  <r>
    <s v="NYK10206"/>
    <s v="2025-08-22"/>
    <s v="Fragrance"/>
    <s v="Deodorant"/>
    <x v="6"/>
    <s v="Bengaluru"/>
    <s v="Nykaa App"/>
    <s v="Repeat Customer"/>
    <x v="4"/>
    <n v="5"/>
    <n v="1780"/>
    <n v="8900"/>
    <n v="0"/>
    <n v="0"/>
    <n v="8900"/>
    <n v="3.2"/>
    <s v="No"/>
  </r>
  <r>
    <s v="NYK10261"/>
    <s v="2025-08-22"/>
    <s v="Makeup"/>
    <s v="Lipstick"/>
    <x v="0"/>
    <s v="Bengaluru"/>
    <s v="Nykaa App"/>
    <s v="New Customer"/>
    <x v="3"/>
    <n v="2"/>
    <n v="417"/>
    <n v="834"/>
    <n v="15"/>
    <n v="125"/>
    <n v="709"/>
    <n v="3.9"/>
    <s v="No"/>
  </r>
  <r>
    <s v="NYK10238"/>
    <s v="2025-08-22"/>
    <s v="Makeup"/>
    <s v="Compact"/>
    <x v="8"/>
    <s v="Delhi"/>
    <s v="Nykaa App"/>
    <s v="Premium Member"/>
    <x v="3"/>
    <n v="4"/>
    <n v="1050"/>
    <n v="4200"/>
    <n v="30"/>
    <n v="1260"/>
    <n v="2940"/>
    <n v="4.8"/>
    <s v="No"/>
  </r>
  <r>
    <s v="NYK10707"/>
    <s v="2025-08-23"/>
    <s v="Haircare"/>
    <s v="Shampoo"/>
    <x v="9"/>
    <s v="Jaipur"/>
    <s v="Nykaa App"/>
    <s v="Repeat Customer"/>
    <x v="4"/>
    <n v="4"/>
    <n v="172"/>
    <n v="688"/>
    <n v="5"/>
    <n v="34"/>
    <n v="654"/>
    <n v="3.3"/>
    <s v="Yes"/>
  </r>
  <r>
    <s v="NYK10033"/>
    <s v="2025-08-25"/>
    <s v="Bath &amp; Body"/>
    <s v="Body Wash"/>
    <x v="2"/>
    <s v="Lucknow"/>
    <s v="Nykaa App"/>
    <s v="Repeat Customer"/>
    <x v="1"/>
    <n v="4"/>
    <n v="543"/>
    <n v="2172"/>
    <n v="20"/>
    <n v="434"/>
    <n v="1738"/>
    <n v="3.4"/>
    <s v="No"/>
  </r>
  <r>
    <s v="NYK10288"/>
    <s v="2025-08-27"/>
    <s v="Bath &amp; Body"/>
    <s v="Bath Salt"/>
    <x v="4"/>
    <s v="Kolkata"/>
    <s v="Nykaa App"/>
    <s v="Repeat Customer"/>
    <x v="4"/>
    <n v="1"/>
    <n v="750"/>
    <n v="750"/>
    <n v="20"/>
    <n v="150"/>
    <n v="600"/>
    <n v="4.5999999999999996"/>
    <s v="No"/>
  </r>
  <r>
    <s v="NYK10568"/>
    <s v="2025-08-27"/>
    <s v="Bath &amp; Body"/>
    <s v="Body Lotion"/>
    <x v="4"/>
    <s v="Pune"/>
    <s v="Nykaa App"/>
    <s v="New Customer"/>
    <x v="3"/>
    <n v="4"/>
    <n v="644"/>
    <n v="2576"/>
    <n v="25"/>
    <n v="644"/>
    <n v="1932"/>
    <n v="3.7"/>
    <s v="No"/>
  </r>
  <r>
    <s v="NYK10540"/>
    <s v="2025-08-27"/>
    <s v="Skincare"/>
    <s v="Moisturizer"/>
    <x v="6"/>
    <s v="Bengaluru"/>
    <s v="Nykaa App"/>
    <s v="Premium Member"/>
    <x v="4"/>
    <n v="1"/>
    <n v="651"/>
    <n v="651"/>
    <n v="25"/>
    <n v="163"/>
    <n v="488"/>
    <n v="4.2"/>
    <s v="No"/>
  </r>
  <r>
    <s v="NYK10497"/>
    <s v="2025-08-27"/>
    <s v="Haircare"/>
    <s v="Hair Oil"/>
    <x v="2"/>
    <s v="Lucknow"/>
    <s v="Nykaa App"/>
    <s v="Repeat Customer"/>
    <x v="3"/>
    <n v="4"/>
    <n v="463"/>
    <n v="1852"/>
    <n v="5"/>
    <n v="93"/>
    <n v="1759"/>
    <n v="3.7"/>
    <s v="No"/>
  </r>
  <r>
    <s v="NYK10455"/>
    <s v="2025-08-28"/>
    <s v="Makeup"/>
    <s v="Lipstick"/>
    <x v="8"/>
    <s v="Ahmedabad"/>
    <s v="Nykaa Website"/>
    <s v="New Customer"/>
    <x v="2"/>
    <n v="5"/>
    <n v="872"/>
    <n v="4360"/>
    <n v="5"/>
    <n v="218"/>
    <n v="4142"/>
    <n v="3.9"/>
    <s v="No"/>
  </r>
  <r>
    <s v="NYK10660"/>
    <s v="2025-08-28"/>
    <s v="Fragrance"/>
    <s v="Deodorant"/>
    <x v="8"/>
    <s v="Delhi"/>
    <s v="Nykaa App"/>
    <s v="New Customer"/>
    <x v="3"/>
    <n v="3"/>
    <n v="2420"/>
    <n v="7260"/>
    <n v="5"/>
    <n v="363"/>
    <n v="6897"/>
    <n v="3.8"/>
    <s v="No"/>
  </r>
  <r>
    <s v="NYK10108"/>
    <s v="2025-08-28"/>
    <s v="Haircare"/>
    <s v="Conditioner"/>
    <x v="7"/>
    <s v="Pune"/>
    <s v="Nykaa App"/>
    <s v="New Customer"/>
    <x v="4"/>
    <n v="4"/>
    <n v="597"/>
    <n v="2388"/>
    <n v="10"/>
    <n v="239"/>
    <n v="2149"/>
    <n v="3.3"/>
    <s v="No"/>
  </r>
  <r>
    <s v="NYK10065"/>
    <s v="2025-08-28"/>
    <s v="Personal Care"/>
    <s v="Trimmer"/>
    <x v="4"/>
    <s v="Jaipur"/>
    <s v="Nykaa App"/>
    <s v="New Customer"/>
    <x v="1"/>
    <n v="2"/>
    <n v="549"/>
    <n v="1098"/>
    <n v="5"/>
    <n v="55"/>
    <n v="1043"/>
    <n v="4.5999999999999996"/>
    <s v="No"/>
  </r>
  <r>
    <s v="NYK10569"/>
    <s v="2025-08-29"/>
    <s v="Skincare"/>
    <s v="Sunscreen"/>
    <x v="0"/>
    <s v="Kolkata"/>
    <s v="Nykaa App"/>
    <s v="Repeat Customer"/>
    <x v="1"/>
    <n v="4"/>
    <n v="570"/>
    <n v="2280"/>
    <n v="15"/>
    <n v="342"/>
    <n v="1938"/>
    <n v="3.7"/>
    <s v="No"/>
  </r>
  <r>
    <s v="NYK10609"/>
    <s v="2025-08-29"/>
    <s v="Fragrance"/>
    <s v="Perfume"/>
    <x v="6"/>
    <s v="Pune"/>
    <s v="Nykaa App"/>
    <s v="New Customer"/>
    <x v="1"/>
    <n v="3"/>
    <n v="2815"/>
    <n v="8445"/>
    <n v="10"/>
    <n v="844"/>
    <n v="7601"/>
    <n v="4.8"/>
    <s v="No"/>
  </r>
  <r>
    <s v="NYK10250"/>
    <s v="2025-08-29"/>
    <s v="Bath &amp; Body"/>
    <s v="Bath Salt"/>
    <x v="11"/>
    <s v="Hyderabad"/>
    <s v="Nykaa Website"/>
    <s v="New Customer"/>
    <x v="0"/>
    <n v="2"/>
    <n v="179"/>
    <n v="358"/>
    <n v="10"/>
    <n v="36"/>
    <n v="322"/>
    <n v="3.9"/>
    <s v="No"/>
  </r>
  <r>
    <s v="NYK10603"/>
    <s v="2025-08-30"/>
    <s v="Haircare"/>
    <s v="Conditioner"/>
    <x v="5"/>
    <s v="Mumbai"/>
    <s v="Nykaa Website"/>
    <s v="Repeat Customer"/>
    <x v="2"/>
    <n v="4"/>
    <n v="250"/>
    <n v="1000"/>
    <n v="25"/>
    <n v="250"/>
    <n v="750"/>
    <n v="3.6"/>
    <s v="Yes"/>
  </r>
  <r>
    <s v="NYK10389"/>
    <s v="2025-08-31"/>
    <s v="Personal Care"/>
    <s v="Trimmer"/>
    <x v="0"/>
    <s v="Jaipur"/>
    <s v="Nykaa App"/>
    <s v="Repeat Customer"/>
    <x v="0"/>
    <n v="2"/>
    <n v="1196"/>
    <n v="2392"/>
    <n v="0"/>
    <n v="0"/>
    <n v="2392"/>
    <n v="3.8"/>
    <s v="No"/>
  </r>
  <r>
    <s v="NYK10658"/>
    <s v="2025-08-31"/>
    <s v="Fragrance"/>
    <s v="Body Mist"/>
    <x v="2"/>
    <s v="Jaipur"/>
    <s v="Nykaa App"/>
    <s v="New Customer"/>
    <x v="3"/>
    <n v="2"/>
    <n v="2573"/>
    <n v="5146"/>
    <n v="30"/>
    <n v="1544"/>
    <n v="3602"/>
    <n v="4.8"/>
    <s v="No"/>
  </r>
  <r>
    <s v="NYK10143"/>
    <s v="2025-09-01"/>
    <s v="Haircare"/>
    <s v="Hair Serum"/>
    <x v="3"/>
    <s v="Bengaluru"/>
    <s v="Nykaa Website"/>
    <s v="Repeat Customer"/>
    <x v="2"/>
    <n v="1"/>
    <n v="838"/>
    <n v="838"/>
    <n v="30"/>
    <n v="251"/>
    <n v="587"/>
    <n v="5"/>
    <s v="No"/>
  </r>
  <r>
    <s v="NYK10003"/>
    <s v="2025-09-02"/>
    <s v="Skincare"/>
    <s v="Serum"/>
    <x v="7"/>
    <s v="Kolkata"/>
    <s v="Nykaa App"/>
    <s v="New Customer"/>
    <x v="4"/>
    <n v="3"/>
    <n v="992"/>
    <n v="2976"/>
    <n v="25"/>
    <n v="744"/>
    <n v="2232"/>
    <n v="3.3"/>
    <s v="No"/>
  </r>
  <r>
    <s v="NYK10066"/>
    <s v="2025-09-02"/>
    <s v="Bath &amp; Body"/>
    <s v="Body Wash"/>
    <x v="0"/>
    <s v="Ahmedabad"/>
    <s v="Nykaa Website"/>
    <s v="Repeat Customer"/>
    <x v="1"/>
    <n v="5"/>
    <n v="500"/>
    <n v="2500"/>
    <n v="15"/>
    <n v="375"/>
    <n v="2125"/>
    <n v="3.3"/>
    <s v="No"/>
  </r>
  <r>
    <s v="NYK10035"/>
    <s v="2025-09-02"/>
    <s v="Bath &amp; Body"/>
    <s v="Body Wash"/>
    <x v="1"/>
    <s v="Chennai"/>
    <s v="Nykaa App"/>
    <s v="Repeat Customer"/>
    <x v="1"/>
    <n v="4"/>
    <n v="602"/>
    <n v="2408"/>
    <n v="20"/>
    <n v="482"/>
    <n v="1926"/>
    <n v="3.4"/>
    <s v="No"/>
  </r>
  <r>
    <s v="NYK10286"/>
    <s v="2025-09-03"/>
    <s v="Makeup"/>
    <s v="Foundation"/>
    <x v="3"/>
    <s v="Mumbai"/>
    <s v="Nykaa App"/>
    <s v="Premium Member"/>
    <x v="2"/>
    <n v="2"/>
    <n v="1296"/>
    <n v="2592"/>
    <n v="25"/>
    <n v="648"/>
    <n v="1944"/>
    <n v="3.5"/>
    <s v="No"/>
  </r>
  <r>
    <s v="NYK10012"/>
    <s v="2025-09-03"/>
    <s v="Fragrance"/>
    <s v="Perfume"/>
    <x v="7"/>
    <s v="Bengaluru"/>
    <s v="Nykaa Website"/>
    <s v="Premium Member"/>
    <x v="3"/>
    <n v="3"/>
    <n v="1818"/>
    <n v="5454"/>
    <n v="20"/>
    <n v="1091"/>
    <n v="4363"/>
    <n v="4"/>
    <s v="No"/>
  </r>
  <r>
    <s v="NYK10273"/>
    <s v="2025-09-04"/>
    <s v="Personal Care"/>
    <s v="Hair Dryer"/>
    <x v="6"/>
    <s v="Bengaluru"/>
    <s v="Nykaa Website"/>
    <s v="Premium Member"/>
    <x v="4"/>
    <n v="4"/>
    <n v="2186"/>
    <n v="8744"/>
    <n v="30"/>
    <n v="2623"/>
    <n v="6121"/>
    <n v="4.9000000000000004"/>
    <s v="No"/>
  </r>
  <r>
    <s v="NYK10331"/>
    <s v="2025-09-04"/>
    <s v="Personal Care"/>
    <s v="Hair Dryer"/>
    <x v="9"/>
    <s v="Delhi"/>
    <s v="Nykaa App"/>
    <s v="Repeat Customer"/>
    <x v="1"/>
    <n v="5"/>
    <n v="2250"/>
    <n v="11250"/>
    <n v="15"/>
    <n v="1688"/>
    <n v="9562"/>
    <n v="5"/>
    <s v="No"/>
  </r>
  <r>
    <s v="NYK10477"/>
    <s v="2025-09-05"/>
    <s v="Haircare"/>
    <s v="Hair Serum"/>
    <x v="2"/>
    <s v="Mumbai"/>
    <s v="Nykaa App"/>
    <s v="Repeat Customer"/>
    <x v="0"/>
    <n v="4"/>
    <n v="195"/>
    <n v="780"/>
    <n v="15"/>
    <n v="117"/>
    <n v="663"/>
    <n v="3.9"/>
    <s v="No"/>
  </r>
  <r>
    <s v="NYK10124"/>
    <s v="2025-09-06"/>
    <s v="Personal Care"/>
    <s v="Face Roller"/>
    <x v="5"/>
    <s v="Lucknow"/>
    <s v="Nykaa App"/>
    <s v="New Customer"/>
    <x v="4"/>
    <n v="2"/>
    <n v="1913"/>
    <n v="3826"/>
    <n v="0"/>
    <n v="0"/>
    <n v="3826"/>
    <n v="3.9"/>
    <s v="No"/>
  </r>
  <r>
    <s v="NYK10457"/>
    <s v="2025-09-06"/>
    <s v="Personal Care"/>
    <s v="Trimmer"/>
    <x v="8"/>
    <s v="Hyderabad"/>
    <s v="Nykaa App"/>
    <s v="Repeat Customer"/>
    <x v="0"/>
    <n v="4"/>
    <n v="1444"/>
    <n v="5776"/>
    <n v="15"/>
    <n v="866"/>
    <n v="4910"/>
    <n v="4.2"/>
    <s v="No"/>
  </r>
  <r>
    <s v="NYK10024"/>
    <s v="2025-09-06"/>
    <s v="Makeup"/>
    <s v="Mascara"/>
    <x v="6"/>
    <s v="Pune"/>
    <s v="Nykaa Website"/>
    <s v="Premium Member"/>
    <x v="1"/>
    <n v="3"/>
    <n v="373"/>
    <n v="1119"/>
    <n v="30"/>
    <n v="336"/>
    <n v="783"/>
    <n v="4.2"/>
    <s v="No"/>
  </r>
  <r>
    <s v="NYK10176"/>
    <s v="2025-09-07"/>
    <s v="Bath &amp; Body"/>
    <s v="Body Lotion"/>
    <x v="3"/>
    <s v="Ahmedabad"/>
    <s v="Nykaa App"/>
    <s v="Repeat Customer"/>
    <x v="4"/>
    <n v="3"/>
    <n v="419"/>
    <n v="1257"/>
    <n v="20"/>
    <n v="251"/>
    <n v="1006"/>
    <n v="4.8"/>
    <s v="No"/>
  </r>
  <r>
    <s v="NYK10359"/>
    <s v="2025-09-07"/>
    <s v="Bath &amp; Body"/>
    <s v="Bath Salt"/>
    <x v="6"/>
    <s v="Ahmedabad"/>
    <s v="Nykaa App"/>
    <s v="New Customer"/>
    <x v="1"/>
    <n v="5"/>
    <n v="156"/>
    <n v="780"/>
    <n v="5"/>
    <n v="39"/>
    <n v="741"/>
    <n v="4.7"/>
    <s v="No"/>
  </r>
  <r>
    <s v="NYK10372"/>
    <s v="2025-09-07"/>
    <s v="Haircare"/>
    <s v="Shampoo"/>
    <x v="4"/>
    <s v="Chennai"/>
    <s v="Nykaa App"/>
    <s v="New Customer"/>
    <x v="0"/>
    <n v="3"/>
    <n v="658"/>
    <n v="1974"/>
    <n v="20"/>
    <n v="395"/>
    <n v="1579"/>
    <n v="3.9"/>
    <s v="No"/>
  </r>
  <r>
    <s v="NYK10741"/>
    <s v="2025-09-07"/>
    <s v="Haircare"/>
    <s v="Conditioner"/>
    <x v="11"/>
    <s v="Hyderabad"/>
    <s v="Nykaa App"/>
    <s v="Repeat Customer"/>
    <x v="0"/>
    <n v="4"/>
    <n v="631"/>
    <n v="2524"/>
    <n v="5"/>
    <n v="126"/>
    <n v="2398"/>
    <n v="3.5"/>
    <s v="No"/>
  </r>
  <r>
    <s v="NYK10074"/>
    <s v="2025-09-08"/>
    <s v="Bath &amp; Body"/>
    <s v="Bath Salt"/>
    <x v="11"/>
    <s v="Delhi"/>
    <s v="Nykaa App"/>
    <s v="Repeat Customer"/>
    <x v="2"/>
    <n v="3"/>
    <n v="756"/>
    <n v="2268"/>
    <n v="20"/>
    <n v="454"/>
    <n v="1814"/>
    <n v="3.7"/>
    <s v="No"/>
  </r>
  <r>
    <s v="NYK10468"/>
    <s v="2025-09-08"/>
    <s v="Fragrance"/>
    <s v="Perfume"/>
    <x v="1"/>
    <s v="Ahmedabad"/>
    <s v="Nykaa App"/>
    <s v="Repeat Customer"/>
    <x v="4"/>
    <n v="3"/>
    <n v="1655"/>
    <n v="4965"/>
    <n v="30"/>
    <n v="1490"/>
    <n v="3475"/>
    <n v="3.9"/>
    <s v="No"/>
  </r>
  <r>
    <s v="NYK10258"/>
    <s v="2025-09-08"/>
    <s v="Makeup"/>
    <s v="Lipstick"/>
    <x v="3"/>
    <s v="Lucknow"/>
    <s v="Nykaa App"/>
    <s v="New Customer"/>
    <x v="2"/>
    <n v="4"/>
    <n v="544"/>
    <n v="2176"/>
    <n v="0"/>
    <n v="0"/>
    <n v="2176"/>
    <n v="4.2"/>
    <s v="Yes"/>
  </r>
  <r>
    <s v="NYK10181"/>
    <s v="2025-09-08"/>
    <s v="Haircare"/>
    <s v="Hair Serum"/>
    <x v="9"/>
    <s v="Kolkata"/>
    <s v="Nykaa App"/>
    <s v="Premium Member"/>
    <x v="2"/>
    <n v="4"/>
    <n v="468"/>
    <n v="1872"/>
    <n v="25"/>
    <n v="468"/>
    <n v="1404"/>
    <n v="4.9000000000000004"/>
    <s v="No"/>
  </r>
  <r>
    <s v="NYK10305"/>
    <s v="2025-09-09"/>
    <s v="Fragrance"/>
    <s v="Perfume"/>
    <x v="9"/>
    <s v="Hyderabad"/>
    <s v="Nykaa App"/>
    <s v="Premium Member"/>
    <x v="2"/>
    <n v="2"/>
    <n v="1290"/>
    <n v="2580"/>
    <n v="25"/>
    <n v="645"/>
    <n v="1935"/>
    <n v="3.5"/>
    <s v="No"/>
  </r>
  <r>
    <s v="NYK10691"/>
    <s v="2025-09-09"/>
    <s v="Skincare"/>
    <s v="Face Wash"/>
    <x v="1"/>
    <s v="Kolkata"/>
    <s v="Nykaa Website"/>
    <s v="Premium Member"/>
    <x v="1"/>
    <n v="2"/>
    <n v="665"/>
    <n v="1330"/>
    <n v="5"/>
    <n v="66"/>
    <n v="1264"/>
    <n v="3.9"/>
    <s v="No"/>
  </r>
  <r>
    <s v="NYK10655"/>
    <s v="2025-09-09"/>
    <s v="Personal Care"/>
    <s v="Hair Dryer"/>
    <x v="9"/>
    <s v="Jaipur"/>
    <s v="Nykaa Website"/>
    <s v="Repeat Customer"/>
    <x v="2"/>
    <n v="2"/>
    <n v="2218"/>
    <n v="4436"/>
    <n v="10"/>
    <n v="444"/>
    <n v="3992"/>
    <n v="3.4"/>
    <s v="No"/>
  </r>
  <r>
    <s v="NYK10640"/>
    <s v="2025-09-09"/>
    <s v="Bath &amp; Body"/>
    <s v="Body Wash"/>
    <x v="3"/>
    <s v="Kolkata"/>
    <s v="Nykaa App"/>
    <s v="Repeat Customer"/>
    <x v="2"/>
    <n v="5"/>
    <n v="665"/>
    <n v="3325"/>
    <n v="10"/>
    <n v="332"/>
    <n v="2993"/>
    <n v="4.9000000000000004"/>
    <s v="No"/>
  </r>
  <r>
    <s v="NYK10129"/>
    <s v="2025-09-09"/>
    <s v="Skincare"/>
    <s v="Sunscreen"/>
    <x v="9"/>
    <s v="Mumbai"/>
    <s v="Nykaa App"/>
    <s v="Repeat Customer"/>
    <x v="3"/>
    <n v="4"/>
    <n v="837"/>
    <n v="3348"/>
    <n v="0"/>
    <n v="0"/>
    <n v="3348"/>
    <n v="4.8"/>
    <s v="No"/>
  </r>
  <r>
    <s v="NYK10123"/>
    <s v="2025-09-09"/>
    <s v="Fragrance"/>
    <s v="Perfume"/>
    <x v="3"/>
    <s v="Bengaluru"/>
    <s v="Nykaa App"/>
    <s v="Repeat Customer"/>
    <x v="0"/>
    <n v="5"/>
    <n v="2426"/>
    <n v="12130"/>
    <n v="30"/>
    <n v="3639"/>
    <n v="8491"/>
    <n v="4.5"/>
    <s v="No"/>
  </r>
  <r>
    <s v="NYK10364"/>
    <s v="2025-09-10"/>
    <s v="Bath &amp; Body"/>
    <s v="Body Lotion"/>
    <x v="7"/>
    <s v="Ahmedabad"/>
    <s v="Nykaa App"/>
    <s v="New Customer"/>
    <x v="1"/>
    <n v="2"/>
    <n v="247"/>
    <n v="494"/>
    <n v="5"/>
    <n v="25"/>
    <n v="469"/>
    <n v="3.9"/>
    <s v="No"/>
  </r>
  <r>
    <s v="NYK10159"/>
    <s v="2025-09-10"/>
    <s v="Makeup"/>
    <s v="Mascara"/>
    <x v="7"/>
    <s v="Pune"/>
    <s v="Nykaa Offline Store"/>
    <s v="New Customer"/>
    <x v="2"/>
    <n v="5"/>
    <n v="1012"/>
    <n v="5060"/>
    <n v="10"/>
    <n v="506"/>
    <n v="4554"/>
    <n v="4.3"/>
    <s v="No"/>
  </r>
  <r>
    <s v="NYK10007"/>
    <s v="2025-09-10"/>
    <s v="Fragrance"/>
    <s v="Perfume"/>
    <x v="6"/>
    <s v="Hyderabad"/>
    <s v="Nykaa Website"/>
    <s v="Repeat Customer"/>
    <x v="4"/>
    <n v="4"/>
    <n v="2744"/>
    <n v="10976"/>
    <n v="15"/>
    <n v="1646"/>
    <n v="9330"/>
    <n v="3.9"/>
    <s v="Yes"/>
  </r>
  <r>
    <s v="NYK10746"/>
    <s v="2025-09-10"/>
    <s v="Personal Care"/>
    <s v="Face Roller"/>
    <x v="11"/>
    <s v="Mumbai"/>
    <s v="Nykaa Website"/>
    <s v="Premium Member"/>
    <x v="1"/>
    <n v="2"/>
    <n v="1173"/>
    <n v="2346"/>
    <n v="20"/>
    <n v="469"/>
    <n v="1877"/>
    <n v="4.4000000000000004"/>
    <s v="No"/>
  </r>
  <r>
    <s v="NYK10648"/>
    <s v="2025-09-10"/>
    <s v="Personal Care"/>
    <s v="Hair Dryer"/>
    <x v="1"/>
    <s v="Kolkata"/>
    <s v="Nykaa App"/>
    <s v="New Customer"/>
    <x v="1"/>
    <n v="5"/>
    <n v="1622"/>
    <n v="8110"/>
    <n v="30"/>
    <n v="2433"/>
    <n v="5677"/>
    <n v="4.5999999999999996"/>
    <s v="No"/>
  </r>
  <r>
    <s v="NYK10231"/>
    <s v="2025-09-11"/>
    <s v="Personal Care"/>
    <s v="Face Roller"/>
    <x v="0"/>
    <s v="Lucknow"/>
    <s v="Nykaa Website"/>
    <s v="Repeat Customer"/>
    <x v="2"/>
    <n v="4"/>
    <n v="558"/>
    <n v="2232"/>
    <n v="30"/>
    <n v="670"/>
    <n v="1562"/>
    <n v="4.8"/>
    <s v="No"/>
  </r>
  <r>
    <s v="NYK10217"/>
    <s v="2025-09-11"/>
    <s v="Skincare"/>
    <s v="Face Wash"/>
    <x v="11"/>
    <s v="Pune"/>
    <s v="Nykaa App"/>
    <s v="Repeat Customer"/>
    <x v="3"/>
    <n v="5"/>
    <n v="879"/>
    <n v="4395"/>
    <n v="15"/>
    <n v="659"/>
    <n v="3736"/>
    <n v="3.4"/>
    <s v="No"/>
  </r>
  <r>
    <s v="NYK10140"/>
    <s v="2025-09-12"/>
    <s v="Personal Care"/>
    <s v="Trimmer"/>
    <x v="2"/>
    <s v="Lucknow"/>
    <s v="Nykaa Website"/>
    <s v="Repeat Customer"/>
    <x v="3"/>
    <n v="1"/>
    <n v="895"/>
    <n v="895"/>
    <n v="25"/>
    <n v="224"/>
    <n v="671"/>
    <n v="3.9"/>
    <s v="No"/>
  </r>
  <r>
    <s v="NYK10078"/>
    <s v="2025-09-12"/>
    <s v="Fragrance"/>
    <s v="Perfume"/>
    <x v="11"/>
    <s v="Kolkata"/>
    <s v="Nykaa Website"/>
    <s v="Premium Member"/>
    <x v="0"/>
    <n v="4"/>
    <n v="2453"/>
    <n v="9812"/>
    <n v="10"/>
    <n v="981"/>
    <n v="8831"/>
    <n v="3.8"/>
    <s v="No"/>
  </r>
  <r>
    <s v="NYK10557"/>
    <s v="2025-09-13"/>
    <s v="Makeup"/>
    <s v="Mascara"/>
    <x v="2"/>
    <s v="Pune"/>
    <s v="Nykaa App"/>
    <s v="Repeat Customer"/>
    <x v="1"/>
    <n v="2"/>
    <n v="257"/>
    <n v="514"/>
    <n v="10"/>
    <n v="51"/>
    <n v="463"/>
    <n v="4"/>
    <s v="No"/>
  </r>
  <r>
    <s v="NYK10392"/>
    <s v="2025-09-13"/>
    <s v="Fragrance"/>
    <s v="Deodorant"/>
    <x v="3"/>
    <s v="Bengaluru"/>
    <s v="Nykaa App"/>
    <s v="New Customer"/>
    <x v="2"/>
    <n v="4"/>
    <n v="835"/>
    <n v="3340"/>
    <n v="30"/>
    <n v="1002"/>
    <n v="2338"/>
    <n v="4.3"/>
    <s v="No"/>
  </r>
  <r>
    <s v="NYK10377"/>
    <s v="2025-09-13"/>
    <s v="Personal Care"/>
    <s v="Trimmer"/>
    <x v="8"/>
    <s v="Ahmedabad"/>
    <s v="Nykaa Offline Store"/>
    <s v="Repeat Customer"/>
    <x v="0"/>
    <n v="3"/>
    <n v="865"/>
    <n v="2595"/>
    <n v="0"/>
    <n v="0"/>
    <n v="2595"/>
    <n v="4.3"/>
    <s v="No"/>
  </r>
  <r>
    <s v="NYK10545"/>
    <s v="2025-09-14"/>
    <s v="Personal Care"/>
    <s v="Face Roller"/>
    <x v="10"/>
    <s v="Pune"/>
    <s v="Nykaa App"/>
    <s v="Premium Member"/>
    <x v="4"/>
    <n v="3"/>
    <n v="654"/>
    <n v="1962"/>
    <n v="0"/>
    <n v="0"/>
    <n v="1962"/>
    <n v="3.9"/>
    <s v="No"/>
  </r>
  <r>
    <s v="NYK10099"/>
    <s v="2025-09-14"/>
    <s v="Skincare"/>
    <s v="Sunscreen"/>
    <x v="5"/>
    <s v="Delhi"/>
    <s v="Nykaa App"/>
    <s v="Repeat Customer"/>
    <x v="4"/>
    <n v="5"/>
    <n v="1154"/>
    <n v="5770"/>
    <n v="15"/>
    <n v="866"/>
    <n v="4904"/>
    <n v="5"/>
    <s v="No"/>
  </r>
  <r>
    <s v="NYK10459"/>
    <s v="2025-09-14"/>
    <s v="Makeup"/>
    <s v="Lipstick"/>
    <x v="9"/>
    <s v="Mumbai"/>
    <s v="Nykaa Website"/>
    <s v="New Customer"/>
    <x v="0"/>
    <n v="5"/>
    <n v="1121"/>
    <n v="5605"/>
    <n v="10"/>
    <n v="560"/>
    <n v="5045"/>
    <n v="3.8"/>
    <s v="No"/>
  </r>
  <r>
    <s v="NYK10300"/>
    <s v="2025-09-15"/>
    <s v="Personal Care"/>
    <s v="Face Roller"/>
    <x v="3"/>
    <s v="Jaipur"/>
    <s v="Nykaa Website"/>
    <s v="Premium Member"/>
    <x v="4"/>
    <n v="4"/>
    <n v="1786"/>
    <n v="7144"/>
    <n v="25"/>
    <n v="1786"/>
    <n v="5358"/>
    <n v="3.5"/>
    <s v="No"/>
  </r>
  <r>
    <s v="NYK10254"/>
    <s v="2025-09-16"/>
    <s v="Personal Care"/>
    <s v="Hair Dryer"/>
    <x v="3"/>
    <s v="Mumbai"/>
    <s v="Nykaa Offline Store"/>
    <s v="New Customer"/>
    <x v="4"/>
    <n v="3"/>
    <n v="1734"/>
    <n v="5202"/>
    <n v="25"/>
    <n v="1300"/>
    <n v="3902"/>
    <n v="4.8"/>
    <s v="Yes"/>
  </r>
  <r>
    <s v="NYK10510"/>
    <s v="2025-09-16"/>
    <s v="Skincare"/>
    <s v="Serum"/>
    <x v="6"/>
    <s v="Pune"/>
    <s v="Nykaa Offline Store"/>
    <s v="Repeat Customer"/>
    <x v="4"/>
    <n v="4"/>
    <n v="873"/>
    <n v="3492"/>
    <n v="15"/>
    <n v="524"/>
    <n v="2968"/>
    <n v="4.7"/>
    <s v="No"/>
  </r>
  <r>
    <s v="NYK10077"/>
    <s v="2025-09-16"/>
    <s v="Fragrance"/>
    <s v="Body Mist"/>
    <x v="1"/>
    <s v="Ahmedabad"/>
    <s v="Nykaa Offline Store"/>
    <s v="New Customer"/>
    <x v="4"/>
    <n v="3"/>
    <n v="2673"/>
    <n v="8019"/>
    <n v="30"/>
    <n v="2406"/>
    <n v="5613"/>
    <n v="4.7"/>
    <s v="No"/>
  </r>
  <r>
    <s v="NYK10141"/>
    <s v="2025-09-17"/>
    <s v="Bath &amp; Body"/>
    <s v="Body Lotion"/>
    <x v="5"/>
    <s v="Ahmedabad"/>
    <s v="Nykaa Offline Store"/>
    <s v="New Customer"/>
    <x v="0"/>
    <n v="5"/>
    <n v="239"/>
    <n v="1195"/>
    <n v="10"/>
    <n v="120"/>
    <n v="1075"/>
    <n v="3.9"/>
    <s v="No"/>
  </r>
  <r>
    <s v="NYK10489"/>
    <s v="2025-09-17"/>
    <s v="Fragrance"/>
    <s v="Deodorant"/>
    <x v="4"/>
    <s v="Chennai"/>
    <s v="Nykaa Offline Store"/>
    <s v="Repeat Customer"/>
    <x v="3"/>
    <n v="1"/>
    <n v="678"/>
    <n v="678"/>
    <n v="0"/>
    <n v="0"/>
    <n v="678"/>
    <n v="3.5"/>
    <s v="No"/>
  </r>
  <r>
    <s v="NYK10546"/>
    <s v="2025-09-18"/>
    <s v="Makeup"/>
    <s v="Compact"/>
    <x v="10"/>
    <s v="Mumbai"/>
    <s v="Nykaa Offline Store"/>
    <s v="Repeat Customer"/>
    <x v="4"/>
    <n v="3"/>
    <n v="911"/>
    <n v="2733"/>
    <n v="10"/>
    <n v="273"/>
    <n v="2460"/>
    <n v="4.0999999999999996"/>
    <s v="No"/>
  </r>
  <r>
    <s v="NYK10092"/>
    <s v="2025-09-18"/>
    <s v="Bath &amp; Body"/>
    <s v="Body Wash"/>
    <x v="5"/>
    <s v="Kolkata"/>
    <s v="Nykaa Website"/>
    <s v="Repeat Customer"/>
    <x v="4"/>
    <n v="4"/>
    <n v="759"/>
    <n v="3036"/>
    <n v="10"/>
    <n v="304"/>
    <n v="2732"/>
    <n v="3.3"/>
    <s v="No"/>
  </r>
  <r>
    <s v="NYK10578"/>
    <s v="2025-09-19"/>
    <s v="Fragrance"/>
    <s v="Deodorant"/>
    <x v="7"/>
    <s v="Jaipur"/>
    <s v="Nykaa App"/>
    <s v="New Customer"/>
    <x v="4"/>
    <n v="4"/>
    <n v="2041"/>
    <n v="8164"/>
    <n v="10"/>
    <n v="816"/>
    <n v="7348"/>
    <n v="4.5999999999999996"/>
    <s v="No"/>
  </r>
  <r>
    <s v="NYK10323"/>
    <s v="2025-09-19"/>
    <s v="Skincare"/>
    <s v="Face Wash"/>
    <x v="1"/>
    <s v="Jaipur"/>
    <s v="Nykaa Website"/>
    <s v="Premium Member"/>
    <x v="3"/>
    <n v="1"/>
    <n v="1201"/>
    <n v="1201"/>
    <n v="10"/>
    <n v="120"/>
    <n v="1081"/>
    <n v="3.6"/>
    <s v="Yes"/>
  </r>
  <r>
    <s v="NYK10219"/>
    <s v="2025-09-20"/>
    <s v="Bath &amp; Body"/>
    <s v="Body Lotion"/>
    <x v="7"/>
    <s v="Pune"/>
    <s v="Nykaa Website"/>
    <s v="Premium Member"/>
    <x v="3"/>
    <n v="4"/>
    <n v="558"/>
    <n v="2232"/>
    <n v="5"/>
    <n v="112"/>
    <n v="2120"/>
    <n v="4.4000000000000004"/>
    <s v="No"/>
  </r>
  <r>
    <s v="NYK10645"/>
    <s v="2025-09-20"/>
    <s v="Haircare"/>
    <s v="Hair Oil"/>
    <x v="1"/>
    <s v="Mumbai"/>
    <s v="Nykaa App"/>
    <s v="Repeat Customer"/>
    <x v="4"/>
    <n v="3"/>
    <n v="354"/>
    <n v="1062"/>
    <n v="30"/>
    <n v="319"/>
    <n v="743"/>
    <n v="3.7"/>
    <s v="No"/>
  </r>
  <r>
    <s v="NYK10524"/>
    <s v="2025-09-20"/>
    <s v="Fragrance"/>
    <s v="Deodorant"/>
    <x v="9"/>
    <s v="Mumbai"/>
    <s v="Nykaa App"/>
    <s v="New Customer"/>
    <x v="3"/>
    <n v="4"/>
    <n v="1127"/>
    <n v="4508"/>
    <n v="20"/>
    <n v="902"/>
    <n v="3606"/>
    <n v="4.5999999999999996"/>
    <s v="No"/>
  </r>
  <r>
    <s v="NYK10366"/>
    <s v="2025-09-21"/>
    <s v="Makeup"/>
    <s v="Mascara"/>
    <x v="5"/>
    <s v="Bengaluru"/>
    <s v="Nykaa Website"/>
    <s v="New Customer"/>
    <x v="4"/>
    <n v="2"/>
    <n v="261"/>
    <n v="522"/>
    <n v="10"/>
    <n v="52"/>
    <n v="470"/>
    <n v="4.9000000000000004"/>
    <s v="No"/>
  </r>
  <r>
    <s v="NYK10507"/>
    <s v="2025-09-21"/>
    <s v="Personal Care"/>
    <s v="Face Roller"/>
    <x v="6"/>
    <s v="Delhi"/>
    <s v="Nykaa App"/>
    <s v="New Customer"/>
    <x v="2"/>
    <n v="3"/>
    <n v="2491"/>
    <n v="7473"/>
    <n v="10"/>
    <n v="747"/>
    <n v="6726"/>
    <n v="4.9000000000000004"/>
    <s v="No"/>
  </r>
  <r>
    <s v="NYK10460"/>
    <s v="2025-09-21"/>
    <s v="Skincare"/>
    <s v="Serum"/>
    <x v="9"/>
    <s v="Chennai"/>
    <s v="Nykaa Website"/>
    <s v="Repeat Customer"/>
    <x v="4"/>
    <n v="5"/>
    <n v="1244"/>
    <n v="6220"/>
    <n v="5"/>
    <n v="311"/>
    <n v="5909"/>
    <n v="4.9000000000000004"/>
    <s v="No"/>
  </r>
  <r>
    <s v="NYK10610"/>
    <s v="2025-09-23"/>
    <s v="Haircare"/>
    <s v="Hair Oil"/>
    <x v="4"/>
    <s v="Pune"/>
    <s v="Nykaa Website"/>
    <s v="Repeat Customer"/>
    <x v="3"/>
    <n v="5"/>
    <n v="874"/>
    <n v="4370"/>
    <n v="25"/>
    <n v="1092"/>
    <n v="3278"/>
    <n v="4.3"/>
    <s v="No"/>
  </r>
  <r>
    <s v="NYK10346"/>
    <s v="2025-09-24"/>
    <s v="Bath &amp; Body"/>
    <s v="Body Lotion"/>
    <x v="8"/>
    <s v="Jaipur"/>
    <s v="Nykaa App"/>
    <s v="Repeat Customer"/>
    <x v="3"/>
    <n v="2"/>
    <n v="711"/>
    <n v="1422"/>
    <n v="15"/>
    <n v="213"/>
    <n v="1209"/>
    <n v="4.7"/>
    <s v="No"/>
  </r>
  <r>
    <s v="NYK10319"/>
    <s v="2025-09-24"/>
    <s v="Fragrance"/>
    <s v="Deodorant"/>
    <x v="1"/>
    <s v="Delhi"/>
    <s v="Nykaa App"/>
    <s v="Repeat Customer"/>
    <x v="3"/>
    <n v="1"/>
    <n v="1539"/>
    <n v="1539"/>
    <n v="20"/>
    <n v="308"/>
    <n v="1231"/>
    <n v="4.0999999999999996"/>
    <s v="No"/>
  </r>
  <r>
    <s v="NYK10224"/>
    <s v="2025-09-24"/>
    <s v="Personal Care"/>
    <s v="Trimmer"/>
    <x v="7"/>
    <s v="Ahmedabad"/>
    <s v="Nykaa App"/>
    <s v="New Customer"/>
    <x v="2"/>
    <n v="5"/>
    <n v="512"/>
    <n v="2560"/>
    <n v="10"/>
    <n v="256"/>
    <n v="2304"/>
    <n v="4.9000000000000004"/>
    <s v="No"/>
  </r>
  <r>
    <s v="NYK10398"/>
    <s v="2025-09-24"/>
    <s v="Haircare"/>
    <s v="Hair Serum"/>
    <x v="4"/>
    <s v="Bengaluru"/>
    <s v="Nykaa Website"/>
    <s v="New Customer"/>
    <x v="3"/>
    <n v="3"/>
    <n v="948"/>
    <n v="2844"/>
    <n v="25"/>
    <n v="711"/>
    <n v="2133"/>
    <n v="4.5"/>
    <s v="No"/>
  </r>
  <r>
    <s v="NYK10495"/>
    <s v="2025-09-24"/>
    <s v="Haircare"/>
    <s v="Hair Oil"/>
    <x v="6"/>
    <s v="Mumbai"/>
    <s v="Nykaa Website"/>
    <s v="Repeat Customer"/>
    <x v="1"/>
    <n v="5"/>
    <n v="370"/>
    <n v="1850"/>
    <n v="25"/>
    <n v="462"/>
    <n v="1388"/>
    <n v="4.0999999999999996"/>
    <s v="No"/>
  </r>
  <r>
    <s v="NYK10723"/>
    <s v="2025-09-26"/>
    <s v="Skincare"/>
    <s v="Face Mask"/>
    <x v="5"/>
    <s v="Chennai"/>
    <s v="Nykaa Offline Store"/>
    <s v="Repeat Customer"/>
    <x v="2"/>
    <n v="2"/>
    <n v="697"/>
    <n v="1394"/>
    <n v="25"/>
    <n v="348"/>
    <n v="1046"/>
    <n v="4.5999999999999996"/>
    <s v="No"/>
  </r>
  <r>
    <s v="NYK10517"/>
    <s v="2025-09-26"/>
    <s v="Skincare"/>
    <s v="Serum"/>
    <x v="5"/>
    <s v="Lucknow"/>
    <s v="Nykaa App"/>
    <s v="Repeat Customer"/>
    <x v="0"/>
    <n v="4"/>
    <n v="1013"/>
    <n v="4052"/>
    <n v="20"/>
    <n v="810"/>
    <n v="3242"/>
    <n v="3.6"/>
    <s v="No"/>
  </r>
  <r>
    <s v="NYK10562"/>
    <s v="2025-09-27"/>
    <s v="Bath &amp; Body"/>
    <s v="Bath Salt"/>
    <x v="10"/>
    <s v="Chennai"/>
    <s v="Nykaa App"/>
    <s v="Repeat Customer"/>
    <x v="3"/>
    <n v="2"/>
    <n v="706"/>
    <n v="1412"/>
    <n v="5"/>
    <n v="71"/>
    <n v="1341"/>
    <n v="4.4000000000000004"/>
    <s v="No"/>
  </r>
  <r>
    <s v="NYK10164"/>
    <s v="2025-09-27"/>
    <s v="Bath &amp; Body"/>
    <s v="Body Wash"/>
    <x v="10"/>
    <s v="Ahmedabad"/>
    <s v="Nykaa Offline Store"/>
    <s v="New Customer"/>
    <x v="1"/>
    <n v="3"/>
    <n v="546"/>
    <n v="1638"/>
    <n v="5"/>
    <n v="82"/>
    <n v="1556"/>
    <n v="4.9000000000000004"/>
    <s v="No"/>
  </r>
  <r>
    <s v="NYK10036"/>
    <s v="2025-09-28"/>
    <s v="Fragrance"/>
    <s v="Body Mist"/>
    <x v="11"/>
    <s v="Lucknow"/>
    <s v="Nykaa Website"/>
    <s v="Repeat Customer"/>
    <x v="0"/>
    <n v="3"/>
    <n v="1216"/>
    <n v="3648"/>
    <n v="15"/>
    <n v="547"/>
    <n v="3101"/>
    <n v="4.5999999999999996"/>
    <s v="No"/>
  </r>
  <r>
    <s v="NYK10173"/>
    <s v="2025-09-28"/>
    <s v="Bath &amp; Body"/>
    <s v="Bath Salt"/>
    <x v="3"/>
    <s v="Lucknow"/>
    <s v="Nykaa Website"/>
    <s v="Premium Member"/>
    <x v="2"/>
    <n v="5"/>
    <n v="362"/>
    <n v="1810"/>
    <n v="15"/>
    <n v="272"/>
    <n v="1538"/>
    <n v="4.4000000000000004"/>
    <s v="No"/>
  </r>
  <r>
    <s v="NYK10717"/>
    <s v="2025-09-29"/>
    <s v="Skincare"/>
    <s v="Face Mask"/>
    <x v="8"/>
    <s v="Chennai"/>
    <s v="Nykaa App"/>
    <s v="Repeat Customer"/>
    <x v="3"/>
    <n v="1"/>
    <n v="1105"/>
    <n v="1105"/>
    <n v="0"/>
    <n v="0"/>
    <n v="1105"/>
    <n v="4.4000000000000004"/>
    <s v="No"/>
  </r>
  <r>
    <s v="NYK10295"/>
    <s v="2025-09-29"/>
    <s v="Fragrance"/>
    <s v="Body Mist"/>
    <x v="0"/>
    <s v="Ahmedabad"/>
    <s v="Nykaa Website"/>
    <s v="New Customer"/>
    <x v="3"/>
    <n v="3"/>
    <n v="2371"/>
    <n v="7113"/>
    <n v="25"/>
    <n v="1778"/>
    <n v="5335"/>
    <n v="3.4"/>
    <s v="No"/>
  </r>
  <r>
    <s v="NYK10030"/>
    <s v="2025-09-30"/>
    <s v="Makeup"/>
    <s v="Compact"/>
    <x v="2"/>
    <s v="Pune"/>
    <s v="Nykaa Website"/>
    <s v="Repeat Customer"/>
    <x v="3"/>
    <n v="3"/>
    <n v="374"/>
    <n v="1122"/>
    <n v="25"/>
    <n v="280"/>
    <n v="842"/>
    <n v="3.4"/>
    <s v="No"/>
  </r>
  <r>
    <s v="NYK10182"/>
    <s v="2025-09-30"/>
    <s v="Makeup"/>
    <s v="Kajal"/>
    <x v="8"/>
    <s v="Jaipur"/>
    <s v="Nykaa App"/>
    <s v="New Customer"/>
    <x v="3"/>
    <n v="1"/>
    <n v="1031"/>
    <n v="1031"/>
    <n v="10"/>
    <n v="103"/>
    <n v="928"/>
    <n v="4"/>
    <s v="No"/>
  </r>
  <r>
    <s v="NYK10385"/>
    <s v="2025-09-30"/>
    <s v="Haircare"/>
    <s v="Shampoo"/>
    <x v="7"/>
    <s v="Ahmedabad"/>
    <s v="Nykaa App"/>
    <s v="New Customer"/>
    <x v="4"/>
    <n v="3"/>
    <n v="304"/>
    <n v="912"/>
    <n v="25"/>
    <n v="228"/>
    <n v="684"/>
    <n v="4.4000000000000004"/>
    <s v="No"/>
  </r>
  <r>
    <s v="NYK10555"/>
    <s v="2025-09-30"/>
    <s v="Personal Care"/>
    <s v="Face Roller"/>
    <x v="4"/>
    <s v="Ahmedabad"/>
    <s v="Nykaa Offline Store"/>
    <s v="Repeat Customer"/>
    <x v="0"/>
    <n v="1"/>
    <n v="2005"/>
    <n v="2005"/>
    <n v="15"/>
    <n v="301"/>
    <n v="1704"/>
    <n v="5"/>
    <s v="No"/>
  </r>
  <r>
    <s v="NYK10454"/>
    <s v="2025-09-30"/>
    <s v="Haircare"/>
    <s v="Hair Serum"/>
    <x v="2"/>
    <s v="Ahmedabad"/>
    <s v="Nykaa Website"/>
    <s v="Repeat Customer"/>
    <x v="3"/>
    <n v="4"/>
    <n v="226"/>
    <n v="904"/>
    <n v="10"/>
    <n v="90"/>
    <n v="814"/>
    <n v="4.4000000000000004"/>
    <s v="No"/>
  </r>
  <r>
    <s v="NYK10480"/>
    <s v="2025-10-02"/>
    <s v="Haircare"/>
    <s v="Hair Oil"/>
    <x v="4"/>
    <s v="Pune"/>
    <s v="Nykaa Website"/>
    <s v="Premium Member"/>
    <x v="2"/>
    <n v="4"/>
    <n v="175"/>
    <n v="700"/>
    <n v="15"/>
    <n v="105"/>
    <n v="595"/>
    <n v="3.4"/>
    <s v="No"/>
  </r>
  <r>
    <s v="NYK10506"/>
    <s v="2025-10-03"/>
    <s v="Makeup"/>
    <s v="Lipstick"/>
    <x v="11"/>
    <s v="Chennai"/>
    <s v="Nykaa App"/>
    <s v="Repeat Customer"/>
    <x v="0"/>
    <n v="4"/>
    <n v="1214"/>
    <n v="4856"/>
    <n v="10"/>
    <n v="486"/>
    <n v="4370"/>
    <n v="4.5999999999999996"/>
    <s v="No"/>
  </r>
  <r>
    <s v="NYK10132"/>
    <s v="2025-10-04"/>
    <s v="Makeup"/>
    <s v="Mascara"/>
    <x v="4"/>
    <s v="Delhi"/>
    <s v="Nykaa App"/>
    <s v="New Customer"/>
    <x v="4"/>
    <n v="5"/>
    <n v="757"/>
    <n v="3785"/>
    <n v="20"/>
    <n v="757"/>
    <n v="3028"/>
    <n v="4.2"/>
    <s v="No"/>
  </r>
  <r>
    <s v="NYK10142"/>
    <s v="2025-10-04"/>
    <s v="Makeup"/>
    <s v="Lipstick"/>
    <x v="2"/>
    <s v="Ahmedabad"/>
    <s v="Nykaa App"/>
    <s v="Premium Member"/>
    <x v="0"/>
    <n v="3"/>
    <n v="1051"/>
    <n v="3153"/>
    <n v="25"/>
    <n v="788"/>
    <n v="2365"/>
    <n v="4"/>
    <s v="Yes"/>
  </r>
  <r>
    <s v="NYK10747"/>
    <s v="2025-10-05"/>
    <s v="Bath &amp; Body"/>
    <s v="Body Wash"/>
    <x v="1"/>
    <s v="Mumbai"/>
    <s v="Nykaa Offline Store"/>
    <s v="Premium Member"/>
    <x v="1"/>
    <n v="1"/>
    <n v="561"/>
    <n v="561"/>
    <n v="30"/>
    <n v="168"/>
    <n v="393"/>
    <n v="3.3"/>
    <s v="No"/>
  </r>
  <r>
    <s v="NYK10406"/>
    <s v="2025-10-05"/>
    <s v="Haircare"/>
    <s v="Hair Oil"/>
    <x v="4"/>
    <s v="Delhi"/>
    <s v="Nykaa App"/>
    <s v="New Customer"/>
    <x v="2"/>
    <n v="5"/>
    <n v="534"/>
    <n v="2670"/>
    <n v="25"/>
    <n v="668"/>
    <n v="2002"/>
    <n v="4.3"/>
    <s v="No"/>
  </r>
  <r>
    <s v="NYK10418"/>
    <s v="2025-10-06"/>
    <s v="Skincare"/>
    <s v="Face Mask"/>
    <x v="4"/>
    <s v="Jaipur"/>
    <s v="Nykaa Website"/>
    <s v="Repeat Customer"/>
    <x v="3"/>
    <n v="5"/>
    <n v="639"/>
    <n v="3195"/>
    <n v="15"/>
    <n v="479"/>
    <n v="2716"/>
    <n v="4.4000000000000004"/>
    <s v="No"/>
  </r>
  <r>
    <s v="NYK10020"/>
    <s v="2025-10-06"/>
    <s v="Personal Care"/>
    <s v="Face Roller"/>
    <x v="9"/>
    <s v="Chennai"/>
    <s v="Nykaa App"/>
    <s v="New Customer"/>
    <x v="4"/>
    <n v="1"/>
    <n v="1970"/>
    <n v="1970"/>
    <n v="0"/>
    <n v="0"/>
    <n v="1970"/>
    <n v="3.3"/>
    <s v="No"/>
  </r>
  <r>
    <s v="NYK10329"/>
    <s v="2025-10-06"/>
    <s v="Fragrance"/>
    <s v="Perfume"/>
    <x v="0"/>
    <s v="Pune"/>
    <s v="Nykaa App"/>
    <s v="Repeat Customer"/>
    <x v="4"/>
    <n v="1"/>
    <n v="2429"/>
    <n v="2429"/>
    <n v="15"/>
    <n v="364"/>
    <n v="2065"/>
    <n v="4"/>
    <s v="No"/>
  </r>
  <r>
    <s v="NYK10158"/>
    <s v="2025-10-10"/>
    <s v="Haircare"/>
    <s v="Hair Oil"/>
    <x v="9"/>
    <s v="Lucknow"/>
    <s v="Nykaa App"/>
    <s v="Repeat Customer"/>
    <x v="0"/>
    <n v="1"/>
    <n v="265"/>
    <n v="265"/>
    <n v="10"/>
    <n v="26"/>
    <n v="239"/>
    <n v="4.5999999999999996"/>
    <s v="No"/>
  </r>
  <r>
    <s v="NYK10114"/>
    <s v="2025-10-10"/>
    <s v="Skincare"/>
    <s v="Moisturizer"/>
    <x v="6"/>
    <s v="Bengaluru"/>
    <s v="Nykaa Website"/>
    <s v="Repeat Customer"/>
    <x v="0"/>
    <n v="2"/>
    <n v="1441"/>
    <n v="2882"/>
    <n v="25"/>
    <n v="720"/>
    <n v="2162"/>
    <n v="4.0999999999999996"/>
    <s v="No"/>
  </r>
  <r>
    <s v="NYK10433"/>
    <s v="2025-10-10"/>
    <s v="Makeup"/>
    <s v="Compact"/>
    <x v="7"/>
    <s v="Ahmedabad"/>
    <s v="Nykaa App"/>
    <s v="Repeat Customer"/>
    <x v="4"/>
    <n v="5"/>
    <n v="1296"/>
    <n v="6480"/>
    <n v="20"/>
    <n v="1296"/>
    <n v="5184"/>
    <n v="3.6"/>
    <s v="No"/>
  </r>
  <r>
    <s v="NYK10038"/>
    <s v="2025-10-10"/>
    <s v="Makeup"/>
    <s v="Kajal"/>
    <x v="3"/>
    <s v="Bengaluru"/>
    <s v="Nykaa App"/>
    <s v="New Customer"/>
    <x v="2"/>
    <n v="5"/>
    <n v="1134"/>
    <n v="5670"/>
    <n v="0"/>
    <n v="0"/>
    <n v="5670"/>
    <n v="4"/>
    <s v="No"/>
  </r>
  <r>
    <s v="NYK10601"/>
    <s v="2025-10-10"/>
    <s v="Bath &amp; Body"/>
    <s v="Body Wash"/>
    <x v="6"/>
    <s v="Delhi"/>
    <s v="Nykaa App"/>
    <s v="New Customer"/>
    <x v="2"/>
    <n v="5"/>
    <n v="295"/>
    <n v="1475"/>
    <n v="0"/>
    <n v="0"/>
    <n v="1475"/>
    <n v="4.9000000000000004"/>
    <s v="No"/>
  </r>
  <r>
    <s v="NYK10013"/>
    <s v="2025-10-11"/>
    <s v="Bath &amp; Body"/>
    <s v="Bath Salt"/>
    <x v="11"/>
    <s v="Chennai"/>
    <s v="Nykaa App"/>
    <s v="Repeat Customer"/>
    <x v="1"/>
    <n v="4"/>
    <n v="734"/>
    <n v="2936"/>
    <n v="15"/>
    <n v="440"/>
    <n v="2496"/>
    <n v="3.4"/>
    <s v="No"/>
  </r>
  <r>
    <s v="NYK10265"/>
    <s v="2025-10-11"/>
    <s v="Fragrance"/>
    <s v="Perfume"/>
    <x v="4"/>
    <s v="Jaipur"/>
    <s v="Nykaa App"/>
    <s v="Premium Member"/>
    <x v="4"/>
    <n v="1"/>
    <n v="2973"/>
    <n v="2973"/>
    <n v="30"/>
    <n v="892"/>
    <n v="2081"/>
    <n v="4.5"/>
    <s v="No"/>
  </r>
  <r>
    <s v="NYK10686"/>
    <s v="2025-10-11"/>
    <s v="Fragrance"/>
    <s v="Deodorant"/>
    <x v="3"/>
    <s v="Hyderabad"/>
    <s v="Nykaa Website"/>
    <s v="New Customer"/>
    <x v="2"/>
    <n v="4"/>
    <n v="1998"/>
    <n v="7992"/>
    <n v="10"/>
    <n v="799"/>
    <n v="7193"/>
    <n v="4.7"/>
    <s v="No"/>
  </r>
  <r>
    <s v="NYK10314"/>
    <s v="2025-10-11"/>
    <s v="Fragrance"/>
    <s v="Perfume"/>
    <x v="5"/>
    <s v="Chennai"/>
    <s v="Nykaa Website"/>
    <s v="Premium Member"/>
    <x v="1"/>
    <n v="4"/>
    <n v="1237"/>
    <n v="4948"/>
    <n v="0"/>
    <n v="0"/>
    <n v="4948"/>
    <n v="4.2"/>
    <s v="No"/>
  </r>
  <r>
    <s v="NYK10508"/>
    <s v="2025-10-11"/>
    <s v="Fragrance"/>
    <s v="Perfume"/>
    <x v="0"/>
    <s v="Lucknow"/>
    <s v="Nykaa App"/>
    <s v="Repeat Customer"/>
    <x v="0"/>
    <n v="2"/>
    <n v="1851"/>
    <n v="3702"/>
    <n v="15"/>
    <n v="555"/>
    <n v="3147"/>
    <n v="3.6"/>
    <s v="No"/>
  </r>
  <r>
    <s v="NYK10528"/>
    <s v="2025-10-12"/>
    <s v="Makeup"/>
    <s v="Kajal"/>
    <x v="6"/>
    <s v="Pune"/>
    <s v="Nykaa App"/>
    <s v="Repeat Customer"/>
    <x v="0"/>
    <n v="3"/>
    <n v="349"/>
    <n v="1047"/>
    <n v="30"/>
    <n v="314"/>
    <n v="733"/>
    <n v="4"/>
    <s v="No"/>
  </r>
  <r>
    <s v="NYK10109"/>
    <s v="2025-10-13"/>
    <s v="Bath &amp; Body"/>
    <s v="Body Lotion"/>
    <x v="2"/>
    <s v="Chennai"/>
    <s v="Nykaa Offline Store"/>
    <s v="Repeat Customer"/>
    <x v="1"/>
    <n v="3"/>
    <n v="362"/>
    <n v="1086"/>
    <n v="0"/>
    <n v="0"/>
    <n v="1086"/>
    <n v="4.0999999999999996"/>
    <s v="No"/>
  </r>
  <r>
    <s v="NYK10476"/>
    <s v="2025-10-14"/>
    <s v="Bath &amp; Body"/>
    <s v="Bath Salt"/>
    <x v="8"/>
    <s v="Jaipur"/>
    <s v="Nykaa App"/>
    <s v="New Customer"/>
    <x v="3"/>
    <n v="3"/>
    <n v="522"/>
    <n v="1566"/>
    <n v="5"/>
    <n v="78"/>
    <n v="1488"/>
    <n v="3.3"/>
    <s v="No"/>
  </r>
  <r>
    <s v="NYK10633"/>
    <s v="2025-10-15"/>
    <s v="Fragrance"/>
    <s v="Perfume"/>
    <x v="5"/>
    <s v="Chennai"/>
    <s v="Nykaa Website"/>
    <s v="New Customer"/>
    <x v="2"/>
    <n v="2"/>
    <n v="932"/>
    <n v="1864"/>
    <n v="5"/>
    <n v="93"/>
    <n v="1771"/>
    <n v="4.3"/>
    <s v="No"/>
  </r>
  <r>
    <s v="NYK10063"/>
    <s v="2025-10-15"/>
    <s v="Bath &amp; Body"/>
    <s v="Bath Salt"/>
    <x v="8"/>
    <s v="Hyderabad"/>
    <s v="Nykaa App"/>
    <s v="New Customer"/>
    <x v="3"/>
    <n v="2"/>
    <n v="508"/>
    <n v="1016"/>
    <n v="5"/>
    <n v="51"/>
    <n v="965"/>
    <n v="3.2"/>
    <s v="No"/>
  </r>
  <r>
    <s v="NYK10352"/>
    <s v="2025-10-16"/>
    <s v="Bath &amp; Body"/>
    <s v="Body Lotion"/>
    <x v="6"/>
    <s v="Pune"/>
    <s v="Nykaa App"/>
    <s v="Premium Member"/>
    <x v="4"/>
    <n v="2"/>
    <n v="254"/>
    <n v="508"/>
    <n v="5"/>
    <n v="25"/>
    <n v="483"/>
    <n v="4.3"/>
    <s v="No"/>
  </r>
  <r>
    <s v="NYK10047"/>
    <s v="2025-10-17"/>
    <s v="Haircare"/>
    <s v="Hair Serum"/>
    <x v="10"/>
    <s v="Ahmedabad"/>
    <s v="Nykaa App"/>
    <s v="Repeat Customer"/>
    <x v="2"/>
    <n v="3"/>
    <n v="788"/>
    <n v="2364"/>
    <n v="30"/>
    <n v="709"/>
    <n v="1655"/>
    <n v="4"/>
    <s v="No"/>
  </r>
  <r>
    <s v="NYK10094"/>
    <s v="2025-10-17"/>
    <s v="Fragrance"/>
    <s v="Perfume"/>
    <x v="1"/>
    <s v="Lucknow"/>
    <s v="Nykaa Offline Store"/>
    <s v="New Customer"/>
    <x v="1"/>
    <n v="2"/>
    <n v="2971"/>
    <n v="5942"/>
    <n v="30"/>
    <n v="1783"/>
    <n v="4159"/>
    <n v="4.2"/>
    <s v="No"/>
  </r>
  <r>
    <s v="NYK10376"/>
    <s v="2025-10-18"/>
    <s v="Personal Care"/>
    <s v="Trimmer"/>
    <x v="8"/>
    <s v="Jaipur"/>
    <s v="Nykaa App"/>
    <s v="New Customer"/>
    <x v="4"/>
    <n v="5"/>
    <n v="1863"/>
    <n v="9315"/>
    <n v="25"/>
    <n v="2329"/>
    <n v="6986"/>
    <n v="3.3"/>
    <s v="No"/>
  </r>
  <r>
    <s v="NYK10296"/>
    <s v="2025-10-18"/>
    <s v="Skincare"/>
    <s v="Moisturizer"/>
    <x v="5"/>
    <s v="Hyderabad"/>
    <s v="Nykaa Website"/>
    <s v="Repeat Customer"/>
    <x v="1"/>
    <n v="4"/>
    <n v="915"/>
    <n v="3660"/>
    <n v="30"/>
    <n v="1098"/>
    <n v="2562"/>
    <n v="4.5999999999999996"/>
    <s v="No"/>
  </r>
  <r>
    <s v="NYK10095"/>
    <s v="2025-10-19"/>
    <s v="Bath &amp; Body"/>
    <s v="Body Lotion"/>
    <x v="5"/>
    <s v="Hyderabad"/>
    <s v="Nykaa App"/>
    <s v="New Customer"/>
    <x v="4"/>
    <n v="1"/>
    <n v="329"/>
    <n v="329"/>
    <n v="5"/>
    <n v="16"/>
    <n v="313"/>
    <n v="5"/>
    <s v="No"/>
  </r>
  <r>
    <s v="NYK10593"/>
    <s v="2025-10-20"/>
    <s v="Personal Care"/>
    <s v="Trimmer"/>
    <x v="4"/>
    <s v="Bengaluru"/>
    <s v="Nykaa App"/>
    <s v="New Customer"/>
    <x v="1"/>
    <n v="4"/>
    <n v="1257"/>
    <n v="5028"/>
    <n v="30"/>
    <n v="1508"/>
    <n v="3520"/>
    <n v="4.3"/>
    <s v="No"/>
  </r>
  <r>
    <s v="NYK10180"/>
    <s v="2025-10-20"/>
    <s v="Haircare"/>
    <s v="Shampoo"/>
    <x v="11"/>
    <s v="Lucknow"/>
    <s v="Nykaa App"/>
    <s v="Repeat Customer"/>
    <x v="0"/>
    <n v="5"/>
    <n v="994"/>
    <n v="4970"/>
    <n v="0"/>
    <n v="0"/>
    <n v="4970"/>
    <n v="5"/>
    <s v="No"/>
  </r>
  <r>
    <s v="NYK10196"/>
    <s v="2025-10-20"/>
    <s v="Skincare"/>
    <s v="Moisturizer"/>
    <x v="2"/>
    <s v="Jaipur"/>
    <s v="Nykaa App"/>
    <s v="New Customer"/>
    <x v="4"/>
    <n v="4"/>
    <n v="1090"/>
    <n v="4360"/>
    <n v="0"/>
    <n v="0"/>
    <n v="4360"/>
    <n v="3.2"/>
    <s v="No"/>
  </r>
  <r>
    <s v="NYK10240"/>
    <s v="2025-10-20"/>
    <s v="Bath &amp; Body"/>
    <s v="Bath Salt"/>
    <x v="0"/>
    <s v="Delhi"/>
    <s v="Nykaa Website"/>
    <s v="New Customer"/>
    <x v="0"/>
    <n v="5"/>
    <n v="624"/>
    <n v="3120"/>
    <n v="10"/>
    <n v="312"/>
    <n v="2808"/>
    <n v="4.9000000000000004"/>
    <s v="No"/>
  </r>
  <r>
    <s v="NYK10560"/>
    <s v="2025-10-20"/>
    <s v="Haircare"/>
    <s v="Conditioner"/>
    <x v="8"/>
    <s v="Bengaluru"/>
    <s v="Nykaa App"/>
    <s v="Repeat Customer"/>
    <x v="4"/>
    <n v="5"/>
    <n v="735"/>
    <n v="3675"/>
    <n v="20"/>
    <n v="735"/>
    <n v="2940"/>
    <n v="4.7"/>
    <s v="No"/>
  </r>
  <r>
    <s v="NYK10190"/>
    <s v="2025-10-20"/>
    <s v="Personal Care"/>
    <s v="Hair Dryer"/>
    <x v="7"/>
    <s v="Ahmedabad"/>
    <s v="Nykaa App"/>
    <s v="Premium Member"/>
    <x v="1"/>
    <n v="1"/>
    <n v="844"/>
    <n v="844"/>
    <n v="5"/>
    <n v="42"/>
    <n v="802"/>
    <n v="4.9000000000000004"/>
    <s v="No"/>
  </r>
  <r>
    <s v="NYK10342"/>
    <s v="2025-10-21"/>
    <s v="Personal Care"/>
    <s v="Face Roller"/>
    <x v="7"/>
    <s v="Bengaluru"/>
    <s v="Nykaa App"/>
    <s v="Repeat Customer"/>
    <x v="3"/>
    <n v="4"/>
    <n v="1539"/>
    <n v="6156"/>
    <n v="15"/>
    <n v="923"/>
    <n v="5233"/>
    <n v="3.4"/>
    <s v="No"/>
  </r>
  <r>
    <s v="NYK10690"/>
    <s v="2025-10-21"/>
    <s v="Makeup"/>
    <s v="Kajal"/>
    <x v="9"/>
    <s v="Chennai"/>
    <s v="Nykaa Website"/>
    <s v="New Customer"/>
    <x v="4"/>
    <n v="2"/>
    <n v="395"/>
    <n v="790"/>
    <n v="0"/>
    <n v="0"/>
    <n v="790"/>
    <n v="3.5"/>
    <s v="No"/>
  </r>
  <r>
    <s v="NYK10274"/>
    <s v="2025-10-22"/>
    <s v="Bath &amp; Body"/>
    <s v="Body Wash"/>
    <x v="5"/>
    <s v="Lucknow"/>
    <s v="Nykaa App"/>
    <s v="Repeat Customer"/>
    <x v="1"/>
    <n v="1"/>
    <n v="304"/>
    <n v="304"/>
    <n v="10"/>
    <n v="30"/>
    <n v="274"/>
    <n v="3.5"/>
    <s v="No"/>
  </r>
  <r>
    <s v="NYK10449"/>
    <s v="2025-10-22"/>
    <s v="Skincare"/>
    <s v="Sunscreen"/>
    <x v="4"/>
    <s v="Hyderabad"/>
    <s v="Nykaa Website"/>
    <s v="New Customer"/>
    <x v="2"/>
    <n v="5"/>
    <n v="887"/>
    <n v="4435"/>
    <n v="10"/>
    <n v="444"/>
    <n v="3991"/>
    <n v="4.8"/>
    <s v="No"/>
  </r>
  <r>
    <s v="NYK10672"/>
    <s v="2025-10-22"/>
    <s v="Bath &amp; Body"/>
    <s v="Bath Salt"/>
    <x v="6"/>
    <s v="Hyderabad"/>
    <s v="Nykaa Offline Store"/>
    <s v="Premium Member"/>
    <x v="0"/>
    <n v="3"/>
    <n v="469"/>
    <n v="1407"/>
    <n v="25"/>
    <n v="352"/>
    <n v="1055"/>
    <n v="4.5"/>
    <s v="No"/>
  </r>
  <r>
    <s v="NYK10388"/>
    <s v="2025-10-22"/>
    <s v="Bath &amp; Body"/>
    <s v="Body Wash"/>
    <x v="4"/>
    <s v="Lucknow"/>
    <s v="Nykaa App"/>
    <s v="Repeat Customer"/>
    <x v="2"/>
    <n v="4"/>
    <n v="760"/>
    <n v="3040"/>
    <n v="0"/>
    <n v="0"/>
    <n v="3040"/>
    <n v="4.0999999999999996"/>
    <s v="No"/>
  </r>
  <r>
    <s v="NYK10237"/>
    <s v="2025-10-24"/>
    <s v="Skincare"/>
    <s v="Moisturizer"/>
    <x v="5"/>
    <s v="Jaipur"/>
    <s v="Nykaa Website"/>
    <s v="New Customer"/>
    <x v="1"/>
    <n v="1"/>
    <n v="1485"/>
    <n v="1485"/>
    <n v="15"/>
    <n v="223"/>
    <n v="1262"/>
    <n v="4.4000000000000004"/>
    <s v="No"/>
  </r>
  <r>
    <s v="NYK10226"/>
    <s v="2025-10-24"/>
    <s v="Haircare"/>
    <s v="Shampoo"/>
    <x v="6"/>
    <s v="Jaipur"/>
    <s v="Nykaa App"/>
    <s v="Repeat Customer"/>
    <x v="4"/>
    <n v="4"/>
    <n v="616"/>
    <n v="2464"/>
    <n v="0"/>
    <n v="0"/>
    <n v="2464"/>
    <n v="4.2"/>
    <s v="No"/>
  </r>
  <r>
    <s v="NYK10430"/>
    <s v="2025-10-25"/>
    <s v="Fragrance"/>
    <s v="Deodorant"/>
    <x v="8"/>
    <s v="Lucknow"/>
    <s v="Nykaa Offline Store"/>
    <s v="Repeat Customer"/>
    <x v="2"/>
    <n v="1"/>
    <n v="1261"/>
    <n v="1261"/>
    <n v="0"/>
    <n v="0"/>
    <n v="1261"/>
    <n v="3.8"/>
    <s v="No"/>
  </r>
  <r>
    <s v="NYK10702"/>
    <s v="2025-10-25"/>
    <s v="Bath &amp; Body"/>
    <s v="Body Lotion"/>
    <x v="4"/>
    <s v="Hyderabad"/>
    <s v="Nykaa Website"/>
    <s v="New Customer"/>
    <x v="3"/>
    <n v="5"/>
    <n v="531"/>
    <n v="2655"/>
    <n v="20"/>
    <n v="531"/>
    <n v="2124"/>
    <n v="4.5999999999999996"/>
    <s v="No"/>
  </r>
  <r>
    <s v="NYK10348"/>
    <s v="2025-10-25"/>
    <s v="Bath &amp; Body"/>
    <s v="Body Lotion"/>
    <x v="5"/>
    <s v="Chennai"/>
    <s v="Nykaa App"/>
    <s v="Repeat Customer"/>
    <x v="2"/>
    <n v="4"/>
    <n v="355"/>
    <n v="1420"/>
    <n v="15"/>
    <n v="213"/>
    <n v="1207"/>
    <n v="4.4000000000000004"/>
    <s v="No"/>
  </r>
  <r>
    <s v="NYK10611"/>
    <s v="2025-10-26"/>
    <s v="Makeup"/>
    <s v="Foundation"/>
    <x v="2"/>
    <s v="Bengaluru"/>
    <s v="Nykaa App"/>
    <s v="New Customer"/>
    <x v="2"/>
    <n v="4"/>
    <n v="327"/>
    <n v="1308"/>
    <n v="15"/>
    <n v="196"/>
    <n v="1112"/>
    <n v="3.3"/>
    <s v="No"/>
  </r>
  <r>
    <s v="NYK10183"/>
    <s v="2025-10-26"/>
    <s v="Fragrance"/>
    <s v="Body Mist"/>
    <x v="4"/>
    <s v="Hyderabad"/>
    <s v="Nykaa App"/>
    <s v="New Customer"/>
    <x v="3"/>
    <n v="1"/>
    <n v="580"/>
    <n v="580"/>
    <n v="25"/>
    <n v="145"/>
    <n v="435"/>
    <n v="4"/>
    <s v="No"/>
  </r>
  <r>
    <s v="NYK10400"/>
    <s v="2025-10-26"/>
    <s v="Skincare"/>
    <s v="Serum"/>
    <x v="6"/>
    <s v="Hyderabad"/>
    <s v="Nykaa Website"/>
    <s v="Repeat Customer"/>
    <x v="3"/>
    <n v="2"/>
    <n v="931"/>
    <n v="1862"/>
    <n v="5"/>
    <n v="93"/>
    <n v="1769"/>
    <n v="3.3"/>
    <s v="No"/>
  </r>
  <r>
    <s v="NYK10656"/>
    <s v="2025-10-28"/>
    <s v="Bath &amp; Body"/>
    <s v="Body Wash"/>
    <x v="4"/>
    <s v="Kolkata"/>
    <s v="Nykaa App"/>
    <s v="New Customer"/>
    <x v="2"/>
    <n v="3"/>
    <n v="569"/>
    <n v="1707"/>
    <n v="30"/>
    <n v="512"/>
    <n v="1195"/>
    <n v="3.5"/>
    <s v="No"/>
  </r>
  <r>
    <s v="NYK10315"/>
    <s v="2025-10-29"/>
    <s v="Personal Care"/>
    <s v="Face Roller"/>
    <x v="10"/>
    <s v="Mumbai"/>
    <s v="Nykaa App"/>
    <s v="New Customer"/>
    <x v="0"/>
    <n v="5"/>
    <n v="1804"/>
    <n v="9020"/>
    <n v="5"/>
    <n v="451"/>
    <n v="8569"/>
    <n v="4.9000000000000004"/>
    <s v="No"/>
  </r>
  <r>
    <s v="NYK10386"/>
    <s v="2025-10-29"/>
    <s v="Fragrance"/>
    <s v="Body Mist"/>
    <x v="3"/>
    <s v="Hyderabad"/>
    <s v="Nykaa Website"/>
    <s v="New Customer"/>
    <x v="3"/>
    <n v="2"/>
    <n v="2590"/>
    <n v="5180"/>
    <n v="10"/>
    <n v="518"/>
    <n v="4662"/>
    <n v="3.5"/>
    <s v="No"/>
  </r>
  <r>
    <s v="NYK10634"/>
    <s v="2025-10-29"/>
    <s v="Fragrance"/>
    <s v="Deodorant"/>
    <x v="6"/>
    <s v="Hyderabad"/>
    <s v="Nykaa Website"/>
    <s v="Premium Member"/>
    <x v="1"/>
    <n v="3"/>
    <n v="1392"/>
    <n v="4176"/>
    <n v="5"/>
    <n v="209"/>
    <n v="3967"/>
    <n v="3.5"/>
    <s v="No"/>
  </r>
  <r>
    <s v="NYK10647"/>
    <s v="2025-10-29"/>
    <s v="Skincare"/>
    <s v="Serum"/>
    <x v="10"/>
    <s v="Lucknow"/>
    <s v="Nykaa Website"/>
    <s v="Premium Member"/>
    <x v="4"/>
    <n v="5"/>
    <n v="580"/>
    <n v="2900"/>
    <n v="10"/>
    <n v="290"/>
    <n v="2610"/>
    <n v="3.7"/>
    <s v="No"/>
  </r>
  <r>
    <s v="NYK10596"/>
    <s v="2025-10-30"/>
    <s v="Personal Care"/>
    <s v="Trimmer"/>
    <x v="7"/>
    <s v="Ahmedabad"/>
    <s v="Nykaa App"/>
    <s v="Premium Member"/>
    <x v="2"/>
    <n v="3"/>
    <n v="1031"/>
    <n v="3093"/>
    <n v="30"/>
    <n v="928"/>
    <n v="2165"/>
    <n v="4.5999999999999996"/>
    <s v="No"/>
  </r>
  <r>
    <s v="NYK10228"/>
    <s v="2025-10-30"/>
    <s v="Skincare"/>
    <s v="Serum"/>
    <x v="8"/>
    <s v="Hyderabad"/>
    <s v="Nykaa Website"/>
    <s v="Repeat Customer"/>
    <x v="1"/>
    <n v="5"/>
    <n v="1058"/>
    <n v="5290"/>
    <n v="5"/>
    <n v="264"/>
    <n v="5026"/>
    <n v="4.3"/>
    <s v="No"/>
  </r>
  <r>
    <s v="NYK10544"/>
    <s v="2025-10-30"/>
    <s v="Makeup"/>
    <s v="Foundation"/>
    <x v="9"/>
    <s v="Delhi"/>
    <s v="Nykaa App"/>
    <s v="New Customer"/>
    <x v="3"/>
    <n v="4"/>
    <n v="485"/>
    <n v="1940"/>
    <n v="5"/>
    <n v="97"/>
    <n v="1843"/>
    <n v="3.6"/>
    <s v="No"/>
  </r>
  <r>
    <s v="NYK10280"/>
    <s v="2025-10-30"/>
    <s v="Personal Care"/>
    <s v="Face Roller"/>
    <x v="6"/>
    <s v="Delhi"/>
    <s v="Nykaa App"/>
    <s v="Repeat Customer"/>
    <x v="2"/>
    <n v="2"/>
    <n v="513"/>
    <n v="1026"/>
    <n v="0"/>
    <n v="0"/>
    <n v="1026"/>
    <n v="4"/>
    <s v="No"/>
  </r>
  <r>
    <s v="NYK10679"/>
    <s v="2025-10-30"/>
    <s v="Skincare"/>
    <s v="Sunscreen"/>
    <x v="7"/>
    <s v="Delhi"/>
    <s v="Nykaa Website"/>
    <s v="Repeat Customer"/>
    <x v="0"/>
    <n v="4"/>
    <n v="994"/>
    <n v="3976"/>
    <n v="0"/>
    <n v="0"/>
    <n v="3976"/>
    <n v="5"/>
    <s v="No"/>
  </r>
  <r>
    <s v="NYK10337"/>
    <s v="2025-10-30"/>
    <s v="Makeup"/>
    <s v="Mascara"/>
    <x v="4"/>
    <s v="Jaipur"/>
    <s v="Nykaa Website"/>
    <s v="Repeat Customer"/>
    <x v="1"/>
    <n v="1"/>
    <n v="1218"/>
    <n v="1218"/>
    <n v="15"/>
    <n v="183"/>
    <n v="1035"/>
    <n v="3.9"/>
    <s v="No"/>
  </r>
  <r>
    <s v="NYK10688"/>
    <s v="2025-10-31"/>
    <s v="Fragrance"/>
    <s v="Body Mist"/>
    <x v="3"/>
    <s v="Ahmedabad"/>
    <s v="Nykaa Website"/>
    <s v="Premium Member"/>
    <x v="1"/>
    <n v="4"/>
    <n v="1012"/>
    <n v="4048"/>
    <n v="5"/>
    <n v="202"/>
    <n v="3846"/>
    <n v="4.7"/>
    <s v="No"/>
  </r>
  <r>
    <s v="NYK10076"/>
    <s v="2025-10-31"/>
    <s v="Haircare"/>
    <s v="Conditioner"/>
    <x v="11"/>
    <s v="Lucknow"/>
    <s v="Nykaa App"/>
    <s v="Premium Member"/>
    <x v="2"/>
    <n v="1"/>
    <n v="419"/>
    <n v="419"/>
    <n v="15"/>
    <n v="63"/>
    <n v="356"/>
    <n v="4.5"/>
    <s v="No"/>
  </r>
  <r>
    <s v="NYK10482"/>
    <s v="2025-10-31"/>
    <s v="Fragrance"/>
    <s v="Body Mist"/>
    <x v="4"/>
    <s v="Lucknow"/>
    <s v="Nykaa App"/>
    <s v="New Customer"/>
    <x v="2"/>
    <n v="4"/>
    <n v="664"/>
    <n v="2656"/>
    <n v="5"/>
    <n v="133"/>
    <n v="2523"/>
    <n v="4.7"/>
    <s v="No"/>
  </r>
  <r>
    <s v="NYK10713"/>
    <s v="2025-10-31"/>
    <s v="Fragrance"/>
    <s v="Body Mist"/>
    <x v="2"/>
    <s v="Bengaluru"/>
    <s v="Nykaa App"/>
    <s v="Repeat Customer"/>
    <x v="1"/>
    <n v="1"/>
    <n v="2244"/>
    <n v="2244"/>
    <n v="25"/>
    <n v="561"/>
    <n v="1683"/>
    <n v="4.8"/>
    <s v="No"/>
  </r>
  <r>
    <s v="NYK10042"/>
    <s v="2025-10-31"/>
    <s v="Bath &amp; Body"/>
    <s v="Body Wash"/>
    <x v="1"/>
    <s v="Chennai"/>
    <s v="Nykaa App"/>
    <s v="Repeat Customer"/>
    <x v="3"/>
    <n v="3"/>
    <n v="367"/>
    <n v="1101"/>
    <n v="20"/>
    <n v="220"/>
    <n v="881"/>
    <n v="3.3"/>
    <s v="No"/>
  </r>
  <r>
    <s v="NYK10745"/>
    <s v="2025-10-31"/>
    <s v="Personal Care"/>
    <s v="Face Roller"/>
    <x v="10"/>
    <s v="Pune"/>
    <s v="Nykaa Website"/>
    <s v="New Customer"/>
    <x v="0"/>
    <n v="3"/>
    <n v="2232"/>
    <n v="6696"/>
    <n v="30"/>
    <n v="2009"/>
    <n v="4687"/>
    <n v="3.4"/>
    <s v="No"/>
  </r>
  <r>
    <s v="NYK10662"/>
    <s v="2025-10-31"/>
    <s v="Skincare"/>
    <s v="Face Wash"/>
    <x v="3"/>
    <s v="Lucknow"/>
    <s v="Nykaa Website"/>
    <s v="Repeat Customer"/>
    <x v="4"/>
    <n v="4"/>
    <n v="1438"/>
    <n v="5752"/>
    <n v="10"/>
    <n v="575"/>
    <n v="5177"/>
    <n v="3.3"/>
    <s v="No"/>
  </r>
  <r>
    <s v="NYK10155"/>
    <s v="2025-11-01"/>
    <s v="Fragrance"/>
    <s v="Body Mist"/>
    <x v="0"/>
    <s v="Hyderabad"/>
    <s v="Nykaa Website"/>
    <s v="New Customer"/>
    <x v="1"/>
    <n v="4"/>
    <n v="1993"/>
    <n v="7972"/>
    <n v="30"/>
    <n v="2392"/>
    <n v="5580"/>
    <n v="4.4000000000000004"/>
    <s v="No"/>
  </r>
  <r>
    <s v="NYK10344"/>
    <s v="2025-11-01"/>
    <s v="Skincare"/>
    <s v="Sunscreen"/>
    <x v="0"/>
    <s v="Lucknow"/>
    <s v="Nykaa Offline Store"/>
    <s v="New Customer"/>
    <x v="0"/>
    <n v="3"/>
    <n v="757"/>
    <n v="2271"/>
    <n v="30"/>
    <n v="681"/>
    <n v="1590"/>
    <n v="4.9000000000000004"/>
    <s v="No"/>
  </r>
  <r>
    <s v="NYK10589"/>
    <s v="2025-11-03"/>
    <s v="Makeup"/>
    <s v="Foundation"/>
    <x v="2"/>
    <s v="Chennai"/>
    <s v="Nykaa App"/>
    <s v="Repeat Customer"/>
    <x v="2"/>
    <n v="4"/>
    <n v="911"/>
    <n v="3644"/>
    <n v="0"/>
    <n v="0"/>
    <n v="3644"/>
    <n v="3.6"/>
    <s v="No"/>
  </r>
  <r>
    <s v="NYK10736"/>
    <s v="2025-11-04"/>
    <s v="Personal Care"/>
    <s v="Face Roller"/>
    <x v="4"/>
    <s v="Hyderabad"/>
    <s v="Nykaa App"/>
    <s v="Premium Member"/>
    <x v="1"/>
    <n v="1"/>
    <n v="1864"/>
    <n v="1864"/>
    <n v="25"/>
    <n v="466"/>
    <n v="1398"/>
    <n v="3.5"/>
    <s v="No"/>
  </r>
  <r>
    <s v="NYK10737"/>
    <s v="2025-11-04"/>
    <s v="Personal Care"/>
    <s v="Trimmer"/>
    <x v="6"/>
    <s v="Lucknow"/>
    <s v="Nykaa Website"/>
    <s v="Repeat Customer"/>
    <x v="3"/>
    <n v="1"/>
    <n v="644"/>
    <n v="644"/>
    <n v="0"/>
    <n v="0"/>
    <n v="644"/>
    <n v="4.4000000000000004"/>
    <s v="No"/>
  </r>
  <r>
    <s v="NYK10174"/>
    <s v="2025-11-05"/>
    <s v="Makeup"/>
    <s v="Compact"/>
    <x v="10"/>
    <s v="Mumbai"/>
    <s v="Nykaa App"/>
    <s v="New Customer"/>
    <x v="1"/>
    <n v="3"/>
    <n v="531"/>
    <n v="1593"/>
    <n v="25"/>
    <n v="398"/>
    <n v="1195"/>
    <n v="4.2"/>
    <s v="No"/>
  </r>
  <r>
    <s v="NYK10029"/>
    <s v="2025-11-05"/>
    <s v="Haircare"/>
    <s v="Conditioner"/>
    <x v="1"/>
    <s v="Delhi"/>
    <s v="Nykaa App"/>
    <s v="Repeat Customer"/>
    <x v="2"/>
    <n v="5"/>
    <n v="786"/>
    <n v="3930"/>
    <n v="5"/>
    <n v="196"/>
    <n v="3734"/>
    <n v="4.8"/>
    <s v="Yes"/>
  </r>
  <r>
    <s v="NYK10719"/>
    <s v="2025-11-05"/>
    <s v="Skincare"/>
    <s v="Serum"/>
    <x v="3"/>
    <s v="Pune"/>
    <s v="Nykaa Offline Store"/>
    <s v="New Customer"/>
    <x v="0"/>
    <n v="4"/>
    <n v="333"/>
    <n v="1332"/>
    <n v="0"/>
    <n v="0"/>
    <n v="1332"/>
    <n v="3.8"/>
    <s v="No"/>
  </r>
  <r>
    <s v="NYK10393"/>
    <s v="2025-11-06"/>
    <s v="Haircare"/>
    <s v="Hair Serum"/>
    <x v="6"/>
    <s v="Jaipur"/>
    <s v="Nykaa Website"/>
    <s v="New Customer"/>
    <x v="0"/>
    <n v="2"/>
    <n v="200"/>
    <n v="400"/>
    <n v="30"/>
    <n v="120"/>
    <n v="280"/>
    <n v="3.7"/>
    <s v="No"/>
  </r>
  <r>
    <s v="NYK10666"/>
    <s v="2025-11-06"/>
    <s v="Fragrance"/>
    <s v="Deodorant"/>
    <x v="5"/>
    <s v="Kolkata"/>
    <s v="Nykaa Offline Store"/>
    <s v="Repeat Customer"/>
    <x v="3"/>
    <n v="5"/>
    <n v="2601"/>
    <n v="13005"/>
    <n v="10"/>
    <n v="1300"/>
    <n v="11705"/>
    <n v="3.3"/>
    <s v="No"/>
  </r>
  <r>
    <s v="NYK10592"/>
    <s v="2025-11-06"/>
    <s v="Personal Care"/>
    <s v="Hair Dryer"/>
    <x v="7"/>
    <s v="Ahmedabad"/>
    <s v="Nykaa Website"/>
    <s v="New Customer"/>
    <x v="0"/>
    <n v="3"/>
    <n v="1091"/>
    <n v="3273"/>
    <n v="20"/>
    <n v="655"/>
    <n v="2618"/>
    <n v="4.5"/>
    <s v="No"/>
  </r>
  <r>
    <s v="NYK10070"/>
    <s v="2025-11-07"/>
    <s v="Fragrance"/>
    <s v="Perfume"/>
    <x v="10"/>
    <s v="Pune"/>
    <s v="Nykaa App"/>
    <s v="Repeat Customer"/>
    <x v="4"/>
    <n v="1"/>
    <n v="2143"/>
    <n v="2143"/>
    <n v="20"/>
    <n v="429"/>
    <n v="1714"/>
    <n v="4"/>
    <s v="No"/>
  </r>
  <r>
    <s v="NYK10564"/>
    <s v="2025-11-07"/>
    <s v="Skincare"/>
    <s v="Serum"/>
    <x v="8"/>
    <s v="Mumbai"/>
    <s v="Nykaa App"/>
    <s v="Repeat Customer"/>
    <x v="0"/>
    <n v="1"/>
    <n v="1403"/>
    <n v="1403"/>
    <n v="5"/>
    <n v="70"/>
    <n v="1333"/>
    <n v="4.3"/>
    <s v="No"/>
  </r>
  <r>
    <s v="NYK10375"/>
    <s v="2025-11-07"/>
    <s v="Bath &amp; Body"/>
    <s v="Bath Salt"/>
    <x v="0"/>
    <s v="Chennai"/>
    <s v="Nykaa Website"/>
    <s v="Repeat Customer"/>
    <x v="2"/>
    <n v="2"/>
    <n v="705"/>
    <n v="1410"/>
    <n v="25"/>
    <n v="352"/>
    <n v="1058"/>
    <n v="3.4"/>
    <s v="No"/>
  </r>
  <r>
    <s v="NYK10428"/>
    <s v="2025-11-09"/>
    <s v="Bath &amp; Body"/>
    <s v="Body Lotion"/>
    <x v="3"/>
    <s v="Chennai"/>
    <s v="Nykaa App"/>
    <s v="New Customer"/>
    <x v="3"/>
    <n v="1"/>
    <n v="619"/>
    <n v="619"/>
    <n v="30"/>
    <n v="186"/>
    <n v="433"/>
    <n v="4.0999999999999996"/>
    <s v="No"/>
  </r>
  <r>
    <s v="NYK10674"/>
    <s v="2025-11-10"/>
    <s v="Makeup"/>
    <s v="Lipstick"/>
    <x v="9"/>
    <s v="Lucknow"/>
    <s v="Nykaa Website"/>
    <s v="Premium Member"/>
    <x v="1"/>
    <n v="2"/>
    <n v="1131"/>
    <n v="2262"/>
    <n v="0"/>
    <n v="0"/>
    <n v="2262"/>
    <n v="5"/>
    <s v="No"/>
  </r>
  <r>
    <s v="NYK10668"/>
    <s v="2025-11-11"/>
    <s v="Haircare"/>
    <s v="Hair Oil"/>
    <x v="1"/>
    <s v="Ahmedabad"/>
    <s v="Nykaa App"/>
    <s v="Repeat Customer"/>
    <x v="1"/>
    <n v="3"/>
    <n v="328"/>
    <n v="984"/>
    <n v="20"/>
    <n v="197"/>
    <n v="787"/>
    <n v="3.8"/>
    <s v="No"/>
  </r>
  <r>
    <s v="NYK10390"/>
    <s v="2025-11-12"/>
    <s v="Haircare"/>
    <s v="Conditioner"/>
    <x v="7"/>
    <s v="Hyderabad"/>
    <s v="Nykaa App"/>
    <s v="Premium Member"/>
    <x v="1"/>
    <n v="3"/>
    <n v="305"/>
    <n v="915"/>
    <n v="15"/>
    <n v="137"/>
    <n v="778"/>
    <n v="3.6"/>
    <s v="No"/>
  </r>
  <r>
    <s v="NYK10361"/>
    <s v="2025-11-13"/>
    <s v="Fragrance"/>
    <s v="Perfume"/>
    <x v="8"/>
    <s v="Pune"/>
    <s v="Nykaa App"/>
    <s v="Repeat Customer"/>
    <x v="4"/>
    <n v="3"/>
    <n v="1469"/>
    <n v="4407"/>
    <n v="15"/>
    <n v="661"/>
    <n v="3746"/>
    <n v="4.8"/>
    <s v="No"/>
  </r>
  <r>
    <s v="NYK10289"/>
    <s v="2025-11-13"/>
    <s v="Bath &amp; Body"/>
    <s v="Body Wash"/>
    <x v="4"/>
    <s v="Kolkata"/>
    <s v="Nykaa Website"/>
    <s v="Repeat Customer"/>
    <x v="2"/>
    <n v="1"/>
    <n v="261"/>
    <n v="261"/>
    <n v="15"/>
    <n v="39"/>
    <n v="222"/>
    <n v="3.5"/>
    <s v="No"/>
  </r>
  <r>
    <s v="NYK10650"/>
    <s v="2025-11-13"/>
    <s v="Bath &amp; Body"/>
    <s v="Bath Salt"/>
    <x v="4"/>
    <s v="Lucknow"/>
    <s v="Nykaa App"/>
    <s v="Repeat Customer"/>
    <x v="2"/>
    <n v="4"/>
    <n v="625"/>
    <n v="2500"/>
    <n v="15"/>
    <n v="375"/>
    <n v="2125"/>
    <n v="4.7"/>
    <s v="No"/>
  </r>
  <r>
    <s v="NYK10208"/>
    <s v="2025-11-15"/>
    <s v="Fragrance"/>
    <s v="Perfume"/>
    <x v="9"/>
    <s v="Chennai"/>
    <s v="Nykaa App"/>
    <s v="New Customer"/>
    <x v="3"/>
    <n v="4"/>
    <n v="1189"/>
    <n v="4756"/>
    <n v="10"/>
    <n v="476"/>
    <n v="4280"/>
    <n v="4.0999999999999996"/>
    <s v="No"/>
  </r>
  <r>
    <s v="NYK10204"/>
    <s v="2025-11-17"/>
    <s v="Haircare"/>
    <s v="Shampoo"/>
    <x v="1"/>
    <s v="Ahmedabad"/>
    <s v="Nykaa App"/>
    <s v="New Customer"/>
    <x v="2"/>
    <n v="4"/>
    <n v="307"/>
    <n v="1228"/>
    <n v="20"/>
    <n v="246"/>
    <n v="982"/>
    <n v="4.4000000000000004"/>
    <s v="No"/>
  </r>
  <r>
    <s v="NYK10502"/>
    <s v="2025-11-17"/>
    <s v="Fragrance"/>
    <s v="Body Mist"/>
    <x v="1"/>
    <s v="Pune"/>
    <s v="Nykaa App"/>
    <s v="Repeat Customer"/>
    <x v="1"/>
    <n v="5"/>
    <n v="1477"/>
    <n v="7385"/>
    <n v="30"/>
    <n v="2216"/>
    <n v="5169"/>
    <n v="4.4000000000000004"/>
    <s v="No"/>
  </r>
  <r>
    <s v="NYK10172"/>
    <s v="2025-11-17"/>
    <s v="Makeup"/>
    <s v="Mascara"/>
    <x v="0"/>
    <s v="Hyderabad"/>
    <s v="Nykaa Website"/>
    <s v="New Customer"/>
    <x v="2"/>
    <n v="3"/>
    <n v="989"/>
    <n v="2967"/>
    <n v="0"/>
    <n v="0"/>
    <n v="2967"/>
    <n v="4.5"/>
    <s v="No"/>
  </r>
  <r>
    <s v="NYK10197"/>
    <s v="2025-11-18"/>
    <s v="Skincare"/>
    <s v="Face Wash"/>
    <x v="7"/>
    <s v="Jaipur"/>
    <s v="Nykaa Offline Store"/>
    <s v="New Customer"/>
    <x v="2"/>
    <n v="2"/>
    <n v="427"/>
    <n v="854"/>
    <n v="0"/>
    <n v="0"/>
    <n v="854"/>
    <n v="4.0999999999999996"/>
    <s v="No"/>
  </r>
  <r>
    <s v="NYK10000"/>
    <s v="2025-11-18"/>
    <s v="Personal Care"/>
    <s v="Trimmer"/>
    <x v="2"/>
    <s v="Hyderabad"/>
    <s v="Nykaa App"/>
    <s v="Repeat Customer"/>
    <x v="4"/>
    <n v="1"/>
    <n v="1639"/>
    <n v="1639"/>
    <n v="0"/>
    <n v="0"/>
    <n v="1639"/>
    <n v="3.3"/>
    <s v="No"/>
  </r>
  <r>
    <s v="NYK10381"/>
    <s v="2025-11-19"/>
    <s v="Haircare"/>
    <s v="Hair Oil"/>
    <x v="10"/>
    <s v="Hyderabad"/>
    <s v="Nykaa Website"/>
    <s v="New Customer"/>
    <x v="2"/>
    <n v="5"/>
    <n v="153"/>
    <n v="765"/>
    <n v="5"/>
    <n v="38"/>
    <n v="727"/>
    <n v="3.9"/>
    <s v="No"/>
  </r>
  <r>
    <s v="NYK10475"/>
    <s v="2025-11-19"/>
    <s v="Makeup"/>
    <s v="Foundation"/>
    <x v="6"/>
    <s v="Jaipur"/>
    <s v="Nykaa App"/>
    <s v="Repeat Customer"/>
    <x v="0"/>
    <n v="3"/>
    <n v="363"/>
    <n v="1089"/>
    <n v="10"/>
    <n v="109"/>
    <n v="980"/>
    <n v="3.4"/>
    <s v="Yes"/>
  </r>
  <r>
    <s v="NYK10104"/>
    <s v="2025-11-20"/>
    <s v="Bath &amp; Body"/>
    <s v="Body Wash"/>
    <x v="8"/>
    <s v="Lucknow"/>
    <s v="Nykaa App"/>
    <s v="Repeat Customer"/>
    <x v="4"/>
    <n v="5"/>
    <n v="548"/>
    <n v="2740"/>
    <n v="25"/>
    <n v="685"/>
    <n v="2055"/>
    <n v="4.2"/>
    <s v="No"/>
  </r>
  <r>
    <s v="NYK10002"/>
    <s v="2025-11-20"/>
    <s v="Makeup"/>
    <s v="Compact"/>
    <x v="10"/>
    <s v="Bengaluru"/>
    <s v="Nykaa App"/>
    <s v="Repeat Customer"/>
    <x v="0"/>
    <n v="1"/>
    <n v="617"/>
    <n v="617"/>
    <n v="10"/>
    <n v="62"/>
    <n v="555"/>
    <n v="4.7"/>
    <s v="No"/>
  </r>
  <r>
    <s v="NYK10673"/>
    <s v="2025-11-20"/>
    <s v="Makeup"/>
    <s v="Compact"/>
    <x v="8"/>
    <s v="Lucknow"/>
    <s v="Nykaa App"/>
    <s v="New Customer"/>
    <x v="3"/>
    <n v="5"/>
    <n v="938"/>
    <n v="4690"/>
    <n v="20"/>
    <n v="938"/>
    <n v="3752"/>
    <n v="4.2"/>
    <s v="No"/>
  </r>
  <r>
    <s v="NYK10357"/>
    <s v="2025-11-21"/>
    <s v="Makeup"/>
    <s v="Mascara"/>
    <x v="8"/>
    <s v="Bengaluru"/>
    <s v="Nykaa Website"/>
    <s v="New Customer"/>
    <x v="0"/>
    <n v="1"/>
    <n v="1180"/>
    <n v="1180"/>
    <n v="30"/>
    <n v="354"/>
    <n v="826"/>
    <n v="4.0999999999999996"/>
    <s v="No"/>
  </r>
  <r>
    <s v="NYK10055"/>
    <s v="2025-11-21"/>
    <s v="Haircare"/>
    <s v="Hair Oil"/>
    <x v="10"/>
    <s v="Lucknow"/>
    <s v="Nykaa Website"/>
    <s v="New Customer"/>
    <x v="0"/>
    <n v="5"/>
    <n v="955"/>
    <n v="4775"/>
    <n v="0"/>
    <n v="0"/>
    <n v="4775"/>
    <n v="3.6"/>
    <s v="No"/>
  </r>
  <r>
    <s v="NYK10391"/>
    <s v="2025-11-21"/>
    <s v="Haircare"/>
    <s v="Hair Oil"/>
    <x v="4"/>
    <s v="Ahmedabad"/>
    <s v="Nykaa App"/>
    <s v="New Customer"/>
    <x v="4"/>
    <n v="2"/>
    <n v="841"/>
    <n v="1682"/>
    <n v="25"/>
    <n v="420"/>
    <n v="1262"/>
    <n v="3.7"/>
    <s v="No"/>
  </r>
  <r>
    <s v="NYK10125"/>
    <s v="2025-11-23"/>
    <s v="Makeup"/>
    <s v="Compact"/>
    <x v="5"/>
    <s v="Ahmedabad"/>
    <s v="Nykaa App"/>
    <s v="New Customer"/>
    <x v="2"/>
    <n v="2"/>
    <n v="604"/>
    <n v="1208"/>
    <n v="20"/>
    <n v="242"/>
    <n v="966"/>
    <n v="5"/>
    <s v="No"/>
  </r>
  <r>
    <s v="NYK10396"/>
    <s v="2025-11-24"/>
    <s v="Skincare"/>
    <s v="Serum"/>
    <x v="5"/>
    <s v="Ahmedabad"/>
    <s v="Nykaa Website"/>
    <s v="New Customer"/>
    <x v="3"/>
    <n v="3"/>
    <n v="805"/>
    <n v="2415"/>
    <n v="20"/>
    <n v="483"/>
    <n v="1932"/>
    <n v="4.2"/>
    <s v="No"/>
  </r>
  <r>
    <s v="NYK10103"/>
    <s v="2025-11-25"/>
    <s v="Fragrance"/>
    <s v="Body Mist"/>
    <x v="2"/>
    <s v="Lucknow"/>
    <s v="Nykaa App"/>
    <s v="New Customer"/>
    <x v="4"/>
    <n v="2"/>
    <n v="886"/>
    <n v="1772"/>
    <n v="15"/>
    <n v="266"/>
    <n v="1506"/>
    <n v="3.6"/>
    <s v="No"/>
  </r>
  <r>
    <s v="NYK10165"/>
    <s v="2025-11-25"/>
    <s v="Haircare"/>
    <s v="Conditioner"/>
    <x v="6"/>
    <s v="Hyderabad"/>
    <s v="Nykaa Website"/>
    <s v="Repeat Customer"/>
    <x v="2"/>
    <n v="3"/>
    <n v="625"/>
    <n v="1875"/>
    <n v="30"/>
    <n v="562"/>
    <n v="1313"/>
    <n v="4.5"/>
    <s v="No"/>
  </r>
  <r>
    <s v="NYK10543"/>
    <s v="2025-11-25"/>
    <s v="Makeup"/>
    <s v="Compact"/>
    <x v="10"/>
    <s v="Mumbai"/>
    <s v="Nykaa App"/>
    <s v="New Customer"/>
    <x v="3"/>
    <n v="5"/>
    <n v="1216"/>
    <n v="6080"/>
    <n v="25"/>
    <n v="1520"/>
    <n v="4560"/>
    <n v="4.2"/>
    <s v="No"/>
  </r>
  <r>
    <s v="NYK10501"/>
    <s v="2025-11-25"/>
    <s v="Bath &amp; Body"/>
    <s v="Body Wash"/>
    <x v="2"/>
    <s v="Ahmedabad"/>
    <s v="Nykaa App"/>
    <s v="New Customer"/>
    <x v="4"/>
    <n v="1"/>
    <n v="212"/>
    <n v="212"/>
    <n v="20"/>
    <n v="42"/>
    <n v="170"/>
    <n v="4.3"/>
    <s v="Yes"/>
  </r>
  <r>
    <s v="NYK10727"/>
    <s v="2025-11-25"/>
    <s v="Bath &amp; Body"/>
    <s v="Body Wash"/>
    <x v="1"/>
    <s v="Mumbai"/>
    <s v="Nykaa App"/>
    <s v="Repeat Customer"/>
    <x v="1"/>
    <n v="2"/>
    <n v="283"/>
    <n v="566"/>
    <n v="0"/>
    <n v="0"/>
    <n v="566"/>
    <n v="4.8"/>
    <s v="No"/>
  </r>
  <r>
    <s v="NYK10309"/>
    <s v="2025-11-26"/>
    <s v="Skincare"/>
    <s v="Face Wash"/>
    <x v="6"/>
    <s v="Ahmedabad"/>
    <s v="Nykaa Website"/>
    <s v="Repeat Customer"/>
    <x v="1"/>
    <n v="4"/>
    <n v="1365"/>
    <n v="5460"/>
    <n v="5"/>
    <n v="273"/>
    <n v="5187"/>
    <n v="3.8"/>
    <s v="No"/>
  </r>
  <r>
    <s v="NYK10185"/>
    <s v="2025-11-26"/>
    <s v="Skincare"/>
    <s v="Moisturizer"/>
    <x v="7"/>
    <s v="Hyderabad"/>
    <s v="Nykaa Website"/>
    <s v="Repeat Customer"/>
    <x v="1"/>
    <n v="5"/>
    <n v="1017"/>
    <n v="5085"/>
    <n v="25"/>
    <n v="1271"/>
    <n v="3814"/>
    <n v="4.7"/>
    <s v="No"/>
  </r>
  <r>
    <s v="NYK10452"/>
    <s v="2025-11-27"/>
    <s v="Personal Care"/>
    <s v="Trimmer"/>
    <x v="3"/>
    <s v="Ahmedabad"/>
    <s v="Nykaa App"/>
    <s v="New Customer"/>
    <x v="1"/>
    <n v="4"/>
    <n v="749"/>
    <n v="2996"/>
    <n v="10"/>
    <n v="300"/>
    <n v="2696"/>
    <n v="4.3"/>
    <s v="No"/>
  </r>
  <r>
    <s v="NYK10708"/>
    <s v="2025-11-27"/>
    <s v="Haircare"/>
    <s v="Conditioner"/>
    <x v="3"/>
    <s v="Jaipur"/>
    <s v="Nykaa App"/>
    <s v="New Customer"/>
    <x v="4"/>
    <n v="1"/>
    <n v="295"/>
    <n v="295"/>
    <n v="30"/>
    <n v="88"/>
    <n v="207"/>
    <n v="4.8"/>
    <s v="No"/>
  </r>
  <r>
    <s v="NYK10073"/>
    <s v="2025-11-27"/>
    <s v="Skincare"/>
    <s v="Moisturizer"/>
    <x v="0"/>
    <s v="Jaipur"/>
    <s v="Nykaa Website"/>
    <s v="Repeat Customer"/>
    <x v="2"/>
    <n v="4"/>
    <n v="591"/>
    <n v="2364"/>
    <n v="20"/>
    <n v="473"/>
    <n v="1891"/>
    <n v="3.5"/>
    <s v="No"/>
  </r>
  <r>
    <s v="NYK10253"/>
    <s v="2025-11-27"/>
    <s v="Skincare"/>
    <s v="Sunscreen"/>
    <x v="3"/>
    <s v="Lucknow"/>
    <s v="Nykaa Website"/>
    <s v="Repeat Customer"/>
    <x v="3"/>
    <n v="4"/>
    <n v="741"/>
    <n v="2964"/>
    <n v="15"/>
    <n v="445"/>
    <n v="2519"/>
    <n v="5"/>
    <s v="No"/>
  </r>
  <r>
    <s v="NYK10558"/>
    <s v="2025-11-27"/>
    <s v="Haircare"/>
    <s v="Shampoo"/>
    <x v="6"/>
    <s v="Jaipur"/>
    <s v="Nykaa Website"/>
    <s v="New Customer"/>
    <x v="3"/>
    <n v="2"/>
    <n v="799"/>
    <n v="1598"/>
    <n v="20"/>
    <n v="320"/>
    <n v="1278"/>
    <n v="4.5999999999999996"/>
    <s v="No"/>
  </r>
  <r>
    <s v="NYK10135"/>
    <s v="2025-11-28"/>
    <s v="Skincare"/>
    <s v="Serum"/>
    <x v="2"/>
    <s v="Hyderabad"/>
    <s v="Nykaa App"/>
    <s v="New Customer"/>
    <x v="0"/>
    <n v="3"/>
    <n v="1419"/>
    <n v="4257"/>
    <n v="20"/>
    <n v="851"/>
    <n v="3406"/>
    <n v="3.9"/>
    <s v="No"/>
  </r>
  <r>
    <s v="NYK10621"/>
    <s v="2025-11-29"/>
    <s v="Makeup"/>
    <s v="Mascara"/>
    <x v="4"/>
    <s v="Lucknow"/>
    <s v="Nykaa App"/>
    <s v="New Customer"/>
    <x v="0"/>
    <n v="5"/>
    <n v="317"/>
    <n v="1585"/>
    <n v="15"/>
    <n v="238"/>
    <n v="1347"/>
    <n v="3.9"/>
    <s v="No"/>
  </r>
  <r>
    <s v="NYK10171"/>
    <s v="2025-11-30"/>
    <s v="Haircare"/>
    <s v="Shampoo"/>
    <x v="2"/>
    <s v="Lucknow"/>
    <s v="Nykaa Website"/>
    <s v="Premium Member"/>
    <x v="1"/>
    <n v="3"/>
    <n v="535"/>
    <n v="1605"/>
    <n v="25"/>
    <n v="401"/>
    <n v="1204"/>
    <n v="4.2"/>
    <s v="No"/>
  </r>
  <r>
    <s v="NYK10461"/>
    <s v="2025-12-01"/>
    <s v="Haircare"/>
    <s v="Shampoo"/>
    <x v="8"/>
    <s v="Pune"/>
    <s v="Nykaa App"/>
    <s v="New Customer"/>
    <x v="0"/>
    <n v="4"/>
    <n v="866"/>
    <n v="3464"/>
    <n v="0"/>
    <n v="0"/>
    <n v="3464"/>
    <n v="3.7"/>
    <s v="No"/>
  </r>
  <r>
    <s v="NYK10732"/>
    <s v="2025-12-01"/>
    <s v="Fragrance"/>
    <s v="Deodorant"/>
    <x v="8"/>
    <s v="Lucknow"/>
    <s v="Nykaa App"/>
    <s v="Repeat Customer"/>
    <x v="3"/>
    <n v="3"/>
    <n v="1450"/>
    <n v="4350"/>
    <n v="10"/>
    <n v="435"/>
    <n v="3915"/>
    <n v="4"/>
    <s v="No"/>
  </r>
  <r>
    <s v="NYK10218"/>
    <s v="2025-12-01"/>
    <s v="Fragrance"/>
    <s v="Deodorant"/>
    <x v="8"/>
    <s v="Mumbai"/>
    <s v="Nykaa Website"/>
    <s v="New Customer"/>
    <x v="1"/>
    <n v="1"/>
    <n v="2192"/>
    <n v="2192"/>
    <n v="5"/>
    <n v="110"/>
    <n v="2082"/>
    <n v="4.9000000000000004"/>
    <s v="No"/>
  </r>
  <r>
    <s v="NYK10644"/>
    <s v="2025-12-02"/>
    <s v="Personal Care"/>
    <s v="Face Roller"/>
    <x v="3"/>
    <s v="Delhi"/>
    <s v="Nykaa App"/>
    <s v="New Customer"/>
    <x v="3"/>
    <n v="5"/>
    <n v="2482"/>
    <n v="12410"/>
    <n v="10"/>
    <n v="1241"/>
    <n v="11169"/>
    <n v="3.6"/>
    <s v="No"/>
  </r>
  <r>
    <s v="NYK10500"/>
    <s v="2025-12-02"/>
    <s v="Fragrance"/>
    <s v="Deodorant"/>
    <x v="0"/>
    <s v="Ahmedabad"/>
    <s v="Nykaa Website"/>
    <s v="Repeat Customer"/>
    <x v="4"/>
    <n v="2"/>
    <n v="1449"/>
    <n v="2898"/>
    <n v="25"/>
    <n v="724"/>
    <n v="2174"/>
    <n v="3.9"/>
    <s v="No"/>
  </r>
  <r>
    <s v="NYK10664"/>
    <s v="2025-12-03"/>
    <s v="Bath &amp; Body"/>
    <s v="Bath Salt"/>
    <x v="9"/>
    <s v="Lucknow"/>
    <s v="Nykaa App"/>
    <s v="New Customer"/>
    <x v="4"/>
    <n v="2"/>
    <n v="658"/>
    <n v="1316"/>
    <n v="5"/>
    <n v="66"/>
    <n v="1250"/>
    <n v="3.9"/>
    <s v="Yes"/>
  </r>
  <r>
    <s v="NYK10441"/>
    <s v="2025-12-04"/>
    <s v="Skincare"/>
    <s v="Moisturizer"/>
    <x v="7"/>
    <s v="Pune"/>
    <s v="Nykaa App"/>
    <s v="Repeat Customer"/>
    <x v="0"/>
    <n v="3"/>
    <n v="1120"/>
    <n v="3360"/>
    <n v="10"/>
    <n v="336"/>
    <n v="3024"/>
    <n v="4.3"/>
    <s v="No"/>
  </r>
  <r>
    <s v="NYK10533"/>
    <s v="2025-12-04"/>
    <s v="Skincare"/>
    <s v="Serum"/>
    <x v="1"/>
    <s v="Bengaluru"/>
    <s v="Nykaa Website"/>
    <s v="Premium Member"/>
    <x v="4"/>
    <n v="1"/>
    <n v="1471"/>
    <n v="1471"/>
    <n v="15"/>
    <n v="221"/>
    <n v="1250"/>
    <n v="4.5999999999999996"/>
    <s v="No"/>
  </r>
  <r>
    <s v="NYK10255"/>
    <s v="2025-12-05"/>
    <s v="Skincare"/>
    <s v="Serum"/>
    <x v="11"/>
    <s v="Delhi"/>
    <s v="Nykaa App"/>
    <s v="Premium Member"/>
    <x v="2"/>
    <n v="4"/>
    <n v="1452"/>
    <n v="5808"/>
    <n v="5"/>
    <n v="290"/>
    <n v="5518"/>
    <n v="4.5"/>
    <s v="No"/>
  </r>
  <r>
    <s v="NYK10494"/>
    <s v="2025-12-07"/>
    <s v="Personal Care"/>
    <s v="Hair Dryer"/>
    <x v="5"/>
    <s v="Lucknow"/>
    <s v="Nykaa App"/>
    <s v="New Customer"/>
    <x v="0"/>
    <n v="4"/>
    <n v="1352"/>
    <n v="5408"/>
    <n v="15"/>
    <n v="811"/>
    <n v="4597"/>
    <n v="4.2"/>
    <s v="No"/>
  </r>
  <r>
    <s v="NYK10703"/>
    <s v="2025-12-08"/>
    <s v="Fragrance"/>
    <s v="Deodorant"/>
    <x v="8"/>
    <s v="Hyderabad"/>
    <s v="Nykaa App"/>
    <s v="Premium Member"/>
    <x v="2"/>
    <n v="2"/>
    <n v="1596"/>
    <n v="3192"/>
    <n v="30"/>
    <n v="958"/>
    <n v="2234"/>
    <n v="4.2"/>
    <s v="No"/>
  </r>
  <r>
    <s v="NYK10321"/>
    <s v="2025-12-08"/>
    <s v="Skincare"/>
    <s v="Sunscreen"/>
    <x v="1"/>
    <s v="Mumbai"/>
    <s v="Nykaa Website"/>
    <s v="Repeat Customer"/>
    <x v="4"/>
    <n v="5"/>
    <n v="568"/>
    <n v="2840"/>
    <n v="25"/>
    <n v="710"/>
    <n v="2130"/>
    <n v="4.8"/>
    <s v="No"/>
  </r>
  <r>
    <s v="NYK10154"/>
    <s v="2025-12-08"/>
    <s v="Makeup"/>
    <s v="Kajal"/>
    <x v="5"/>
    <s v="Hyderabad"/>
    <s v="Nykaa Website"/>
    <s v="Repeat Customer"/>
    <x v="4"/>
    <n v="4"/>
    <n v="748"/>
    <n v="2992"/>
    <n v="10"/>
    <n v="299"/>
    <n v="2693"/>
    <n v="4.0999999999999996"/>
    <s v="No"/>
  </r>
  <r>
    <s v="NYK10317"/>
    <s v="2025-12-08"/>
    <s v="Haircare"/>
    <s v="Hair Oil"/>
    <x v="1"/>
    <s v="Kolkata"/>
    <s v="Nykaa Website"/>
    <s v="New Customer"/>
    <x v="0"/>
    <n v="1"/>
    <n v="873"/>
    <n v="873"/>
    <n v="25"/>
    <n v="218"/>
    <n v="655"/>
    <n v="4.4000000000000004"/>
    <s v="No"/>
  </r>
  <r>
    <s v="NYK10384"/>
    <s v="2025-12-09"/>
    <s v="Personal Care"/>
    <s v="Hair Dryer"/>
    <x v="3"/>
    <s v="Kolkata"/>
    <s v="Nykaa Offline Store"/>
    <s v="Repeat Customer"/>
    <x v="0"/>
    <n v="3"/>
    <n v="920"/>
    <n v="2760"/>
    <n v="0"/>
    <n v="0"/>
    <n v="2760"/>
    <n v="3.9"/>
    <s v="No"/>
  </r>
  <r>
    <s v="NYK10597"/>
    <s v="2025-12-10"/>
    <s v="Makeup"/>
    <s v="Compact"/>
    <x v="1"/>
    <s v="Kolkata"/>
    <s v="Nykaa Website"/>
    <s v="New Customer"/>
    <x v="0"/>
    <n v="4"/>
    <n v="717"/>
    <n v="2868"/>
    <n v="15"/>
    <n v="430"/>
    <n v="2438"/>
    <n v="4.9000000000000004"/>
    <s v="No"/>
  </r>
  <r>
    <s v="NYK10187"/>
    <s v="2025-12-11"/>
    <s v="Haircare"/>
    <s v="Hair Serum"/>
    <x v="7"/>
    <s v="Kolkata"/>
    <s v="Nykaa App"/>
    <s v="New Customer"/>
    <x v="3"/>
    <n v="5"/>
    <n v="551"/>
    <n v="2755"/>
    <n v="30"/>
    <n v="826"/>
    <n v="1929"/>
    <n v="3.6"/>
    <s v="No"/>
  </r>
  <r>
    <s v="NYK10138"/>
    <s v="2025-12-12"/>
    <s v="Makeup"/>
    <s v="Mascara"/>
    <x v="6"/>
    <s v="Delhi"/>
    <s v="Nykaa App"/>
    <s v="Repeat Customer"/>
    <x v="1"/>
    <n v="4"/>
    <n v="862"/>
    <n v="3448"/>
    <n v="15"/>
    <n v="517"/>
    <n v="2931"/>
    <n v="3.5"/>
    <s v="No"/>
  </r>
  <r>
    <s v="NYK10011"/>
    <s v="2025-12-13"/>
    <s v="Bath &amp; Body"/>
    <s v="Body Lotion"/>
    <x v="5"/>
    <s v="Ahmedabad"/>
    <s v="Nykaa App"/>
    <s v="Premium Member"/>
    <x v="1"/>
    <n v="2"/>
    <n v="187"/>
    <n v="374"/>
    <n v="20"/>
    <n v="75"/>
    <n v="299"/>
    <n v="4.9000000000000004"/>
    <s v="No"/>
  </r>
  <r>
    <s v="NYK10341"/>
    <s v="2025-12-13"/>
    <s v="Makeup"/>
    <s v="Lipstick"/>
    <x v="9"/>
    <s v="Lucknow"/>
    <s v="Nykaa App"/>
    <s v="Premium Member"/>
    <x v="4"/>
    <n v="3"/>
    <n v="739"/>
    <n v="2217"/>
    <n v="20"/>
    <n v="443"/>
    <n v="1774"/>
    <n v="4.2"/>
    <s v="No"/>
  </r>
  <r>
    <s v="NYK10148"/>
    <s v="2025-12-13"/>
    <s v="Haircare"/>
    <s v="Conditioner"/>
    <x v="9"/>
    <s v="Hyderabad"/>
    <s v="Nykaa App"/>
    <s v="Premium Member"/>
    <x v="1"/>
    <n v="1"/>
    <n v="362"/>
    <n v="362"/>
    <n v="25"/>
    <n v="90"/>
    <n v="272"/>
    <n v="4.9000000000000004"/>
    <s v="No"/>
  </r>
  <r>
    <s v="NYK10661"/>
    <s v="2025-12-14"/>
    <s v="Makeup"/>
    <s v="Lipstick"/>
    <x v="5"/>
    <s v="Bengaluru"/>
    <s v="Nykaa App"/>
    <s v="New Customer"/>
    <x v="2"/>
    <n v="1"/>
    <n v="551"/>
    <n v="551"/>
    <n v="15"/>
    <n v="83"/>
    <n v="468"/>
    <n v="4.8"/>
    <s v="No"/>
  </r>
  <r>
    <s v="NYK10705"/>
    <s v="2025-12-14"/>
    <s v="Personal Care"/>
    <s v="Hair Dryer"/>
    <x v="6"/>
    <s v="Lucknow"/>
    <s v="Nykaa App"/>
    <s v="Repeat Customer"/>
    <x v="3"/>
    <n v="2"/>
    <n v="2451"/>
    <n v="4902"/>
    <n v="10"/>
    <n v="490"/>
    <n v="4412"/>
    <n v="4.2"/>
    <s v="No"/>
  </r>
  <r>
    <s v="NYK10207"/>
    <s v="2025-12-14"/>
    <s v="Skincare"/>
    <s v="Face Mask"/>
    <x v="5"/>
    <s v="Kolkata"/>
    <s v="Nykaa App"/>
    <s v="Repeat Customer"/>
    <x v="0"/>
    <n v="5"/>
    <n v="1385"/>
    <n v="6925"/>
    <n v="5"/>
    <n v="346"/>
    <n v="6579"/>
    <n v="4.2"/>
    <s v="No"/>
  </r>
  <r>
    <s v="NYK10120"/>
    <s v="2025-12-16"/>
    <s v="Personal Care"/>
    <s v="Face Roller"/>
    <x v="8"/>
    <s v="Delhi"/>
    <s v="Nykaa Website"/>
    <s v="New Customer"/>
    <x v="1"/>
    <n v="5"/>
    <n v="2233"/>
    <n v="11165"/>
    <n v="10"/>
    <n v="1116"/>
    <n v="10049"/>
    <n v="3.3"/>
    <s v="No"/>
  </r>
  <r>
    <s v="NYK10687"/>
    <s v="2025-12-16"/>
    <s v="Haircare"/>
    <s v="Hair Oil"/>
    <x v="4"/>
    <s v="Bengaluru"/>
    <s v="Nykaa App"/>
    <s v="Premium Member"/>
    <x v="0"/>
    <n v="4"/>
    <n v="335"/>
    <n v="1340"/>
    <n v="0"/>
    <n v="0"/>
    <n v="1340"/>
    <n v="4.3"/>
    <s v="No"/>
  </r>
  <r>
    <s v="NYK10700"/>
    <s v="2025-12-16"/>
    <s v="Haircare"/>
    <s v="Conditioner"/>
    <x v="1"/>
    <s v="Chennai"/>
    <s v="Nykaa App"/>
    <s v="Repeat Customer"/>
    <x v="1"/>
    <n v="2"/>
    <n v="749"/>
    <n v="1498"/>
    <n v="5"/>
    <n v="75"/>
    <n v="1423"/>
    <n v="5"/>
    <s v="No"/>
  </r>
  <r>
    <s v="NYK10711"/>
    <s v="2025-12-16"/>
    <s v="Bath &amp; Body"/>
    <s v="Body Lotion"/>
    <x v="7"/>
    <s v="Lucknow"/>
    <s v="Nykaa Website"/>
    <s v="Repeat Customer"/>
    <x v="4"/>
    <n v="1"/>
    <n v="628"/>
    <n v="628"/>
    <n v="10"/>
    <n v="63"/>
    <n v="565"/>
    <n v="4.4000000000000004"/>
    <s v="No"/>
  </r>
  <r>
    <s v="NYK10614"/>
    <s v="2025-12-16"/>
    <s v="Fragrance"/>
    <s v="Body Mist"/>
    <x v="8"/>
    <s v="Mumbai"/>
    <s v="Nykaa App"/>
    <s v="Premium Member"/>
    <x v="0"/>
    <n v="4"/>
    <n v="1433"/>
    <n v="5732"/>
    <n v="0"/>
    <n v="0"/>
    <n v="5732"/>
    <n v="4.7"/>
    <s v="No"/>
  </r>
  <r>
    <s v="NYK10365"/>
    <s v="2025-12-17"/>
    <s v="Skincare"/>
    <s v="Moisturizer"/>
    <x v="4"/>
    <s v="Delhi"/>
    <s v="Nykaa App"/>
    <s v="Repeat Customer"/>
    <x v="3"/>
    <n v="5"/>
    <n v="492"/>
    <n v="2460"/>
    <n v="30"/>
    <n v="738"/>
    <n v="1722"/>
    <n v="3.9"/>
    <s v="No"/>
  </r>
  <r>
    <s v="NYK10027"/>
    <s v="2025-12-18"/>
    <s v="Haircare"/>
    <s v="Shampoo"/>
    <x v="2"/>
    <s v="Bengaluru"/>
    <s v="Nykaa Website"/>
    <s v="New Customer"/>
    <x v="2"/>
    <n v="5"/>
    <n v="749"/>
    <n v="3745"/>
    <n v="20"/>
    <n v="749"/>
    <n v="2996"/>
    <n v="3.2"/>
    <s v="No"/>
  </r>
  <r>
    <s v="NYK10733"/>
    <s v="2025-12-18"/>
    <s v="Bath &amp; Body"/>
    <s v="Body Wash"/>
    <x v="8"/>
    <s v="Bengaluru"/>
    <s v="Nykaa Website"/>
    <s v="New Customer"/>
    <x v="3"/>
    <n v="1"/>
    <n v="157"/>
    <n v="157"/>
    <n v="20"/>
    <n v="31"/>
    <n v="126"/>
    <n v="4.5"/>
    <s v="No"/>
  </r>
  <r>
    <s v="NYK10519"/>
    <s v="2025-12-19"/>
    <s v="Skincare"/>
    <s v="Face Mask"/>
    <x v="9"/>
    <s v="Delhi"/>
    <s v="Nykaa App"/>
    <s v="New Customer"/>
    <x v="2"/>
    <n v="2"/>
    <n v="1135"/>
    <n v="2270"/>
    <n v="20"/>
    <n v="454"/>
    <n v="1816"/>
    <n v="3.5"/>
    <s v="No"/>
  </r>
  <r>
    <s v="NYK10303"/>
    <s v="2025-12-19"/>
    <s v="Bath &amp; Body"/>
    <s v="Body Lotion"/>
    <x v="1"/>
    <s v="Delhi"/>
    <s v="Nykaa App"/>
    <s v="New Customer"/>
    <x v="1"/>
    <n v="4"/>
    <n v="661"/>
    <n v="2644"/>
    <n v="10"/>
    <n v="264"/>
    <n v="2380"/>
    <n v="3.9"/>
    <s v="No"/>
  </r>
  <r>
    <s v="NYK10394"/>
    <s v="2025-12-19"/>
    <s v="Skincare"/>
    <s v="Serum"/>
    <x v="11"/>
    <s v="Chennai"/>
    <s v="Nykaa App"/>
    <s v="Repeat Customer"/>
    <x v="1"/>
    <n v="3"/>
    <n v="323"/>
    <n v="969"/>
    <n v="0"/>
    <n v="0"/>
    <n v="969"/>
    <n v="3.8"/>
    <s v="No"/>
  </r>
  <r>
    <s v="NYK10724"/>
    <s v="2025-12-19"/>
    <s v="Personal Care"/>
    <s v="Face Roller"/>
    <x v="8"/>
    <s v="Mumbai"/>
    <s v="Nykaa Website"/>
    <s v="Repeat Customer"/>
    <x v="2"/>
    <n v="5"/>
    <n v="1744"/>
    <n v="8720"/>
    <n v="5"/>
    <n v="436"/>
    <n v="8284"/>
    <n v="4.0999999999999996"/>
    <s v="No"/>
  </r>
  <r>
    <s v="NYK10552"/>
    <s v="2025-12-19"/>
    <s v="Haircare"/>
    <s v="Hair Serum"/>
    <x v="7"/>
    <s v="Delhi"/>
    <s v="Nykaa Offline Store"/>
    <s v="Repeat Customer"/>
    <x v="2"/>
    <n v="1"/>
    <n v="155"/>
    <n v="155"/>
    <n v="25"/>
    <n v="39"/>
    <n v="116"/>
    <n v="4.8"/>
    <s v="No"/>
  </r>
  <r>
    <s v="NYK10194"/>
    <s v="2025-12-20"/>
    <s v="Bath &amp; Body"/>
    <s v="Bath Salt"/>
    <x v="1"/>
    <s v="Chennai"/>
    <s v="Nykaa Website"/>
    <s v="Repeat Customer"/>
    <x v="2"/>
    <n v="4"/>
    <n v="258"/>
    <n v="1032"/>
    <n v="30"/>
    <n v="310"/>
    <n v="722"/>
    <n v="3.8"/>
    <s v="No"/>
  </r>
  <r>
    <s v="NYK10635"/>
    <s v="2025-12-20"/>
    <s v="Bath &amp; Body"/>
    <s v="Body Lotion"/>
    <x v="8"/>
    <s v="Kolkata"/>
    <s v="Nykaa App"/>
    <s v="New Customer"/>
    <x v="4"/>
    <n v="2"/>
    <n v="465"/>
    <n v="930"/>
    <n v="10"/>
    <n v="93"/>
    <n v="837"/>
    <n v="4.5999999999999996"/>
    <s v="No"/>
  </r>
  <r>
    <s v="NYK10137"/>
    <s v="2025-12-21"/>
    <s v="Personal Care"/>
    <s v="Face Roller"/>
    <x v="4"/>
    <s v="Bengaluru"/>
    <s v="Nykaa App"/>
    <s v="Repeat Customer"/>
    <x v="4"/>
    <n v="3"/>
    <n v="2081"/>
    <n v="6243"/>
    <n v="25"/>
    <n v="1561"/>
    <n v="4682"/>
    <n v="4"/>
    <s v="No"/>
  </r>
  <r>
    <s v="NYK10088"/>
    <s v="2025-12-21"/>
    <s v="Fragrance"/>
    <s v="Deodorant"/>
    <x v="11"/>
    <s v="Delhi"/>
    <s v="Nykaa App"/>
    <s v="New Customer"/>
    <x v="3"/>
    <n v="4"/>
    <n v="2917"/>
    <n v="11668"/>
    <n v="30"/>
    <n v="3500"/>
    <n v="8168"/>
    <n v="4.2"/>
    <s v="No"/>
  </r>
  <r>
    <s v="NYK10639"/>
    <s v="2025-12-22"/>
    <s v="Skincare"/>
    <s v="Moisturizer"/>
    <x v="0"/>
    <s v="Chennai"/>
    <s v="Nykaa App"/>
    <s v="New Customer"/>
    <x v="1"/>
    <n v="4"/>
    <n v="732"/>
    <n v="2928"/>
    <n v="25"/>
    <n v="732"/>
    <n v="2196"/>
    <n v="3.6"/>
    <s v="No"/>
  </r>
  <r>
    <s v="NYK10152"/>
    <s v="2025-12-22"/>
    <s v="Fragrance"/>
    <s v="Deodorant"/>
    <x v="3"/>
    <s v="Lucknow"/>
    <s v="Nykaa App"/>
    <s v="Premium Member"/>
    <x v="1"/>
    <n v="3"/>
    <n v="2937"/>
    <n v="8811"/>
    <n v="5"/>
    <n v="441"/>
    <n v="8370"/>
    <n v="4.5999999999999996"/>
    <s v="No"/>
  </r>
  <r>
    <s v="NYK10382"/>
    <s v="2025-12-22"/>
    <s v="Skincare"/>
    <s v="Face Mask"/>
    <x v="6"/>
    <s v="Delhi"/>
    <s v="Nykaa Website"/>
    <s v="Premium Member"/>
    <x v="4"/>
    <n v="5"/>
    <n v="599"/>
    <n v="2995"/>
    <n v="15"/>
    <n v="449"/>
    <n v="2546"/>
    <n v="4.9000000000000004"/>
    <s v="No"/>
  </r>
  <r>
    <s v="NYK10052"/>
    <s v="2025-12-22"/>
    <s v="Skincare"/>
    <s v="Face Mask"/>
    <x v="1"/>
    <s v="Mumbai"/>
    <s v="Nykaa Website"/>
    <s v="Repeat Customer"/>
    <x v="0"/>
    <n v="4"/>
    <n v="1452"/>
    <n v="5808"/>
    <n v="25"/>
    <n v="1452"/>
    <n v="4356"/>
    <n v="4.8"/>
    <s v="No"/>
  </r>
  <r>
    <s v="NYK10270"/>
    <s v="2025-12-22"/>
    <s v="Haircare"/>
    <s v="Conditioner"/>
    <x v="9"/>
    <s v="Bengaluru"/>
    <s v="Nykaa Offline Store"/>
    <s v="Repeat Customer"/>
    <x v="1"/>
    <n v="1"/>
    <n v="168"/>
    <n v="168"/>
    <n v="20"/>
    <n v="34"/>
    <n v="134"/>
    <n v="4.5"/>
    <s v="No"/>
  </r>
  <r>
    <s v="NYK10397"/>
    <s v="2025-12-23"/>
    <s v="Skincare"/>
    <s v="Face Wash"/>
    <x v="9"/>
    <s v="Hyderabad"/>
    <s v="Nykaa App"/>
    <s v="Repeat Customer"/>
    <x v="1"/>
    <n v="5"/>
    <n v="1073"/>
    <n v="5365"/>
    <n v="10"/>
    <n v="536"/>
    <n v="4829"/>
    <n v="4.8"/>
    <s v="No"/>
  </r>
  <r>
    <s v="NYK10408"/>
    <s v="2025-12-23"/>
    <s v="Skincare"/>
    <s v="Serum"/>
    <x v="3"/>
    <s v="Kolkata"/>
    <s v="Nykaa App"/>
    <s v="Repeat Customer"/>
    <x v="1"/>
    <n v="4"/>
    <n v="1135"/>
    <n v="4540"/>
    <n v="0"/>
    <n v="0"/>
    <n v="4540"/>
    <n v="3.8"/>
    <s v="No"/>
  </r>
  <r>
    <s v="NYK10026"/>
    <s v="2025-12-23"/>
    <s v="Haircare"/>
    <s v="Conditioner"/>
    <x v="11"/>
    <s v="Hyderabad"/>
    <s v="Nykaa Website"/>
    <s v="Premium Member"/>
    <x v="4"/>
    <n v="4"/>
    <n v="362"/>
    <n v="1448"/>
    <n v="30"/>
    <n v="434"/>
    <n v="1014"/>
    <n v="3.3"/>
    <s v="No"/>
  </r>
  <r>
    <s v="NYK10332"/>
    <s v="2025-12-23"/>
    <s v="Makeup"/>
    <s v="Kajal"/>
    <x v="4"/>
    <s v="Chennai"/>
    <s v="Nykaa App"/>
    <s v="New Customer"/>
    <x v="2"/>
    <n v="5"/>
    <n v="969"/>
    <n v="4845"/>
    <n v="25"/>
    <n v="1211"/>
    <n v="3634"/>
    <n v="4.0999999999999996"/>
    <s v="No"/>
  </r>
  <r>
    <s v="NYK10538"/>
    <s v="2025-12-24"/>
    <s v="Skincare"/>
    <s v="Face Wash"/>
    <x v="10"/>
    <s v="Ahmedabad"/>
    <s v="Nykaa App"/>
    <s v="Repeat Customer"/>
    <x v="0"/>
    <n v="4"/>
    <n v="1151"/>
    <n v="4604"/>
    <n v="25"/>
    <n v="1151"/>
    <n v="3453"/>
    <n v="4.7"/>
    <s v="No"/>
  </r>
  <r>
    <s v="NYK10057"/>
    <s v="2025-12-24"/>
    <s v="Fragrance"/>
    <s v="Body Mist"/>
    <x v="7"/>
    <s v="Kolkata"/>
    <s v="Nykaa Offline Store"/>
    <s v="Repeat Customer"/>
    <x v="1"/>
    <n v="4"/>
    <n v="1176"/>
    <n v="4704"/>
    <n v="10"/>
    <n v="470"/>
    <n v="4234"/>
    <n v="3.6"/>
    <s v="No"/>
  </r>
  <r>
    <s v="NYK10203"/>
    <s v="2025-12-25"/>
    <s v="Personal Care"/>
    <s v="Trimmer"/>
    <x v="7"/>
    <s v="Mumbai"/>
    <s v="Nykaa App"/>
    <s v="New Customer"/>
    <x v="0"/>
    <n v="3"/>
    <n v="1670"/>
    <n v="5010"/>
    <n v="20"/>
    <n v="1002"/>
    <n v="4008"/>
    <n v="4.9000000000000004"/>
    <s v="No"/>
  </r>
  <r>
    <s v="NYK10631"/>
    <s v="2025-12-25"/>
    <s v="Fragrance"/>
    <s v="Body Mist"/>
    <x v="1"/>
    <s v="Ahmedabad"/>
    <s v="Nykaa Website"/>
    <s v="New Customer"/>
    <x v="1"/>
    <n v="2"/>
    <n v="1672"/>
    <n v="3344"/>
    <n v="15"/>
    <n v="502"/>
    <n v="2842"/>
    <n v="3.6"/>
    <s v="No"/>
  </r>
  <r>
    <s v="NYK10654"/>
    <s v="2025-12-26"/>
    <s v="Skincare"/>
    <s v="Face Wash"/>
    <x v="7"/>
    <s v="Delhi"/>
    <s v="Nykaa Website"/>
    <s v="Repeat Customer"/>
    <x v="4"/>
    <n v="3"/>
    <n v="978"/>
    <n v="2934"/>
    <n v="10"/>
    <n v="293"/>
    <n v="2641"/>
    <n v="4.5999999999999996"/>
    <s v="No"/>
  </r>
  <r>
    <s v="NYK10298"/>
    <s v="2025-12-26"/>
    <s v="Haircare"/>
    <s v="Hair Serum"/>
    <x v="4"/>
    <s v="Ahmedabad"/>
    <s v="Nykaa App"/>
    <s v="Repeat Customer"/>
    <x v="4"/>
    <n v="5"/>
    <n v="487"/>
    <n v="2435"/>
    <n v="0"/>
    <n v="0"/>
    <n v="2435"/>
    <n v="3.2"/>
    <s v="Yes"/>
  </r>
  <r>
    <s v="NYK10580"/>
    <s v="2025-12-27"/>
    <s v="Haircare"/>
    <s v="Hair Oil"/>
    <x v="4"/>
    <s v="Mumbai"/>
    <s v="Nykaa Website"/>
    <s v="New Customer"/>
    <x v="1"/>
    <n v="5"/>
    <n v="221"/>
    <n v="1105"/>
    <n v="25"/>
    <n v="276"/>
    <n v="829"/>
    <n v="3.3"/>
    <s v="No"/>
  </r>
  <r>
    <s v="NYK10229"/>
    <s v="2025-12-27"/>
    <s v="Makeup"/>
    <s v="Lipstick"/>
    <x v="5"/>
    <s v="Jaipur"/>
    <s v="Nykaa App"/>
    <s v="Repeat Customer"/>
    <x v="1"/>
    <n v="3"/>
    <n v="517"/>
    <n v="1551"/>
    <n v="10"/>
    <n v="155"/>
    <n v="1396"/>
    <n v="4.9000000000000004"/>
    <s v="No"/>
  </r>
  <r>
    <s v="NYK10222"/>
    <s v="2025-12-28"/>
    <s v="Bath &amp; Body"/>
    <s v="Body Lotion"/>
    <x v="10"/>
    <s v="Ahmedabad"/>
    <s v="Nykaa Website"/>
    <s v="Repeat Customer"/>
    <x v="1"/>
    <n v="5"/>
    <n v="533"/>
    <n v="2665"/>
    <n v="25"/>
    <n v="666"/>
    <n v="1999"/>
    <n v="3.4"/>
    <s v="No"/>
  </r>
  <r>
    <s v="NYK10139"/>
    <s v="2025-12-28"/>
    <s v="Fragrance"/>
    <s v="Perfume"/>
    <x v="11"/>
    <s v="Lucknow"/>
    <s v="Nykaa Offline Store"/>
    <s v="New Customer"/>
    <x v="0"/>
    <n v="1"/>
    <n v="2177"/>
    <n v="2177"/>
    <n v="15"/>
    <n v="327"/>
    <n v="1850"/>
    <n v="3.9"/>
    <s v="No"/>
  </r>
  <r>
    <s v="NYK10491"/>
    <s v="2025-12-29"/>
    <s v="Bath &amp; Body"/>
    <s v="Body Wash"/>
    <x v="4"/>
    <s v="Hyderabad"/>
    <s v="Nykaa App"/>
    <s v="Repeat Customer"/>
    <x v="4"/>
    <n v="4"/>
    <n v="699"/>
    <n v="2796"/>
    <n v="5"/>
    <n v="140"/>
    <n v="2656"/>
    <n v="4.5"/>
    <s v="No"/>
  </r>
  <r>
    <s v="NYK10622"/>
    <s v="2025-12-29"/>
    <s v="Personal Care"/>
    <s v="Hair Dryer"/>
    <x v="6"/>
    <s v="Chennai"/>
    <s v="Nykaa Website"/>
    <s v="Repeat Customer"/>
    <x v="0"/>
    <n v="1"/>
    <n v="1954"/>
    <n v="1954"/>
    <n v="15"/>
    <n v="293"/>
    <n v="1661"/>
    <n v="3.5"/>
    <s v="No"/>
  </r>
  <r>
    <s v="NYK10198"/>
    <s v="2025-12-29"/>
    <s v="Bath &amp; Body"/>
    <s v="Bath Salt"/>
    <x v="6"/>
    <s v="Chennai"/>
    <s v="Nykaa Website"/>
    <s v="New Customer"/>
    <x v="2"/>
    <n v="4"/>
    <n v="516"/>
    <n v="2064"/>
    <n v="25"/>
    <n v="516"/>
    <n v="1548"/>
    <n v="3.6"/>
    <s v="No"/>
  </r>
  <r>
    <s v="NYK10268"/>
    <s v="2025-12-29"/>
    <s v="Makeup"/>
    <s v="Mascara"/>
    <x v="4"/>
    <s v="Bengaluru"/>
    <s v="Nykaa App"/>
    <s v="Repeat Customer"/>
    <x v="1"/>
    <n v="5"/>
    <n v="230"/>
    <n v="1150"/>
    <n v="25"/>
    <n v="288"/>
    <n v="862"/>
    <n v="3.8"/>
    <s v="No"/>
  </r>
  <r>
    <s v="NYK10414"/>
    <s v="2025-12-30"/>
    <s v="Personal Care"/>
    <s v="Trimmer"/>
    <x v="2"/>
    <s v="Bengaluru"/>
    <s v="Nykaa Website"/>
    <s v="Repeat Customer"/>
    <x v="3"/>
    <n v="4"/>
    <n v="888"/>
    <n v="3552"/>
    <n v="20"/>
    <n v="710"/>
    <n v="2842"/>
    <n v="4.5999999999999996"/>
    <s v="No"/>
  </r>
  <r>
    <s v="NYK10548"/>
    <s v="2025-12-30"/>
    <s v="Bath &amp; Body"/>
    <s v="Body Lotion"/>
    <x v="0"/>
    <s v="Delhi"/>
    <s v="Nykaa App"/>
    <s v="Repeat Customer"/>
    <x v="3"/>
    <n v="5"/>
    <n v="491"/>
    <n v="2455"/>
    <n v="30"/>
    <n v="736"/>
    <n v="1719"/>
    <n v="4.9000000000000004"/>
    <s v="No"/>
  </r>
  <r>
    <s v="NYK10356"/>
    <s v="2026-01-01"/>
    <s v="Makeup"/>
    <s v="Compact"/>
    <x v="6"/>
    <s v="Bengaluru"/>
    <s v="Nykaa Website"/>
    <s v="New Customer"/>
    <x v="2"/>
    <n v="4"/>
    <n v="689"/>
    <n v="2756"/>
    <n v="30"/>
    <n v="827"/>
    <n v="1929"/>
    <n v="3.7"/>
    <s v="No"/>
  </r>
  <r>
    <s v="NYK10059"/>
    <s v="2026-01-01"/>
    <s v="Makeup"/>
    <s v="Kajal"/>
    <x v="3"/>
    <s v="Bengaluru"/>
    <s v="Nykaa App"/>
    <s v="Repeat Customer"/>
    <x v="3"/>
    <n v="3"/>
    <n v="249"/>
    <n v="747"/>
    <n v="0"/>
    <n v="0"/>
    <n v="747"/>
    <n v="4.2"/>
    <s v="No"/>
  </r>
  <r>
    <s v="NYK10214"/>
    <s v="2026-01-01"/>
    <s v="Fragrance"/>
    <s v="Body Mist"/>
    <x v="2"/>
    <s v="Jaipur"/>
    <s v="Nykaa Website"/>
    <s v="Premium Member"/>
    <x v="0"/>
    <n v="2"/>
    <n v="2143"/>
    <n v="4286"/>
    <n v="10"/>
    <n v="429"/>
    <n v="3857"/>
    <n v="3.5"/>
    <s v="No"/>
  </r>
  <r>
    <s v="NYK10243"/>
    <s v="2026-01-01"/>
    <s v="Skincare"/>
    <s v="Face Mask"/>
    <x v="2"/>
    <s v="Pune"/>
    <s v="Nykaa App"/>
    <s v="Premium Member"/>
    <x v="4"/>
    <n v="4"/>
    <n v="737"/>
    <n v="2948"/>
    <n v="25"/>
    <n v="737"/>
    <n v="2211"/>
    <n v="3.5"/>
    <s v="No"/>
  </r>
  <r>
    <s v="NYK10343"/>
    <s v="2026-01-01"/>
    <s v="Makeup"/>
    <s v="Kajal"/>
    <x v="10"/>
    <s v="Chennai"/>
    <s v="Nykaa App"/>
    <s v="Repeat Customer"/>
    <x v="4"/>
    <n v="4"/>
    <n v="1295"/>
    <n v="5180"/>
    <n v="30"/>
    <n v="1554"/>
    <n v="3626"/>
    <n v="4.5999999999999996"/>
    <s v="No"/>
  </r>
  <r>
    <s v="NYK10145"/>
    <s v="2026-01-01"/>
    <s v="Makeup"/>
    <s v="Compact"/>
    <x v="2"/>
    <s v="Jaipur"/>
    <s v="Nykaa Website"/>
    <s v="Repeat Customer"/>
    <x v="4"/>
    <n v="2"/>
    <n v="872"/>
    <n v="1744"/>
    <n v="0"/>
    <n v="0"/>
    <n v="1744"/>
    <n v="3.3"/>
    <s v="No"/>
  </r>
  <r>
    <s v="NYK10294"/>
    <s v="2026-01-01"/>
    <s v="Skincare"/>
    <s v="Serum"/>
    <x v="2"/>
    <s v="Hyderabad"/>
    <s v="Nykaa App"/>
    <s v="Repeat Customer"/>
    <x v="4"/>
    <n v="4"/>
    <n v="1061"/>
    <n v="4244"/>
    <n v="0"/>
    <n v="0"/>
    <n v="4244"/>
    <n v="4.4000000000000004"/>
    <s v="No"/>
  </r>
  <r>
    <s v="NYK10093"/>
    <s v="2026-01-02"/>
    <s v="Fragrance"/>
    <s v="Deodorant"/>
    <x v="3"/>
    <s v="Delhi"/>
    <s v="Nykaa Offline Store"/>
    <s v="New Customer"/>
    <x v="1"/>
    <n v="1"/>
    <n v="1494"/>
    <n v="1494"/>
    <n v="5"/>
    <n v="75"/>
    <n v="1419"/>
    <n v="4.9000000000000004"/>
    <s v="Yes"/>
  </r>
  <r>
    <s v="NYK10523"/>
    <s v="2026-01-02"/>
    <s v="Bath &amp; Body"/>
    <s v="Body Lotion"/>
    <x v="5"/>
    <s v="Jaipur"/>
    <s v="Nykaa App"/>
    <s v="Repeat Customer"/>
    <x v="3"/>
    <n v="3"/>
    <n v="183"/>
    <n v="549"/>
    <n v="0"/>
    <n v="0"/>
    <n v="549"/>
    <n v="4.5999999999999996"/>
    <s v="No"/>
  </r>
  <r>
    <s v="NYK10221"/>
    <s v="2026-01-04"/>
    <s v="Skincare"/>
    <s v="Face Mask"/>
    <x v="9"/>
    <s v="Pune"/>
    <s v="Nykaa App"/>
    <s v="New Customer"/>
    <x v="2"/>
    <n v="5"/>
    <n v="1458"/>
    <n v="7290"/>
    <n v="10"/>
    <n v="729"/>
    <n v="6561"/>
    <n v="4.3"/>
    <s v="No"/>
  </r>
  <r>
    <s v="NYK10685"/>
    <s v="2026-01-05"/>
    <s v="Haircare"/>
    <s v="Hair Oil"/>
    <x v="6"/>
    <s v="Mumbai"/>
    <s v="Nykaa App"/>
    <s v="Repeat Customer"/>
    <x v="3"/>
    <n v="1"/>
    <n v="351"/>
    <n v="351"/>
    <n v="30"/>
    <n v="105"/>
    <n v="246"/>
    <n v="4.7"/>
    <s v="No"/>
  </r>
  <r>
    <s v="NYK10714"/>
    <s v="2026-01-05"/>
    <s v="Fragrance"/>
    <s v="Body Mist"/>
    <x v="8"/>
    <s v="Delhi"/>
    <s v="Nykaa Website"/>
    <s v="Repeat Customer"/>
    <x v="1"/>
    <n v="4"/>
    <n v="1626"/>
    <n v="6504"/>
    <n v="10"/>
    <n v="650"/>
    <n v="5854"/>
    <n v="3.6"/>
    <s v="No"/>
  </r>
  <r>
    <s v="NYK10487"/>
    <s v="2026-01-06"/>
    <s v="Makeup"/>
    <s v="Kajal"/>
    <x v="2"/>
    <s v="Jaipur"/>
    <s v="Nykaa Offline Store"/>
    <s v="New Customer"/>
    <x v="4"/>
    <n v="3"/>
    <n v="320"/>
    <n v="960"/>
    <n v="10"/>
    <n v="96"/>
    <n v="864"/>
    <n v="4.8"/>
    <s v="No"/>
  </r>
  <r>
    <s v="NYK10671"/>
    <s v="2026-01-06"/>
    <s v="Skincare"/>
    <s v="Face Wash"/>
    <x v="0"/>
    <s v="Hyderabad"/>
    <s v="Nykaa App"/>
    <s v="New Customer"/>
    <x v="0"/>
    <n v="3"/>
    <n v="1116"/>
    <n v="3348"/>
    <n v="25"/>
    <n v="837"/>
    <n v="2511"/>
    <n v="3.8"/>
    <s v="No"/>
  </r>
  <r>
    <s v="NYK10102"/>
    <s v="2026-01-07"/>
    <s v="Skincare"/>
    <s v="Serum"/>
    <x v="8"/>
    <s v="Bengaluru"/>
    <s v="Nykaa Website"/>
    <s v="Repeat Customer"/>
    <x v="4"/>
    <n v="5"/>
    <n v="695"/>
    <n v="3475"/>
    <n v="0"/>
    <n v="0"/>
    <n v="3475"/>
    <n v="3.9"/>
    <s v="No"/>
  </r>
  <r>
    <s v="NYK10248"/>
    <s v="2026-01-07"/>
    <s v="Personal Care"/>
    <s v="Face Roller"/>
    <x v="9"/>
    <s v="Bengaluru"/>
    <s v="Nykaa Website"/>
    <s v="Premium Member"/>
    <x v="0"/>
    <n v="1"/>
    <n v="1103"/>
    <n v="1103"/>
    <n v="15"/>
    <n v="165"/>
    <n v="938"/>
    <n v="3.7"/>
    <s v="No"/>
  </r>
  <r>
    <s v="NYK10734"/>
    <s v="2026-01-08"/>
    <s v="Fragrance"/>
    <s v="Deodorant"/>
    <x v="4"/>
    <s v="Kolkata"/>
    <s v="Nykaa App"/>
    <s v="Repeat Customer"/>
    <x v="4"/>
    <n v="1"/>
    <n v="1521"/>
    <n v="1521"/>
    <n v="0"/>
    <n v="0"/>
    <n v="1521"/>
    <n v="5"/>
    <s v="No"/>
  </r>
  <r>
    <s v="NYK10081"/>
    <s v="2026-01-08"/>
    <s v="Skincare"/>
    <s v="Sunscreen"/>
    <x v="10"/>
    <s v="Kolkata"/>
    <s v="Nykaa App"/>
    <s v="Repeat Customer"/>
    <x v="4"/>
    <n v="2"/>
    <n v="503"/>
    <n v="1006"/>
    <n v="0"/>
    <n v="0"/>
    <n v="1006"/>
    <n v="4.3"/>
    <s v="No"/>
  </r>
  <r>
    <s v="NYK10223"/>
    <s v="2026-01-08"/>
    <s v="Haircare"/>
    <s v="Shampoo"/>
    <x v="9"/>
    <s v="Bengaluru"/>
    <s v="Nykaa App"/>
    <s v="Repeat Customer"/>
    <x v="3"/>
    <n v="5"/>
    <n v="475"/>
    <n v="2375"/>
    <n v="5"/>
    <n v="119"/>
    <n v="2256"/>
    <n v="4.0999999999999996"/>
    <s v="No"/>
  </r>
  <r>
    <s v="NYK10311"/>
    <s v="2026-01-09"/>
    <s v="Personal Care"/>
    <s v="Hair Dryer"/>
    <x v="2"/>
    <s v="Chennai"/>
    <s v="Nykaa Website"/>
    <s v="Repeat Customer"/>
    <x v="4"/>
    <n v="1"/>
    <n v="1789"/>
    <n v="1789"/>
    <n v="25"/>
    <n v="447"/>
    <n v="1342"/>
    <n v="4.7"/>
    <s v="No"/>
  </r>
  <r>
    <s v="NYK10470"/>
    <s v="2026-01-09"/>
    <s v="Haircare"/>
    <s v="Shampoo"/>
    <x v="10"/>
    <s v="Jaipur"/>
    <s v="Nykaa Website"/>
    <s v="Repeat Customer"/>
    <x v="2"/>
    <n v="2"/>
    <n v="655"/>
    <n v="1310"/>
    <n v="30"/>
    <n v="393"/>
    <n v="917"/>
    <n v="4.5999999999999996"/>
    <s v="No"/>
  </r>
  <r>
    <s v="NYK10340"/>
    <s v="2026-01-10"/>
    <s v="Personal Care"/>
    <s v="Hair Dryer"/>
    <x v="8"/>
    <s v="Mumbai"/>
    <s v="Nykaa App"/>
    <s v="Repeat Customer"/>
    <x v="3"/>
    <n v="2"/>
    <n v="1625"/>
    <n v="3250"/>
    <n v="10"/>
    <n v="325"/>
    <n v="2925"/>
    <n v="3.2"/>
    <s v="No"/>
  </r>
  <r>
    <s v="NYK10731"/>
    <s v="2026-01-10"/>
    <s v="Skincare"/>
    <s v="Sunscreen"/>
    <x v="4"/>
    <s v="Bengaluru"/>
    <s v="Nykaa App"/>
    <s v="Repeat Customer"/>
    <x v="4"/>
    <n v="4"/>
    <n v="1211"/>
    <n v="4844"/>
    <n v="30"/>
    <n v="1453"/>
    <n v="3391"/>
    <n v="4.9000000000000004"/>
    <s v="No"/>
  </r>
  <r>
    <s v="NYK10582"/>
    <s v="2026-01-10"/>
    <s v="Bath &amp; Body"/>
    <s v="Body Lotion"/>
    <x v="10"/>
    <s v="Lucknow"/>
    <s v="Nykaa App"/>
    <s v="Repeat Customer"/>
    <x v="2"/>
    <n v="1"/>
    <n v="598"/>
    <n v="598"/>
    <n v="5"/>
    <n v="30"/>
    <n v="568"/>
    <n v="3.8"/>
    <s v="No"/>
  </r>
  <r>
    <s v="NYK10162"/>
    <s v="2026-01-11"/>
    <s v="Personal Care"/>
    <s v="Hair Dryer"/>
    <x v="5"/>
    <s v="Bengaluru"/>
    <s v="Nykaa Website"/>
    <s v="New Customer"/>
    <x v="4"/>
    <n v="1"/>
    <n v="800"/>
    <n v="800"/>
    <n v="15"/>
    <n v="120"/>
    <n v="680"/>
    <n v="3.8"/>
    <s v="No"/>
  </r>
  <r>
    <s v="NYK10312"/>
    <s v="2026-01-11"/>
    <s v="Skincare"/>
    <s v="Serum"/>
    <x v="0"/>
    <s v="Delhi"/>
    <s v="Nykaa App"/>
    <s v="Repeat Customer"/>
    <x v="3"/>
    <n v="2"/>
    <n v="1133"/>
    <n v="2266"/>
    <n v="25"/>
    <n v="566"/>
    <n v="1700"/>
    <n v="3.2"/>
    <s v="No"/>
  </r>
  <r>
    <s v="NYK10320"/>
    <s v="2026-01-11"/>
    <s v="Fragrance"/>
    <s v="Perfume"/>
    <x v="5"/>
    <s v="Pune"/>
    <s v="Nykaa Website"/>
    <s v="Premium Member"/>
    <x v="3"/>
    <n v="4"/>
    <n v="2800"/>
    <n v="11200"/>
    <n v="0"/>
    <n v="0"/>
    <n v="11200"/>
    <n v="4.8"/>
    <s v="No"/>
  </r>
  <r>
    <s v="NYK10166"/>
    <s v="2026-01-11"/>
    <s v="Bath &amp; Body"/>
    <s v="Bath Salt"/>
    <x v="7"/>
    <s v="Kolkata"/>
    <s v="Nykaa Website"/>
    <s v="Premium Member"/>
    <x v="3"/>
    <n v="3"/>
    <n v="176"/>
    <n v="528"/>
    <n v="25"/>
    <n v="132"/>
    <n v="396"/>
    <n v="3.3"/>
    <s v="Yes"/>
  </r>
  <r>
    <s v="NYK10084"/>
    <s v="2026-01-12"/>
    <s v="Fragrance"/>
    <s v="Perfume"/>
    <x v="3"/>
    <s v="Lucknow"/>
    <s v="Nykaa App"/>
    <s v="New Customer"/>
    <x v="1"/>
    <n v="1"/>
    <n v="2944"/>
    <n v="2944"/>
    <n v="25"/>
    <n v="736"/>
    <n v="2208"/>
    <n v="3.9"/>
    <s v="No"/>
  </r>
  <r>
    <s v="NYK10443"/>
    <s v="2026-01-12"/>
    <s v="Personal Care"/>
    <s v="Trimmer"/>
    <x v="8"/>
    <s v="Jaipur"/>
    <s v="Nykaa Offline Store"/>
    <s v="Repeat Customer"/>
    <x v="3"/>
    <n v="4"/>
    <n v="904"/>
    <n v="3616"/>
    <n v="5"/>
    <n v="181"/>
    <n v="3435"/>
    <n v="4"/>
    <s v="No"/>
  </r>
  <r>
    <s v="NYK10728"/>
    <s v="2026-01-12"/>
    <s v="Makeup"/>
    <s v="Foundation"/>
    <x v="5"/>
    <s v="Jaipur"/>
    <s v="Nykaa App"/>
    <s v="Repeat Customer"/>
    <x v="0"/>
    <n v="1"/>
    <n v="1156"/>
    <n v="1156"/>
    <n v="0"/>
    <n v="0"/>
    <n v="1156"/>
    <n v="4.9000000000000004"/>
    <s v="No"/>
  </r>
  <r>
    <s v="NYK10681"/>
    <s v="2026-01-12"/>
    <s v="Bath &amp; Body"/>
    <s v="Body Lotion"/>
    <x v="6"/>
    <s v="Kolkata"/>
    <s v="Nykaa App"/>
    <s v="Repeat Customer"/>
    <x v="3"/>
    <n v="5"/>
    <n v="661"/>
    <n v="3305"/>
    <n v="20"/>
    <n v="661"/>
    <n v="2644"/>
    <n v="3.2"/>
    <s v="No"/>
  </r>
  <r>
    <s v="NYK10706"/>
    <s v="2026-01-12"/>
    <s v="Bath &amp; Body"/>
    <s v="Bath Salt"/>
    <x v="4"/>
    <s v="Hyderabad"/>
    <s v="Nykaa Offline Store"/>
    <s v="New Customer"/>
    <x v="2"/>
    <n v="2"/>
    <n v="458"/>
    <n v="916"/>
    <n v="10"/>
    <n v="92"/>
    <n v="824"/>
    <n v="4.2"/>
    <s v="No"/>
  </r>
  <r>
    <s v="NYK10157"/>
    <s v="2026-01-14"/>
    <s v="Bath &amp; Body"/>
    <s v="Body Wash"/>
    <x v="8"/>
    <s v="Jaipur"/>
    <s v="Nykaa App"/>
    <s v="Repeat Customer"/>
    <x v="4"/>
    <n v="5"/>
    <n v="226"/>
    <n v="1130"/>
    <n v="0"/>
    <n v="0"/>
    <n v="1130"/>
    <n v="3.9"/>
    <s v="No"/>
  </r>
  <r>
    <s v="NYK10287"/>
    <s v="2026-01-15"/>
    <s v="Haircare"/>
    <s v="Shampoo"/>
    <x v="8"/>
    <s v="Jaipur"/>
    <s v="Nykaa App"/>
    <s v="New Customer"/>
    <x v="1"/>
    <n v="5"/>
    <n v="538"/>
    <n v="2690"/>
    <n v="30"/>
    <n v="807"/>
    <n v="1883"/>
    <n v="3.2"/>
    <s v="No"/>
  </r>
  <r>
    <s v="NYK10133"/>
    <s v="2026-01-15"/>
    <s v="Fragrance"/>
    <s v="Perfume"/>
    <x v="1"/>
    <s v="Pune"/>
    <s v="Nykaa App"/>
    <s v="New Customer"/>
    <x v="0"/>
    <n v="3"/>
    <n v="1102"/>
    <n v="3306"/>
    <n v="25"/>
    <n v="826"/>
    <n v="2480"/>
    <n v="4.3"/>
    <s v="No"/>
  </r>
  <r>
    <s v="NYK10405"/>
    <s v="2026-01-16"/>
    <s v="Personal Care"/>
    <s v="Hair Dryer"/>
    <x v="1"/>
    <s v="Kolkata"/>
    <s v="Nykaa App"/>
    <s v="New Customer"/>
    <x v="3"/>
    <n v="5"/>
    <n v="2005"/>
    <n v="10025"/>
    <n v="20"/>
    <n v="2005"/>
    <n v="8020"/>
    <n v="4.7"/>
    <s v="No"/>
  </r>
  <r>
    <s v="NYK10409"/>
    <s v="2026-01-17"/>
    <s v="Makeup"/>
    <s v="Lipstick"/>
    <x v="6"/>
    <s v="Delhi"/>
    <s v="Nykaa App"/>
    <s v="New Customer"/>
    <x v="1"/>
    <n v="4"/>
    <n v="1110"/>
    <n v="4440"/>
    <n v="0"/>
    <n v="0"/>
    <n v="4440"/>
    <n v="5"/>
    <s v="No"/>
  </r>
  <r>
    <s v="NYK10290"/>
    <s v="2026-01-19"/>
    <s v="Personal Care"/>
    <s v="Face Roller"/>
    <x v="2"/>
    <s v="Pune"/>
    <s v="Nykaa Website"/>
    <s v="New Customer"/>
    <x v="2"/>
    <n v="3"/>
    <n v="2283"/>
    <n v="6849"/>
    <n v="0"/>
    <n v="0"/>
    <n v="6849"/>
    <n v="3.8"/>
    <s v="No"/>
  </r>
  <r>
    <s v="NYK10260"/>
    <s v="2026-01-19"/>
    <s v="Personal Care"/>
    <s v="Trimmer"/>
    <x v="10"/>
    <s v="Jaipur"/>
    <s v="Nykaa App"/>
    <s v="New Customer"/>
    <x v="3"/>
    <n v="1"/>
    <n v="2398"/>
    <n v="2398"/>
    <n v="30"/>
    <n v="719"/>
    <n v="1679"/>
    <n v="4"/>
    <s v="No"/>
  </r>
  <r>
    <s v="NYK10350"/>
    <s v="2026-01-19"/>
    <s v="Haircare"/>
    <s v="Hair Serum"/>
    <x v="4"/>
    <s v="Mumbai"/>
    <s v="Nykaa App"/>
    <s v="Repeat Customer"/>
    <x v="3"/>
    <n v="4"/>
    <n v="826"/>
    <n v="3304"/>
    <n v="30"/>
    <n v="991"/>
    <n v="2313"/>
    <n v="4.2"/>
    <s v="Yes"/>
  </r>
  <r>
    <s v="NYK10467"/>
    <s v="2026-01-19"/>
    <s v="Personal Care"/>
    <s v="Face Roller"/>
    <x v="10"/>
    <s v="Lucknow"/>
    <s v="Nykaa Website"/>
    <s v="New Customer"/>
    <x v="3"/>
    <n v="2"/>
    <n v="1093"/>
    <n v="2186"/>
    <n v="10"/>
    <n v="219"/>
    <n v="1967"/>
    <n v="4.9000000000000004"/>
    <s v="No"/>
  </r>
  <r>
    <s v="NYK10380"/>
    <s v="2026-01-21"/>
    <s v="Makeup"/>
    <s v="Lipstick"/>
    <x v="6"/>
    <s v="Pune"/>
    <s v="Nykaa Website"/>
    <s v="Repeat Customer"/>
    <x v="3"/>
    <n v="5"/>
    <n v="216"/>
    <n v="1080"/>
    <n v="25"/>
    <n v="270"/>
    <n v="810"/>
    <n v="3.3"/>
    <s v="No"/>
  </r>
  <r>
    <s v="NYK10659"/>
    <s v="2026-01-22"/>
    <s v="Bath &amp; Body"/>
    <s v="Bath Salt"/>
    <x v="10"/>
    <s v="Lucknow"/>
    <s v="Nykaa App"/>
    <s v="Premium Member"/>
    <x v="0"/>
    <n v="3"/>
    <n v="433"/>
    <n v="1299"/>
    <n v="15"/>
    <n v="195"/>
    <n v="1104"/>
    <n v="3.2"/>
    <s v="No"/>
  </r>
  <r>
    <s v="NYK10424"/>
    <s v="2026-01-22"/>
    <s v="Makeup"/>
    <s v="Foundation"/>
    <x v="7"/>
    <s v="Jaipur"/>
    <s v="Nykaa App"/>
    <s v="New Customer"/>
    <x v="4"/>
    <n v="4"/>
    <n v="1226"/>
    <n v="4904"/>
    <n v="10"/>
    <n v="490"/>
    <n v="4414"/>
    <n v="4.2"/>
    <s v="Yes"/>
  </r>
  <r>
    <s v="NYK10310"/>
    <s v="2026-01-23"/>
    <s v="Haircare"/>
    <s v="Conditioner"/>
    <x v="9"/>
    <s v="Mumbai"/>
    <s v="Nykaa App"/>
    <s v="Repeat Customer"/>
    <x v="3"/>
    <n v="2"/>
    <n v="773"/>
    <n v="1546"/>
    <n v="20"/>
    <n v="309"/>
    <n v="1237"/>
    <n v="4.0999999999999996"/>
    <s v="No"/>
  </r>
  <r>
    <s v="NYK10643"/>
    <s v="2026-01-23"/>
    <s v="Haircare"/>
    <s v="Conditioner"/>
    <x v="11"/>
    <s v="Ahmedabad"/>
    <s v="Nykaa Website"/>
    <s v="Premium Member"/>
    <x v="4"/>
    <n v="5"/>
    <n v="703"/>
    <n v="3515"/>
    <n v="25"/>
    <n v="879"/>
    <n v="2636"/>
    <n v="3.8"/>
    <s v="No"/>
  </r>
  <r>
    <s v="NYK10484"/>
    <s v="2026-01-24"/>
    <s v="Fragrance"/>
    <s v="Perfume"/>
    <x v="6"/>
    <s v="Delhi"/>
    <s v="Nykaa Website"/>
    <s v="Repeat Customer"/>
    <x v="4"/>
    <n v="4"/>
    <n v="1318"/>
    <n v="5272"/>
    <n v="25"/>
    <n v="1318"/>
    <n v="3954"/>
    <n v="4.4000000000000004"/>
    <s v="No"/>
  </r>
  <r>
    <s v="NYK10625"/>
    <s v="2026-01-24"/>
    <s v="Fragrance"/>
    <s v="Deodorant"/>
    <x v="11"/>
    <s v="Lucknow"/>
    <s v="Nykaa Website"/>
    <s v="New Customer"/>
    <x v="4"/>
    <n v="3"/>
    <n v="2226"/>
    <n v="6678"/>
    <n v="25"/>
    <n v="1670"/>
    <n v="5008"/>
    <n v="4.4000000000000004"/>
    <s v="No"/>
  </r>
  <r>
    <s v="NYK10199"/>
    <s v="2026-01-24"/>
    <s v="Skincare"/>
    <s v="Face Wash"/>
    <x v="8"/>
    <s v="Kolkata"/>
    <s v="Nykaa App"/>
    <s v="Repeat Customer"/>
    <x v="0"/>
    <n v="2"/>
    <n v="398"/>
    <n v="796"/>
    <n v="30"/>
    <n v="239"/>
    <n v="557"/>
    <n v="4"/>
    <s v="No"/>
  </r>
  <r>
    <s v="NYK10742"/>
    <s v="2026-01-26"/>
    <s v="Makeup"/>
    <s v="Foundation"/>
    <x v="6"/>
    <s v="Ahmedabad"/>
    <s v="Nykaa Website"/>
    <s v="Repeat Customer"/>
    <x v="3"/>
    <n v="1"/>
    <n v="521"/>
    <n v="521"/>
    <n v="15"/>
    <n v="78"/>
    <n v="443"/>
    <n v="3.4"/>
    <s v="No"/>
  </r>
  <r>
    <s v="NYK10739"/>
    <s v="2026-01-27"/>
    <s v="Fragrance"/>
    <s v="Body Mist"/>
    <x v="6"/>
    <s v="Delhi"/>
    <s v="Nykaa App"/>
    <s v="Repeat Customer"/>
    <x v="1"/>
    <n v="2"/>
    <n v="1172"/>
    <n v="2344"/>
    <n v="5"/>
    <n v="117"/>
    <n v="2227"/>
    <n v="4.9000000000000004"/>
    <s v="No"/>
  </r>
  <r>
    <s v="NYK10230"/>
    <s v="2026-01-27"/>
    <s v="Personal Care"/>
    <s v="Trimmer"/>
    <x v="9"/>
    <s v="Mumbai"/>
    <s v="Nykaa Offline Store"/>
    <s v="Premium Member"/>
    <x v="3"/>
    <n v="2"/>
    <n v="923"/>
    <n v="1846"/>
    <n v="25"/>
    <n v="462"/>
    <n v="1384"/>
    <n v="3.8"/>
    <s v="No"/>
  </r>
  <r>
    <s v="NYK10186"/>
    <s v="2026-01-28"/>
    <s v="Makeup"/>
    <s v="Mascara"/>
    <x v="3"/>
    <s v="Chennai"/>
    <s v="Nykaa App"/>
    <s v="Repeat Customer"/>
    <x v="4"/>
    <n v="2"/>
    <n v="888"/>
    <n v="1776"/>
    <n v="15"/>
    <n v="266"/>
    <n v="1510"/>
    <n v="4.2"/>
    <s v="No"/>
  </r>
  <r>
    <s v="NYK10276"/>
    <s v="2026-01-28"/>
    <s v="Personal Care"/>
    <s v="Face Roller"/>
    <x v="9"/>
    <s v="Ahmedabad"/>
    <s v="Nykaa Website"/>
    <s v="New Customer"/>
    <x v="2"/>
    <n v="1"/>
    <n v="2139"/>
    <n v="2139"/>
    <n v="30"/>
    <n v="642"/>
    <n v="1497"/>
    <n v="4.8"/>
    <s v="No"/>
  </r>
  <r>
    <s v="NYK10471"/>
    <s v="2026-01-28"/>
    <s v="Haircare"/>
    <s v="Shampoo"/>
    <x v="6"/>
    <s v="Delhi"/>
    <s v="Nykaa App"/>
    <s v="New Customer"/>
    <x v="2"/>
    <n v="3"/>
    <n v="333"/>
    <n v="999"/>
    <n v="10"/>
    <n v="100"/>
    <n v="899"/>
    <n v="3.5"/>
    <s v="No"/>
  </r>
  <r>
    <s v="NYK10446"/>
    <s v="2026-01-28"/>
    <s v="Makeup"/>
    <s v="Lipstick"/>
    <x v="10"/>
    <s v="Kolkata"/>
    <s v="Nykaa App"/>
    <s v="Repeat Customer"/>
    <x v="1"/>
    <n v="2"/>
    <n v="1056"/>
    <n v="2112"/>
    <n v="0"/>
    <n v="0"/>
    <n v="2112"/>
    <n v="3.4"/>
    <s v="No"/>
  </r>
  <r>
    <s v="NYK10551"/>
    <s v="2026-01-29"/>
    <s v="Personal Care"/>
    <s v="Face Roller"/>
    <x v="11"/>
    <s v="Ahmedabad"/>
    <s v="Nykaa App"/>
    <s v="Repeat Customer"/>
    <x v="2"/>
    <n v="4"/>
    <n v="692"/>
    <n v="2768"/>
    <n v="20"/>
    <n v="554"/>
    <n v="2214"/>
    <n v="4.3"/>
    <s v="No"/>
  </r>
  <r>
    <s v="NYK10087"/>
    <s v="2026-01-29"/>
    <s v="Skincare"/>
    <s v="Sunscreen"/>
    <x v="10"/>
    <s v="Bengaluru"/>
    <s v="Nykaa App"/>
    <s v="Repeat Customer"/>
    <x v="1"/>
    <n v="5"/>
    <n v="901"/>
    <n v="4505"/>
    <n v="10"/>
    <n v="450"/>
    <n v="4055"/>
    <n v="4.7"/>
    <s v="No"/>
  </r>
  <r>
    <s v="NYK10623"/>
    <s v="2026-01-30"/>
    <s v="Fragrance"/>
    <s v="Perfume"/>
    <x v="8"/>
    <s v="Chennai"/>
    <s v="Nykaa App"/>
    <s v="Repeat Customer"/>
    <x v="2"/>
    <n v="5"/>
    <n v="2519"/>
    <n v="12595"/>
    <n v="10"/>
    <n v="1260"/>
    <n v="11335"/>
    <n v="4.9000000000000004"/>
    <s v="No"/>
  </r>
  <r>
    <s v="NYK10709"/>
    <s v="2026-01-31"/>
    <s v="Skincare"/>
    <s v="Moisturizer"/>
    <x v="7"/>
    <s v="Ahmedabad"/>
    <s v="Nykaa Website"/>
    <s v="New Customer"/>
    <x v="3"/>
    <n v="2"/>
    <n v="1344"/>
    <n v="2688"/>
    <n v="10"/>
    <n v="269"/>
    <n v="2419"/>
    <n v="4"/>
    <s v="No"/>
  </r>
  <r>
    <s v="NYK10301"/>
    <s v="2026-01-31"/>
    <s v="Fragrance"/>
    <s v="Deodorant"/>
    <x v="6"/>
    <s v="Kolkata"/>
    <s v="Nykaa App"/>
    <s v="New Customer"/>
    <x v="4"/>
    <n v="2"/>
    <n v="1357"/>
    <n v="2714"/>
    <n v="25"/>
    <n v="678"/>
    <n v="2036"/>
    <n v="3.6"/>
    <s v="No"/>
  </r>
  <r>
    <s v="NYK10374"/>
    <s v="2026-02-02"/>
    <s v="Haircare"/>
    <s v="Hair Oil"/>
    <x v="7"/>
    <s v="Lucknow"/>
    <s v="Nykaa App"/>
    <s v="New Customer"/>
    <x v="2"/>
    <n v="2"/>
    <n v="500"/>
    <n v="1000"/>
    <n v="30"/>
    <n v="300"/>
    <n v="700"/>
    <n v="4.2"/>
    <s v="No"/>
  </r>
  <r>
    <s v="NYK10213"/>
    <s v="2026-02-02"/>
    <s v="Personal Care"/>
    <s v="Trimmer"/>
    <x v="11"/>
    <s v="Kolkata"/>
    <s v="Nykaa App"/>
    <s v="Premium Member"/>
    <x v="2"/>
    <n v="5"/>
    <n v="1241"/>
    <n v="6205"/>
    <n v="20"/>
    <n v="1241"/>
    <n v="4964"/>
    <n v="4.9000000000000004"/>
    <s v="No"/>
  </r>
  <r>
    <s v="NYK10563"/>
    <s v="2026-02-03"/>
    <s v="Makeup"/>
    <s v="Foundation"/>
    <x v="8"/>
    <s v="Delhi"/>
    <s v="Nykaa App"/>
    <s v="Repeat Customer"/>
    <x v="2"/>
    <n v="1"/>
    <n v="415"/>
    <n v="415"/>
    <n v="0"/>
    <n v="0"/>
    <n v="415"/>
    <n v="4.5999999999999996"/>
    <s v="No"/>
  </r>
  <r>
    <s v="NYK10730"/>
    <s v="2026-02-03"/>
    <s v="Personal Care"/>
    <s v="Trimmer"/>
    <x v="3"/>
    <s v="Bengaluru"/>
    <s v="Nykaa Website"/>
    <s v="New Customer"/>
    <x v="4"/>
    <n v="4"/>
    <n v="2431"/>
    <n v="9724"/>
    <n v="5"/>
    <n v="486"/>
    <n v="9238"/>
    <n v="3.7"/>
    <s v="No"/>
  </r>
  <r>
    <s v="NYK10572"/>
    <s v="2026-02-03"/>
    <s v="Fragrance"/>
    <s v="Perfume"/>
    <x v="3"/>
    <s v="Ahmedabad"/>
    <s v="Nykaa App"/>
    <s v="Repeat Customer"/>
    <x v="4"/>
    <n v="5"/>
    <n v="1181"/>
    <n v="5905"/>
    <n v="30"/>
    <n v="1772"/>
    <n v="4133"/>
    <n v="4.5999999999999996"/>
    <s v="Yes"/>
  </r>
  <r>
    <s v="NYK10550"/>
    <s v="2026-02-04"/>
    <s v="Haircare"/>
    <s v="Hair Serum"/>
    <x v="9"/>
    <s v="Pune"/>
    <s v="Nykaa App"/>
    <s v="New Customer"/>
    <x v="1"/>
    <n v="3"/>
    <n v="411"/>
    <n v="1233"/>
    <n v="15"/>
    <n v="185"/>
    <n v="1048"/>
    <n v="4.8"/>
    <s v="No"/>
  </r>
  <r>
    <s v="NYK10721"/>
    <s v="2026-02-05"/>
    <s v="Makeup"/>
    <s v="Mascara"/>
    <x v="4"/>
    <s v="Delhi"/>
    <s v="Nykaa App"/>
    <s v="New Customer"/>
    <x v="1"/>
    <n v="2"/>
    <n v="215"/>
    <n v="430"/>
    <n v="25"/>
    <n v="108"/>
    <n v="322"/>
    <n v="3.8"/>
    <s v="No"/>
  </r>
  <r>
    <s v="NYK10111"/>
    <s v="2026-02-05"/>
    <s v="Skincare"/>
    <s v="Sunscreen"/>
    <x v="5"/>
    <s v="Lucknow"/>
    <s v="Nykaa App"/>
    <s v="Repeat Customer"/>
    <x v="1"/>
    <n v="1"/>
    <n v="785"/>
    <n v="785"/>
    <n v="10"/>
    <n v="78"/>
    <n v="707"/>
    <n v="3.5"/>
    <s v="Yes"/>
  </r>
  <r>
    <s v="NYK10016"/>
    <s v="2026-02-06"/>
    <s v="Skincare"/>
    <s v="Face Wash"/>
    <x v="1"/>
    <s v="Pune"/>
    <s v="Nykaa App"/>
    <s v="Repeat Customer"/>
    <x v="0"/>
    <n v="1"/>
    <n v="372"/>
    <n v="372"/>
    <n v="25"/>
    <n v="93"/>
    <n v="279"/>
    <n v="3.8"/>
    <s v="No"/>
  </r>
  <r>
    <s v="NYK10404"/>
    <s v="2026-02-06"/>
    <s v="Fragrance"/>
    <s v="Deodorant"/>
    <x v="2"/>
    <s v="Chennai"/>
    <s v="Nykaa Website"/>
    <s v="Repeat Customer"/>
    <x v="4"/>
    <n v="3"/>
    <n v="970"/>
    <n v="2910"/>
    <n v="20"/>
    <n v="582"/>
    <n v="2328"/>
    <n v="4"/>
    <s v="No"/>
  </r>
  <r>
    <s v="NYK10210"/>
    <s v="2026-02-06"/>
    <s v="Haircare"/>
    <s v="Hair Serum"/>
    <x v="10"/>
    <s v="Lucknow"/>
    <s v="Nykaa App"/>
    <s v="New Customer"/>
    <x v="3"/>
    <n v="4"/>
    <n v="416"/>
    <n v="1664"/>
    <n v="15"/>
    <n v="250"/>
    <n v="1414"/>
    <n v="4.9000000000000004"/>
    <s v="No"/>
  </r>
  <r>
    <s v="NYK10425"/>
    <s v="2026-02-06"/>
    <s v="Haircare"/>
    <s v="Hair Serum"/>
    <x v="1"/>
    <s v="Pune"/>
    <s v="Nykaa Website"/>
    <s v="Repeat Customer"/>
    <x v="3"/>
    <n v="4"/>
    <n v="800"/>
    <n v="3200"/>
    <n v="25"/>
    <n v="800"/>
    <n v="2400"/>
    <n v="3.7"/>
    <s v="Yes"/>
  </r>
  <r>
    <s v="NYK10576"/>
    <s v="2026-02-06"/>
    <s v="Bath &amp; Body"/>
    <s v="Body Lotion"/>
    <x v="2"/>
    <s v="Delhi"/>
    <s v="Nykaa App"/>
    <s v="New Customer"/>
    <x v="2"/>
    <n v="4"/>
    <n v="448"/>
    <n v="1792"/>
    <n v="0"/>
    <n v="0"/>
    <n v="1792"/>
    <n v="3.5"/>
    <s v="No"/>
  </r>
  <r>
    <s v="NYK10100"/>
    <s v="2026-02-06"/>
    <s v="Fragrance"/>
    <s v="Body Mist"/>
    <x v="5"/>
    <s v="Delhi"/>
    <s v="Nykaa Website"/>
    <s v="New Customer"/>
    <x v="4"/>
    <n v="2"/>
    <n v="1574"/>
    <n v="3148"/>
    <n v="5"/>
    <n v="157"/>
    <n v="2991"/>
    <n v="3.9"/>
    <s v="No"/>
  </r>
  <r>
    <s v="NYK10156"/>
    <s v="2026-02-06"/>
    <s v="Bath &amp; Body"/>
    <s v="Body Lotion"/>
    <x v="8"/>
    <s v="Bengaluru"/>
    <s v="Nykaa Website"/>
    <s v="Repeat Customer"/>
    <x v="2"/>
    <n v="3"/>
    <n v="178"/>
    <n v="534"/>
    <n v="0"/>
    <n v="0"/>
    <n v="534"/>
    <n v="4.2"/>
    <s v="No"/>
  </r>
  <r>
    <s v="NYK10577"/>
    <s v="2026-02-06"/>
    <s v="Haircare"/>
    <s v="Conditioner"/>
    <x v="0"/>
    <s v="Bengaluru"/>
    <s v="Nykaa App"/>
    <s v="New Customer"/>
    <x v="0"/>
    <n v="5"/>
    <n v="723"/>
    <n v="3615"/>
    <n v="25"/>
    <n v="904"/>
    <n v="2711"/>
    <n v="4.2"/>
    <s v="No"/>
  </r>
  <r>
    <s v="NYK10698"/>
    <s v="2026-02-07"/>
    <s v="Fragrance"/>
    <s v="Deodorant"/>
    <x v="0"/>
    <s v="Kolkata"/>
    <s v="Nykaa App"/>
    <s v="Repeat Customer"/>
    <x v="1"/>
    <n v="4"/>
    <n v="561"/>
    <n v="2244"/>
    <n v="15"/>
    <n v="337"/>
    <n v="1907"/>
    <n v="3.6"/>
    <s v="No"/>
  </r>
  <r>
    <s v="NYK10412"/>
    <s v="2026-02-08"/>
    <s v="Skincare"/>
    <s v="Moisturizer"/>
    <x v="1"/>
    <s v="Pune"/>
    <s v="Nykaa App"/>
    <s v="Repeat Customer"/>
    <x v="4"/>
    <n v="1"/>
    <n v="774"/>
    <n v="774"/>
    <n v="5"/>
    <n v="39"/>
    <n v="735"/>
    <n v="3.2"/>
    <s v="No"/>
  </r>
  <r>
    <s v="NYK10279"/>
    <s v="2026-02-08"/>
    <s v="Personal Care"/>
    <s v="Trimmer"/>
    <x v="5"/>
    <s v="Bengaluru"/>
    <s v="Nykaa App"/>
    <s v="New Customer"/>
    <x v="3"/>
    <n v="4"/>
    <n v="1863"/>
    <n v="7452"/>
    <n v="25"/>
    <n v="1863"/>
    <n v="5589"/>
    <n v="4.9000000000000004"/>
    <s v="No"/>
  </r>
  <r>
    <s v="NYK10692"/>
    <s v="2026-02-08"/>
    <s v="Makeup"/>
    <s v="Mascara"/>
    <x v="5"/>
    <s v="Delhi"/>
    <s v="Nykaa App"/>
    <s v="Premium Member"/>
    <x v="3"/>
    <n v="2"/>
    <n v="410"/>
    <n v="820"/>
    <n v="15"/>
    <n v="123"/>
    <n v="697"/>
    <n v="4.4000000000000004"/>
    <s v="No"/>
  </r>
  <r>
    <s v="NYK10735"/>
    <s v="2026-02-09"/>
    <s v="Bath &amp; Body"/>
    <s v="Body Lotion"/>
    <x v="3"/>
    <s v="Chennai"/>
    <s v="Nykaa Website"/>
    <s v="Repeat Customer"/>
    <x v="1"/>
    <n v="5"/>
    <n v="610"/>
    <n v="3050"/>
    <n v="25"/>
    <n v="762"/>
    <n v="2288"/>
    <n v="4.4000000000000004"/>
    <s v="No"/>
  </r>
  <r>
    <s v="NYK10292"/>
    <s v="2026-02-12"/>
    <s v="Personal Care"/>
    <s v="Trimmer"/>
    <x v="3"/>
    <s v="Hyderabad"/>
    <s v="Nykaa Offline Store"/>
    <s v="Repeat Customer"/>
    <x v="2"/>
    <n v="5"/>
    <n v="2220"/>
    <n v="11100"/>
    <n v="30"/>
    <n v="3330"/>
    <n v="7770"/>
    <n v="3.3"/>
    <s v="No"/>
  </r>
  <r>
    <s v="NYK10083"/>
    <s v="2026-02-12"/>
    <s v="Bath &amp; Body"/>
    <s v="Body Lotion"/>
    <x v="8"/>
    <s v="Pune"/>
    <s v="Nykaa Offline Store"/>
    <s v="New Customer"/>
    <x v="2"/>
    <n v="3"/>
    <n v="446"/>
    <n v="1338"/>
    <n v="10"/>
    <n v="134"/>
    <n v="1204"/>
    <n v="3.6"/>
    <s v="No"/>
  </r>
  <r>
    <s v="NYK10037"/>
    <s v="2026-02-12"/>
    <s v="Haircare"/>
    <s v="Hair Serum"/>
    <x v="0"/>
    <s v="Hyderabad"/>
    <s v="Nykaa App"/>
    <s v="Repeat Customer"/>
    <x v="3"/>
    <n v="1"/>
    <n v="390"/>
    <n v="390"/>
    <n v="25"/>
    <n v="98"/>
    <n v="292"/>
    <n v="4.3"/>
    <s v="No"/>
  </r>
  <r>
    <s v="NYK10472"/>
    <s v="2026-02-13"/>
    <s v="Skincare"/>
    <s v="Moisturizer"/>
    <x v="8"/>
    <s v="Jaipur"/>
    <s v="Nykaa App"/>
    <s v="Repeat Customer"/>
    <x v="4"/>
    <n v="2"/>
    <n v="527"/>
    <n v="1054"/>
    <n v="15"/>
    <n v="158"/>
    <n v="896"/>
    <n v="4.5"/>
    <s v="No"/>
  </r>
  <r>
    <s v="NYK10549"/>
    <s v="2026-02-14"/>
    <s v="Skincare"/>
    <s v="Face Wash"/>
    <x v="7"/>
    <s v="Delhi"/>
    <s v="Nykaa Offline Store"/>
    <s v="New Customer"/>
    <x v="2"/>
    <n v="3"/>
    <n v="1023"/>
    <n v="3069"/>
    <n v="20"/>
    <n v="614"/>
    <n v="2455"/>
    <n v="4.9000000000000004"/>
    <s v="No"/>
  </r>
  <r>
    <s v="NYK10264"/>
    <s v="2026-02-14"/>
    <s v="Makeup"/>
    <s v="Kajal"/>
    <x v="6"/>
    <s v="Bengaluru"/>
    <s v="Nykaa App"/>
    <s v="Repeat Customer"/>
    <x v="3"/>
    <n v="3"/>
    <n v="748"/>
    <n v="2244"/>
    <n v="20"/>
    <n v="449"/>
    <n v="1795"/>
    <n v="4.0999999999999996"/>
    <s v="No"/>
  </r>
  <r>
    <s v="NYK10054"/>
    <s v="2026-02-16"/>
    <s v="Makeup"/>
    <s v="Lipstick"/>
    <x v="6"/>
    <s v="Hyderabad"/>
    <s v="Nykaa Website"/>
    <s v="Repeat Customer"/>
    <x v="2"/>
    <n v="3"/>
    <n v="231"/>
    <n v="693"/>
    <n v="30"/>
    <n v="208"/>
    <n v="485"/>
    <n v="3.8"/>
    <s v="No"/>
  </r>
  <r>
    <s v="NYK10220"/>
    <s v="2026-02-16"/>
    <s v="Skincare"/>
    <s v="Face Mask"/>
    <x v="3"/>
    <s v="Lucknow"/>
    <s v="Nykaa App"/>
    <s v="New Customer"/>
    <x v="3"/>
    <n v="2"/>
    <n v="633"/>
    <n v="1266"/>
    <n v="25"/>
    <n v="316"/>
    <n v="950"/>
    <n v="4.7"/>
    <s v="No"/>
  </r>
  <r>
    <s v="NYK10628"/>
    <s v="2026-02-16"/>
    <s v="Fragrance"/>
    <s v="Deodorant"/>
    <x v="2"/>
    <s v="Lucknow"/>
    <s v="Nykaa App"/>
    <s v="New Customer"/>
    <x v="2"/>
    <n v="1"/>
    <n v="1334"/>
    <n v="1334"/>
    <n v="0"/>
    <n v="0"/>
    <n v="1334"/>
    <n v="4.3"/>
    <s v="No"/>
  </r>
  <r>
    <s v="NYK10277"/>
    <s v="2026-02-17"/>
    <s v="Personal Care"/>
    <s v="Trimmer"/>
    <x v="9"/>
    <s v="Delhi"/>
    <s v="Nykaa Website"/>
    <s v="New Customer"/>
    <x v="0"/>
    <n v="3"/>
    <n v="947"/>
    <n v="2841"/>
    <n v="0"/>
    <n v="0"/>
    <n v="2841"/>
    <n v="3.3"/>
    <s v="No"/>
  </r>
  <r>
    <s v="NYK10179"/>
    <s v="2026-02-18"/>
    <s v="Bath &amp; Body"/>
    <s v="Body Wash"/>
    <x v="2"/>
    <s v="Bengaluru"/>
    <s v="Nykaa App"/>
    <s v="Repeat Customer"/>
    <x v="0"/>
    <n v="5"/>
    <n v="450"/>
    <n v="2250"/>
    <n v="30"/>
    <n v="675"/>
    <n v="1575"/>
    <n v="3.8"/>
    <s v="No"/>
  </r>
  <r>
    <s v="NYK10235"/>
    <s v="2026-02-19"/>
    <s v="Skincare"/>
    <s v="Moisturizer"/>
    <x v="0"/>
    <s v="Mumbai"/>
    <s v="Nykaa Offline Store"/>
    <s v="Repeat Customer"/>
    <x v="3"/>
    <n v="3"/>
    <n v="490"/>
    <n v="1470"/>
    <n v="10"/>
    <n v="147"/>
    <n v="1323"/>
    <n v="3.4"/>
    <s v="No"/>
  </r>
  <r>
    <s v="NYK10451"/>
    <s v="2026-02-19"/>
    <s v="Bath &amp; Body"/>
    <s v="Body Lotion"/>
    <x v="0"/>
    <s v="Mumbai"/>
    <s v="Nykaa Website"/>
    <s v="New Customer"/>
    <x v="4"/>
    <n v="4"/>
    <n v="788"/>
    <n v="3152"/>
    <n v="0"/>
    <n v="0"/>
    <n v="3152"/>
    <n v="4.2"/>
    <s v="No"/>
  </r>
  <r>
    <s v="NYK10479"/>
    <s v="2026-02-19"/>
    <s v="Skincare"/>
    <s v="Serum"/>
    <x v="8"/>
    <s v="Chennai"/>
    <s v="Nykaa Website"/>
    <s v="Repeat Customer"/>
    <x v="2"/>
    <n v="4"/>
    <n v="577"/>
    <n v="2308"/>
    <n v="5"/>
    <n v="115"/>
    <n v="2193"/>
    <n v="3.5"/>
    <s v="No"/>
  </r>
  <r>
    <s v="NYK10612"/>
    <s v="2026-02-20"/>
    <s v="Personal Care"/>
    <s v="Hair Dryer"/>
    <x v="0"/>
    <s v="Ahmedabad"/>
    <s v="Nykaa App"/>
    <s v="Repeat Customer"/>
    <x v="3"/>
    <n v="1"/>
    <n v="1133"/>
    <n v="1133"/>
    <n v="5"/>
    <n v="57"/>
    <n v="1076"/>
    <n v="4.8"/>
    <s v="No"/>
  </r>
  <r>
    <s v="NYK10098"/>
    <s v="2026-02-20"/>
    <s v="Personal Care"/>
    <s v="Hair Dryer"/>
    <x v="6"/>
    <s v="Mumbai"/>
    <s v="Nykaa App"/>
    <s v="Repeat Customer"/>
    <x v="2"/>
    <n v="4"/>
    <n v="1840"/>
    <n v="7360"/>
    <n v="15"/>
    <n v="1104"/>
    <n v="6256"/>
    <n v="4.5"/>
    <s v="No"/>
  </r>
  <r>
    <s v="NYK10023"/>
    <s v="2026-02-20"/>
    <s v="Personal Care"/>
    <s v="Hair Dryer"/>
    <x v="6"/>
    <s v="Pune"/>
    <s v="Nykaa Offline Store"/>
    <s v="Premium Member"/>
    <x v="0"/>
    <n v="4"/>
    <n v="1703"/>
    <n v="6812"/>
    <n v="20"/>
    <n v="1362"/>
    <n v="5450"/>
    <n v="5"/>
    <s v="No"/>
  </r>
  <r>
    <s v="NYK10651"/>
    <s v="2026-02-20"/>
    <s v="Makeup"/>
    <s v="Compact"/>
    <x v="11"/>
    <s v="Bengaluru"/>
    <s v="Nykaa Offline Store"/>
    <s v="Repeat Customer"/>
    <x v="4"/>
    <n v="1"/>
    <n v="963"/>
    <n v="963"/>
    <n v="15"/>
    <n v="144"/>
    <n v="819"/>
    <n v="4.0999999999999996"/>
    <s v="No"/>
  </r>
  <r>
    <s v="NYK10561"/>
    <s v="2026-02-21"/>
    <s v="Personal Care"/>
    <s v="Trimmer"/>
    <x v="4"/>
    <s v="Delhi"/>
    <s v="Nykaa App"/>
    <s v="New Customer"/>
    <x v="0"/>
    <n v="4"/>
    <n v="1130"/>
    <n v="4520"/>
    <n v="25"/>
    <n v="1130"/>
    <n v="3390"/>
    <n v="3.9"/>
    <s v="No"/>
  </r>
  <r>
    <s v="NYK10031"/>
    <s v="2026-02-21"/>
    <s v="Fragrance"/>
    <s v="Perfume"/>
    <x v="3"/>
    <s v="Pune"/>
    <s v="Nykaa App"/>
    <s v="Repeat Customer"/>
    <x v="3"/>
    <n v="2"/>
    <n v="558"/>
    <n v="1116"/>
    <n v="5"/>
    <n v="56"/>
    <n v="1060"/>
    <n v="3.9"/>
    <s v="No"/>
  </r>
  <r>
    <s v="NYK10716"/>
    <s v="2026-02-22"/>
    <s v="Haircare"/>
    <s v="Hair Serum"/>
    <x v="0"/>
    <s v="Delhi"/>
    <s v="Nykaa App"/>
    <s v="Repeat Customer"/>
    <x v="2"/>
    <n v="2"/>
    <n v="549"/>
    <n v="1098"/>
    <n v="10"/>
    <n v="110"/>
    <n v="988"/>
    <n v="4.7"/>
    <s v="No"/>
  </r>
  <r>
    <s v="NYK10602"/>
    <s v="2026-02-22"/>
    <s v="Personal Care"/>
    <s v="Trimmer"/>
    <x v="8"/>
    <s v="Hyderabad"/>
    <s v="Nykaa App"/>
    <s v="Premium Member"/>
    <x v="0"/>
    <n v="4"/>
    <n v="1697"/>
    <n v="6788"/>
    <n v="20"/>
    <n v="1358"/>
    <n v="5430"/>
    <n v="3.7"/>
    <s v="No"/>
  </r>
  <r>
    <s v="NYK10212"/>
    <s v="2026-02-22"/>
    <s v="Makeup"/>
    <s v="Mascara"/>
    <x v="2"/>
    <s v="Hyderabad"/>
    <s v="Nykaa App"/>
    <s v="New Customer"/>
    <x v="0"/>
    <n v="4"/>
    <n v="939"/>
    <n v="3756"/>
    <n v="5"/>
    <n v="188"/>
    <n v="3568"/>
    <n v="4.3"/>
    <s v="No"/>
  </r>
  <r>
    <s v="NYK10263"/>
    <s v="2026-02-22"/>
    <s v="Haircare"/>
    <s v="Shampoo"/>
    <x v="2"/>
    <s v="Mumbai"/>
    <s v="Nykaa App"/>
    <s v="Repeat Customer"/>
    <x v="2"/>
    <n v="4"/>
    <n v="174"/>
    <n v="696"/>
    <n v="25"/>
    <n v="174"/>
    <n v="522"/>
    <n v="4"/>
    <s v="No"/>
  </r>
  <r>
    <s v="NYK10554"/>
    <s v="2026-02-23"/>
    <s v="Haircare"/>
    <s v="Hair Serum"/>
    <x v="7"/>
    <s v="Hyderabad"/>
    <s v="Nykaa App"/>
    <s v="New Customer"/>
    <x v="1"/>
    <n v="3"/>
    <n v="962"/>
    <n v="2886"/>
    <n v="30"/>
    <n v="866"/>
    <n v="2020"/>
    <n v="4.3"/>
    <s v="No"/>
  </r>
  <r>
    <s v="NYK10259"/>
    <s v="2026-02-23"/>
    <s v="Makeup"/>
    <s v="Compact"/>
    <x v="6"/>
    <s v="Chennai"/>
    <s v="Nykaa Website"/>
    <s v="New Customer"/>
    <x v="1"/>
    <n v="5"/>
    <n v="243"/>
    <n v="1215"/>
    <n v="30"/>
    <n v="364"/>
    <n v="851"/>
    <n v="4.7"/>
    <s v="No"/>
  </r>
  <r>
    <s v="NYK10153"/>
    <s v="2026-02-24"/>
    <s v="Skincare"/>
    <s v="Sunscreen"/>
    <x v="3"/>
    <s v="Delhi"/>
    <s v="Nykaa App"/>
    <s v="New Customer"/>
    <x v="0"/>
    <n v="1"/>
    <n v="647"/>
    <n v="647"/>
    <n v="15"/>
    <n v="97"/>
    <n v="550"/>
    <n v="4.8"/>
    <s v="No"/>
  </r>
  <r>
    <s v="NYK10474"/>
    <s v="2026-02-25"/>
    <s v="Bath &amp; Body"/>
    <s v="Body Lotion"/>
    <x v="10"/>
    <s v="Mumbai"/>
    <s v="Nykaa App"/>
    <s v="Repeat Customer"/>
    <x v="1"/>
    <n v="1"/>
    <n v="524"/>
    <n v="524"/>
    <n v="10"/>
    <n v="52"/>
    <n v="472"/>
    <n v="4.3"/>
    <s v="No"/>
  </r>
  <r>
    <s v="NYK10049"/>
    <s v="2026-02-28"/>
    <s v="Makeup"/>
    <s v="Foundation"/>
    <x v="9"/>
    <s v="Delhi"/>
    <s v="Nykaa Website"/>
    <s v="New Customer"/>
    <x v="1"/>
    <n v="3"/>
    <n v="384"/>
    <n v="1152"/>
    <n v="20"/>
    <n v="230"/>
    <n v="922"/>
    <n v="4.9000000000000004"/>
    <s v="No"/>
  </r>
  <r>
    <s v="NYK10327"/>
    <s v="2026-02-28"/>
    <s v="Bath &amp; Body"/>
    <s v="Bath Salt"/>
    <x v="5"/>
    <s v="Pune"/>
    <s v="Nykaa Website"/>
    <s v="New Customer"/>
    <x v="3"/>
    <n v="1"/>
    <n v="371"/>
    <n v="371"/>
    <n v="30"/>
    <n v="111"/>
    <n v="260"/>
    <n v="4.3"/>
    <s v="No"/>
  </r>
  <r>
    <s v="NYK10169"/>
    <s v="2026-03-01"/>
    <s v="Makeup"/>
    <s v="Compact"/>
    <x v="1"/>
    <s v="Ahmedabad"/>
    <s v="Nykaa Website"/>
    <s v="Repeat Customer"/>
    <x v="1"/>
    <n v="3"/>
    <n v="513"/>
    <n v="1539"/>
    <n v="0"/>
    <n v="0"/>
    <n v="1539"/>
    <n v="4.8"/>
    <s v="No"/>
  </r>
  <r>
    <s v="NYK10432"/>
    <s v="2026-03-01"/>
    <s v="Makeup"/>
    <s v="Kajal"/>
    <x v="8"/>
    <s v="Lucknow"/>
    <s v="Nykaa Website"/>
    <s v="Repeat Customer"/>
    <x v="1"/>
    <n v="1"/>
    <n v="637"/>
    <n v="637"/>
    <n v="15"/>
    <n v="96"/>
    <n v="541"/>
    <n v="4.5999999999999996"/>
    <s v="No"/>
  </r>
  <r>
    <s v="NYK10370"/>
    <s v="2026-03-01"/>
    <s v="Bath &amp; Body"/>
    <s v="Body Lotion"/>
    <x v="9"/>
    <s v="Lucknow"/>
    <s v="Nykaa Website"/>
    <s v="Premium Member"/>
    <x v="4"/>
    <n v="5"/>
    <n v="638"/>
    <n v="3190"/>
    <n v="0"/>
    <n v="0"/>
    <n v="3190"/>
    <n v="4.0999999999999996"/>
    <s v="No"/>
  </r>
  <r>
    <s v="NYK10669"/>
    <s v="2026-03-01"/>
    <s v="Makeup"/>
    <s v="Lipstick"/>
    <x v="5"/>
    <s v="Mumbai"/>
    <s v="Nykaa Offline Store"/>
    <s v="Repeat Customer"/>
    <x v="2"/>
    <n v="5"/>
    <n v="1184"/>
    <n v="5920"/>
    <n v="25"/>
    <n v="1480"/>
    <n v="4440"/>
    <n v="4.0999999999999996"/>
    <s v="No"/>
  </r>
  <r>
    <s v="NYK10056"/>
    <s v="2026-03-01"/>
    <s v="Bath &amp; Body"/>
    <s v="Body Lotion"/>
    <x v="11"/>
    <s v="Ahmedabad"/>
    <s v="Nykaa App"/>
    <s v="New Customer"/>
    <x v="1"/>
    <n v="2"/>
    <n v="412"/>
    <n v="824"/>
    <n v="5"/>
    <n v="41"/>
    <n v="783"/>
    <n v="3.8"/>
    <s v="No"/>
  </r>
  <r>
    <s v="NYK10743"/>
    <s v="2026-03-02"/>
    <s v="Skincare"/>
    <s v="Face Mask"/>
    <x v="3"/>
    <s v="Ahmedabad"/>
    <s v="Nykaa Website"/>
    <s v="New Customer"/>
    <x v="0"/>
    <n v="3"/>
    <n v="1201"/>
    <n v="3603"/>
    <n v="0"/>
    <n v="0"/>
    <n v="3603"/>
    <n v="4.4000000000000004"/>
    <s v="No"/>
  </r>
  <r>
    <s v="NYK10281"/>
    <s v="2026-03-03"/>
    <s v="Personal Care"/>
    <s v="Hair Dryer"/>
    <x v="5"/>
    <s v="Hyderabad"/>
    <s v="Nykaa App"/>
    <s v="New Customer"/>
    <x v="1"/>
    <n v="1"/>
    <n v="1393"/>
    <n v="1393"/>
    <n v="0"/>
    <n v="0"/>
    <n v="1393"/>
    <n v="3.8"/>
    <s v="No"/>
  </r>
  <r>
    <s v="NYK10167"/>
    <s v="2026-03-03"/>
    <s v="Personal Care"/>
    <s v="Face Roller"/>
    <x v="11"/>
    <s v="Hyderabad"/>
    <s v="Nykaa App"/>
    <s v="Repeat Customer"/>
    <x v="4"/>
    <n v="3"/>
    <n v="687"/>
    <n v="2061"/>
    <n v="20"/>
    <n v="412"/>
    <n v="1649"/>
    <n v="4.5"/>
    <s v="No"/>
  </r>
  <r>
    <s v="NYK10678"/>
    <s v="2026-03-03"/>
    <s v="Skincare"/>
    <s v="Face Wash"/>
    <x v="2"/>
    <s v="Kolkata"/>
    <s v="Nykaa Website"/>
    <s v="Repeat Customer"/>
    <x v="1"/>
    <n v="3"/>
    <n v="596"/>
    <n v="1788"/>
    <n v="15"/>
    <n v="268"/>
    <n v="1520"/>
    <n v="3.6"/>
    <s v="No"/>
  </r>
  <r>
    <s v="NYK10556"/>
    <s v="2026-03-04"/>
    <s v="Personal Care"/>
    <s v="Face Roller"/>
    <x v="5"/>
    <s v="Lucknow"/>
    <s v="Nykaa App"/>
    <s v="New Customer"/>
    <x v="2"/>
    <n v="1"/>
    <n v="1183"/>
    <n v="1183"/>
    <n v="25"/>
    <n v="296"/>
    <n v="887"/>
    <n v="4.2"/>
    <s v="No"/>
  </r>
  <r>
    <s v="NYK10015"/>
    <s v="2026-03-06"/>
    <s v="Makeup"/>
    <s v="Kajal"/>
    <x v="1"/>
    <s v="Hyderabad"/>
    <s v="Nykaa App"/>
    <s v="Repeat Customer"/>
    <x v="4"/>
    <n v="5"/>
    <n v="719"/>
    <n v="3595"/>
    <n v="30"/>
    <n v="1078"/>
    <n v="2517"/>
    <n v="4.0999999999999996"/>
    <s v="No"/>
  </r>
  <r>
    <s v="NYK10045"/>
    <s v="2026-03-07"/>
    <s v="Bath &amp; Body"/>
    <s v="Bath Salt"/>
    <x v="3"/>
    <s v="Hyderabad"/>
    <s v="Nykaa App"/>
    <s v="Repeat Customer"/>
    <x v="2"/>
    <n v="3"/>
    <n v="584"/>
    <n v="1752"/>
    <n v="30"/>
    <n v="526"/>
    <n v="1226"/>
    <n v="3.9"/>
    <s v="No"/>
  </r>
  <r>
    <s v="NYK10694"/>
    <s v="2026-03-08"/>
    <s v="Makeup"/>
    <s v="Mascara"/>
    <x v="5"/>
    <s v="Hyderabad"/>
    <s v="Nykaa Website"/>
    <s v="Repeat Customer"/>
    <x v="4"/>
    <n v="1"/>
    <n v="383"/>
    <n v="383"/>
    <n v="15"/>
    <n v="57"/>
    <n v="326"/>
    <n v="4.5999999999999996"/>
    <s v="No"/>
  </r>
  <r>
    <s v="NYK10740"/>
    <s v="2026-03-09"/>
    <s v="Haircare"/>
    <s v="Shampoo"/>
    <x v="9"/>
    <s v="Mumbai"/>
    <s v="Nykaa App"/>
    <s v="Repeat Customer"/>
    <x v="2"/>
    <n v="5"/>
    <n v="503"/>
    <n v="2515"/>
    <n v="10"/>
    <n v="252"/>
    <n v="2263"/>
    <n v="4.5"/>
    <s v="No"/>
  </r>
  <r>
    <s v="NYK10091"/>
    <s v="2026-03-10"/>
    <s v="Skincare"/>
    <s v="Face Wash"/>
    <x v="6"/>
    <s v="Delhi"/>
    <s v="Nykaa App"/>
    <s v="Premium Member"/>
    <x v="3"/>
    <n v="4"/>
    <n v="843"/>
    <n v="3372"/>
    <n v="25"/>
    <n v="843"/>
    <n v="2529"/>
    <n v="4.9000000000000004"/>
    <s v="No"/>
  </r>
  <r>
    <s v="NYK10269"/>
    <s v="2026-03-10"/>
    <s v="Makeup"/>
    <s v="Mascara"/>
    <x v="3"/>
    <s v="Jaipur"/>
    <s v="Nykaa App"/>
    <s v="Repeat Customer"/>
    <x v="0"/>
    <n v="1"/>
    <n v="455"/>
    <n v="455"/>
    <n v="5"/>
    <n v="23"/>
    <n v="432"/>
    <n v="3.2"/>
    <s v="No"/>
  </r>
  <r>
    <s v="NYK10532"/>
    <s v="2026-03-11"/>
    <s v="Personal Care"/>
    <s v="Trimmer"/>
    <x v="0"/>
    <s v="Hyderabad"/>
    <s v="Nykaa App"/>
    <s v="Repeat Customer"/>
    <x v="2"/>
    <n v="2"/>
    <n v="678"/>
    <n v="1356"/>
    <n v="10"/>
    <n v="136"/>
    <n v="1220"/>
    <n v="3.6"/>
    <s v="Yes"/>
  </r>
  <r>
    <s v="NYK10604"/>
    <s v="2026-03-11"/>
    <s v="Haircare"/>
    <s v="Hair Oil"/>
    <x v="11"/>
    <s v="Kolkata"/>
    <s v="Nykaa App"/>
    <s v="Premium Member"/>
    <x v="4"/>
    <n v="2"/>
    <n v="995"/>
    <n v="1990"/>
    <n v="10"/>
    <n v="199"/>
    <n v="1791"/>
    <n v="4.5"/>
    <s v="No"/>
  </r>
  <r>
    <s v="NYK10522"/>
    <s v="2026-03-13"/>
    <s v="Skincare"/>
    <s v="Face Mask"/>
    <x v="9"/>
    <s v="Lucknow"/>
    <s v="Nykaa Offline Store"/>
    <s v="Repeat Customer"/>
    <x v="1"/>
    <n v="3"/>
    <n v="802"/>
    <n v="2406"/>
    <n v="20"/>
    <n v="481"/>
    <n v="1925"/>
    <n v="3.6"/>
    <s v="No"/>
  </r>
  <r>
    <s v="NYK10071"/>
    <s v="2026-03-13"/>
    <s v="Bath &amp; Body"/>
    <s v="Body Wash"/>
    <x v="5"/>
    <s v="Ahmedabad"/>
    <s v="Nykaa Website"/>
    <s v="New Customer"/>
    <x v="4"/>
    <n v="2"/>
    <n v="752"/>
    <n v="1504"/>
    <n v="15"/>
    <n v="226"/>
    <n v="1278"/>
    <n v="4.8"/>
    <s v="No"/>
  </r>
  <r>
    <s v="NYK10131"/>
    <s v="2026-03-13"/>
    <s v="Fragrance"/>
    <s v="Perfume"/>
    <x v="8"/>
    <s v="Lucknow"/>
    <s v="Nykaa App"/>
    <s v="Repeat Customer"/>
    <x v="4"/>
    <n v="2"/>
    <n v="2295"/>
    <n v="4590"/>
    <n v="10"/>
    <n v="459"/>
    <n v="4131"/>
    <n v="4"/>
    <s v="No"/>
  </r>
  <r>
    <s v="NYK10699"/>
    <s v="2026-03-14"/>
    <s v="Haircare"/>
    <s v="Shampoo"/>
    <x v="6"/>
    <s v="Jaipur"/>
    <s v="Nykaa App"/>
    <s v="New Customer"/>
    <x v="1"/>
    <n v="2"/>
    <n v="233"/>
    <n v="466"/>
    <n v="0"/>
    <n v="0"/>
    <n v="466"/>
    <n v="3.8"/>
    <s v="No"/>
  </r>
  <r>
    <s v="NYK10163"/>
    <s v="2026-03-14"/>
    <s v="Personal Care"/>
    <s v="Trimmer"/>
    <x v="4"/>
    <s v="Lucknow"/>
    <s v="Nykaa Offline Store"/>
    <s v="Premium Member"/>
    <x v="0"/>
    <n v="2"/>
    <n v="1488"/>
    <n v="2976"/>
    <n v="20"/>
    <n v="595"/>
    <n v="2381"/>
    <n v="3.8"/>
    <s v="No"/>
  </r>
  <r>
    <s v="NYK10010"/>
    <s v="2026-03-14"/>
    <s v="Personal Care"/>
    <s v="Hair Dryer"/>
    <x v="6"/>
    <s v="Bengaluru"/>
    <s v="Nykaa App"/>
    <s v="New Customer"/>
    <x v="1"/>
    <n v="5"/>
    <n v="1678"/>
    <n v="8390"/>
    <n v="5"/>
    <n v="420"/>
    <n v="7970"/>
    <n v="3.9"/>
    <s v="No"/>
  </r>
  <r>
    <s v="NYK10266"/>
    <s v="2026-03-15"/>
    <s v="Fragrance"/>
    <s v="Deodorant"/>
    <x v="5"/>
    <s v="Pune"/>
    <s v="Nykaa App"/>
    <s v="New Customer"/>
    <x v="1"/>
    <n v="5"/>
    <n v="1047"/>
    <n v="5235"/>
    <n v="30"/>
    <n v="1570"/>
    <n v="3665"/>
    <n v="4.5999999999999996"/>
    <s v="No"/>
  </r>
  <r>
    <s v="NYK10567"/>
    <s v="2026-03-16"/>
    <s v="Skincare"/>
    <s v="Face Wash"/>
    <x v="3"/>
    <s v="Ahmedabad"/>
    <s v="Nykaa App"/>
    <s v="Repeat Customer"/>
    <x v="2"/>
    <n v="1"/>
    <n v="516"/>
    <n v="516"/>
    <n v="10"/>
    <n v="52"/>
    <n v="464"/>
    <n v="5"/>
    <s v="No"/>
  </r>
  <r>
    <s v="NYK10225"/>
    <s v="2026-03-16"/>
    <s v="Makeup"/>
    <s v="Compact"/>
    <x v="7"/>
    <s v="Ahmedabad"/>
    <s v="Nykaa App"/>
    <s v="Repeat Customer"/>
    <x v="2"/>
    <n v="4"/>
    <n v="383"/>
    <n v="1532"/>
    <n v="20"/>
    <n v="306"/>
    <n v="1226"/>
    <n v="3.3"/>
    <s v="No"/>
  </r>
  <r>
    <s v="NYK10041"/>
    <s v="2026-03-16"/>
    <s v="Fragrance"/>
    <s v="Body Mist"/>
    <x v="11"/>
    <s v="Kolkata"/>
    <s v="Nykaa Website"/>
    <s v="Repeat Customer"/>
    <x v="3"/>
    <n v="4"/>
    <n v="1624"/>
    <n v="6496"/>
    <n v="30"/>
    <n v="1949"/>
    <n v="4547"/>
    <n v="3.6"/>
    <s v="No"/>
  </r>
  <r>
    <s v="NYK10117"/>
    <s v="2026-03-17"/>
    <s v="Skincare"/>
    <s v="Face Mask"/>
    <x v="5"/>
    <s v="Kolkata"/>
    <s v="Nykaa App"/>
    <s v="Repeat Customer"/>
    <x v="0"/>
    <n v="4"/>
    <n v="1390"/>
    <n v="5560"/>
    <n v="20"/>
    <n v="1112"/>
    <n v="4448"/>
    <n v="4.4000000000000004"/>
    <s v="No"/>
  </r>
  <r>
    <s v="NYK10302"/>
    <s v="2026-03-17"/>
    <s v="Fragrance"/>
    <s v="Body Mist"/>
    <x v="10"/>
    <s v="Chennai"/>
    <s v="Nykaa Website"/>
    <s v="Repeat Customer"/>
    <x v="4"/>
    <n v="2"/>
    <n v="1233"/>
    <n v="2466"/>
    <n v="15"/>
    <n v="370"/>
    <n v="2096"/>
    <n v="3.4"/>
    <s v="No"/>
  </r>
  <r>
    <s v="NYK10293"/>
    <s v="2026-03-17"/>
    <s v="Skincare"/>
    <s v="Sunscreen"/>
    <x v="11"/>
    <s v="Kolkata"/>
    <s v="Nykaa App"/>
    <s v="Premium Member"/>
    <x v="4"/>
    <n v="1"/>
    <n v="507"/>
    <n v="507"/>
    <n v="30"/>
    <n v="152"/>
    <n v="355"/>
    <n v="3.6"/>
    <s v="No"/>
  </r>
  <r>
    <s v="NYK10116"/>
    <s v="2026-03-17"/>
    <s v="Haircare"/>
    <s v="Shampoo"/>
    <x v="10"/>
    <s v="Delhi"/>
    <s v="Nykaa App"/>
    <s v="Repeat Customer"/>
    <x v="0"/>
    <n v="3"/>
    <n v="856"/>
    <n v="2568"/>
    <n v="0"/>
    <n v="0"/>
    <n v="2568"/>
    <n v="4.4000000000000004"/>
    <s v="Yes"/>
  </r>
  <r>
    <s v="NYK10021"/>
    <s v="2026-03-18"/>
    <s v="Bath &amp; Body"/>
    <s v="Body Lotion"/>
    <x v="2"/>
    <s v="Delhi"/>
    <s v="Nykaa Website"/>
    <s v="New Customer"/>
    <x v="0"/>
    <n v="2"/>
    <n v="411"/>
    <n v="822"/>
    <n v="20"/>
    <n v="164"/>
    <n v="658"/>
    <n v="3.6"/>
    <s v="No"/>
  </r>
  <r>
    <s v="NYK10427"/>
    <s v="2026-03-19"/>
    <s v="Personal Care"/>
    <s v="Face Roller"/>
    <x v="7"/>
    <s v="Jaipur"/>
    <s v="Nykaa Website"/>
    <s v="Repeat Customer"/>
    <x v="0"/>
    <n v="1"/>
    <n v="1366"/>
    <n v="1366"/>
    <n v="5"/>
    <n v="68"/>
    <n v="1298"/>
    <n v="3.4"/>
    <s v="No"/>
  </r>
  <r>
    <s v="NYK10360"/>
    <s v="2026-03-21"/>
    <s v="Bath &amp; Body"/>
    <s v="Bath Salt"/>
    <x v="9"/>
    <s v="Bengaluru"/>
    <s v="Nykaa App"/>
    <s v="New Customer"/>
    <x v="4"/>
    <n v="2"/>
    <n v="627"/>
    <n v="1254"/>
    <n v="15"/>
    <n v="188"/>
    <n v="1066"/>
    <n v="4.9000000000000004"/>
    <s v="No"/>
  </r>
  <r>
    <s v="NYK10363"/>
    <s v="2026-03-22"/>
    <s v="Bath &amp; Body"/>
    <s v="Bath Salt"/>
    <x v="8"/>
    <s v="Chennai"/>
    <s v="Nykaa App"/>
    <s v="Premium Member"/>
    <x v="4"/>
    <n v="4"/>
    <n v="378"/>
    <n v="1512"/>
    <n v="30"/>
    <n v="454"/>
    <n v="1058"/>
    <n v="3.8"/>
    <s v="No"/>
  </r>
  <r>
    <s v="NYK10473"/>
    <s v="2026-03-22"/>
    <s v="Haircare"/>
    <s v="Conditioner"/>
    <x v="8"/>
    <s v="Bengaluru"/>
    <s v="Nykaa App"/>
    <s v="New Customer"/>
    <x v="2"/>
    <n v="5"/>
    <n v="247"/>
    <n v="1235"/>
    <n v="10"/>
    <n v="124"/>
    <n v="1111"/>
    <n v="4.9000000000000004"/>
    <s v="No"/>
  </r>
  <r>
    <s v="NYK10127"/>
    <s v="2026-03-22"/>
    <s v="Bath &amp; Body"/>
    <s v="Body Lotion"/>
    <x v="11"/>
    <s v="Delhi"/>
    <s v="Nykaa App"/>
    <s v="Repeat Customer"/>
    <x v="1"/>
    <n v="4"/>
    <n v="737"/>
    <n v="2948"/>
    <n v="5"/>
    <n v="147"/>
    <n v="2801"/>
    <n v="4.7"/>
    <s v="No"/>
  </r>
  <r>
    <s v="NYK10493"/>
    <s v="2026-03-22"/>
    <s v="Bath &amp; Body"/>
    <s v="Body Wash"/>
    <x v="0"/>
    <s v="Delhi"/>
    <s v="Nykaa App"/>
    <s v="Repeat Customer"/>
    <x v="3"/>
    <n v="4"/>
    <n v="559"/>
    <n v="2236"/>
    <n v="25"/>
    <n v="559"/>
    <n v="1677"/>
    <n v="4.9000000000000004"/>
    <s v="No"/>
  </r>
  <r>
    <s v="NYK10252"/>
    <s v="2026-03-22"/>
    <s v="Skincare"/>
    <s v="Moisturizer"/>
    <x v="3"/>
    <s v="Mumbai"/>
    <s v="Nykaa Offline Store"/>
    <s v="New Customer"/>
    <x v="2"/>
    <n v="3"/>
    <n v="1227"/>
    <n v="3681"/>
    <n v="10"/>
    <n v="368"/>
    <n v="3313"/>
    <n v="3.8"/>
    <s v="No"/>
  </r>
  <r>
    <s v="NYK10676"/>
    <s v="2026-03-23"/>
    <s v="Haircare"/>
    <s v="Shampoo"/>
    <x v="1"/>
    <s v="Ahmedabad"/>
    <s v="Nykaa App"/>
    <s v="Repeat Customer"/>
    <x v="0"/>
    <n v="2"/>
    <n v="189"/>
    <n v="378"/>
    <n v="15"/>
    <n v="57"/>
    <n v="321"/>
    <n v="4.2"/>
    <s v="No"/>
  </r>
  <r>
    <s v="NYK10695"/>
    <s v="2026-03-23"/>
    <s v="Bath &amp; Body"/>
    <s v="Body Wash"/>
    <x v="0"/>
    <s v="Ahmedabad"/>
    <s v="Nykaa App"/>
    <s v="Repeat Customer"/>
    <x v="4"/>
    <n v="4"/>
    <n v="614"/>
    <n v="2456"/>
    <n v="15"/>
    <n v="368"/>
    <n v="2088"/>
    <n v="4.0999999999999996"/>
    <s v="No"/>
  </r>
  <r>
    <s v="NYK10068"/>
    <s v="2026-03-23"/>
    <s v="Skincare"/>
    <s v="Moisturizer"/>
    <x v="0"/>
    <s v="Ahmedabad"/>
    <s v="Nykaa Offline Store"/>
    <s v="New Customer"/>
    <x v="4"/>
    <n v="4"/>
    <n v="1061"/>
    <n v="4244"/>
    <n v="15"/>
    <n v="637"/>
    <n v="3607"/>
    <n v="4.9000000000000004"/>
    <s v="No"/>
  </r>
  <r>
    <s v="NYK10503"/>
    <s v="2026-03-24"/>
    <s v="Personal Care"/>
    <s v="Hair Dryer"/>
    <x v="3"/>
    <s v="Pune"/>
    <s v="Nykaa Website"/>
    <s v="Premium Member"/>
    <x v="1"/>
    <n v="5"/>
    <n v="421"/>
    <n v="2105"/>
    <n v="0"/>
    <n v="0"/>
    <n v="2105"/>
    <n v="4.7"/>
    <s v="No"/>
  </r>
  <r>
    <s v="NYK10575"/>
    <s v="2026-03-24"/>
    <s v="Skincare"/>
    <s v="Face Wash"/>
    <x v="1"/>
    <s v="Ahmedabad"/>
    <s v="Nykaa Website"/>
    <s v="New Customer"/>
    <x v="2"/>
    <n v="4"/>
    <n v="905"/>
    <n v="3620"/>
    <n v="20"/>
    <n v="724"/>
    <n v="2896"/>
    <n v="3.8"/>
    <s v="No"/>
  </r>
  <r>
    <s v="NYK10378"/>
    <s v="2026-03-24"/>
    <s v="Fragrance"/>
    <s v="Body Mist"/>
    <x v="1"/>
    <s v="Chennai"/>
    <s v="Nykaa Website"/>
    <s v="Repeat Customer"/>
    <x v="3"/>
    <n v="4"/>
    <n v="1596"/>
    <n v="6384"/>
    <n v="5"/>
    <n v="319"/>
    <n v="6065"/>
    <n v="4.7"/>
    <s v="Yes"/>
  </r>
  <r>
    <s v="NYK10053"/>
    <s v="2026-03-25"/>
    <s v="Makeup"/>
    <s v="Compact"/>
    <x v="9"/>
    <s v="Chennai"/>
    <s v="Nykaa Website"/>
    <s v="Premium Member"/>
    <x v="2"/>
    <n v="4"/>
    <n v="678"/>
    <n v="2712"/>
    <n v="25"/>
    <n v="678"/>
    <n v="2034"/>
    <n v="4.3"/>
    <s v="No"/>
  </r>
  <r>
    <s v="NYK10744"/>
    <s v="2026-03-25"/>
    <s v="Skincare"/>
    <s v="Face Wash"/>
    <x v="3"/>
    <s v="Mumbai"/>
    <s v="Nykaa App"/>
    <s v="Repeat Customer"/>
    <x v="1"/>
    <n v="4"/>
    <n v="867"/>
    <n v="3468"/>
    <n v="10"/>
    <n v="347"/>
    <n v="3121"/>
    <n v="4.3"/>
    <s v="No"/>
  </r>
  <r>
    <s v="NYK10284"/>
    <s v="2026-03-25"/>
    <s v="Bath &amp; Body"/>
    <s v="Body Lotion"/>
    <x v="4"/>
    <s v="Kolkata"/>
    <s v="Nykaa Offline Store"/>
    <s v="Repeat Customer"/>
    <x v="2"/>
    <n v="5"/>
    <n v="722"/>
    <n v="3610"/>
    <n v="15"/>
    <n v="542"/>
    <n v="3068"/>
    <n v="3.7"/>
    <s v="No"/>
  </r>
  <r>
    <s v="NYK10146"/>
    <s v="2026-03-27"/>
    <s v="Personal Care"/>
    <s v="Hair Dryer"/>
    <x v="0"/>
    <s v="Kolkata"/>
    <s v="Nykaa Website"/>
    <s v="Repeat Customer"/>
    <x v="0"/>
    <n v="2"/>
    <n v="2441"/>
    <n v="4882"/>
    <n v="25"/>
    <n v="1220"/>
    <n v="3662"/>
    <n v="3.3"/>
    <s v="No"/>
  </r>
  <r>
    <s v="NYK10462"/>
    <s v="2026-03-27"/>
    <s v="Personal Care"/>
    <s v="Face Roller"/>
    <x v="10"/>
    <s v="Kolkata"/>
    <s v="Nykaa App"/>
    <s v="Repeat Customer"/>
    <x v="4"/>
    <n v="1"/>
    <n v="629"/>
    <n v="629"/>
    <n v="25"/>
    <n v="157"/>
    <n v="472"/>
    <n v="5"/>
    <s v="No"/>
  </r>
  <r>
    <s v="NYK10620"/>
    <s v="2026-03-27"/>
    <s v="Personal Care"/>
    <s v="Trimmer"/>
    <x v="0"/>
    <s v="Jaipur"/>
    <s v="Nykaa App"/>
    <s v="Repeat Customer"/>
    <x v="0"/>
    <n v="4"/>
    <n v="1030"/>
    <n v="4120"/>
    <n v="5"/>
    <n v="206"/>
    <n v="3914"/>
    <n v="4.4000000000000004"/>
    <s v="No"/>
  </r>
  <r>
    <s v="NYK10126"/>
    <s v="2026-03-28"/>
    <s v="Haircare"/>
    <s v="Hair Serum"/>
    <x v="7"/>
    <s v="Kolkata"/>
    <s v="Nykaa Offline Store"/>
    <s v="Repeat Customer"/>
    <x v="4"/>
    <n v="2"/>
    <n v="891"/>
    <n v="1782"/>
    <n v="0"/>
    <n v="0"/>
    <n v="1782"/>
    <n v="4.4000000000000004"/>
    <s v="No"/>
  </r>
  <r>
    <s v="NYK10239"/>
    <s v="2026-03-29"/>
    <s v="Personal Care"/>
    <s v="Trimmer"/>
    <x v="8"/>
    <s v="Lucknow"/>
    <s v="Nykaa App"/>
    <s v="Repeat Customer"/>
    <x v="2"/>
    <n v="3"/>
    <n v="1916"/>
    <n v="5748"/>
    <n v="25"/>
    <n v="1437"/>
    <n v="4311"/>
    <n v="4.5"/>
    <s v="No"/>
  </r>
  <r>
    <s v="NYK10512"/>
    <s v="2026-03-31"/>
    <s v="Skincare"/>
    <s v="Face Wash"/>
    <x v="10"/>
    <s v="Pune"/>
    <s v="Nykaa App"/>
    <s v="Repeat Customer"/>
    <x v="1"/>
    <n v="2"/>
    <n v="511"/>
    <n v="1022"/>
    <n v="0"/>
    <n v="0"/>
    <n v="1022"/>
    <n v="4.9000000000000004"/>
    <s v="No"/>
  </r>
  <r>
    <s v="NYK10149"/>
    <s v="2026-03-31"/>
    <s v="Personal Care"/>
    <s v="Face Roller"/>
    <x v="5"/>
    <s v="Delhi"/>
    <s v="Nykaa App"/>
    <s v="New Customer"/>
    <x v="4"/>
    <n v="2"/>
    <n v="759"/>
    <n v="1518"/>
    <n v="20"/>
    <n v="304"/>
    <n v="1214"/>
    <n v="4.5"/>
    <s v="No"/>
  </r>
  <r>
    <s v="NYK10046"/>
    <s v="2026-03-31"/>
    <s v="Fragrance"/>
    <s v="Perfume"/>
    <x v="5"/>
    <s v="Mumbai"/>
    <s v="Nykaa Offline Store"/>
    <s v="Repeat Customer"/>
    <x v="0"/>
    <n v="1"/>
    <n v="2106"/>
    <n v="2106"/>
    <n v="5"/>
    <n v="105"/>
    <n v="2001"/>
    <n v="4.8"/>
    <s v="No"/>
  </r>
  <r>
    <s v="NYK10407"/>
    <s v="2026-03-31"/>
    <s v="Skincare"/>
    <s v="Moisturizer"/>
    <x v="2"/>
    <s v="Mumbai"/>
    <s v="Nykaa App"/>
    <s v="New Customer"/>
    <x v="1"/>
    <n v="2"/>
    <n v="1157"/>
    <n v="2314"/>
    <n v="25"/>
    <n v="578"/>
    <n v="1736"/>
    <n v="3.2"/>
    <s v="No"/>
  </r>
  <r>
    <s v="NYK10017"/>
    <s v="2026-04-01"/>
    <s v="Makeup"/>
    <s v="Foundation"/>
    <x v="3"/>
    <s v="Ahmedabad"/>
    <s v="Nykaa App"/>
    <s v="New Customer"/>
    <x v="2"/>
    <n v="2"/>
    <n v="1161"/>
    <n v="2322"/>
    <n v="0"/>
    <n v="0"/>
    <n v="2322"/>
    <n v="4"/>
    <s v="No"/>
  </r>
  <r>
    <s v="NYK10189"/>
    <s v="2026-04-01"/>
    <s v="Fragrance"/>
    <s v="Deodorant"/>
    <x v="8"/>
    <s v="Hyderabad"/>
    <s v="Nykaa App"/>
    <s v="New Customer"/>
    <x v="4"/>
    <n v="5"/>
    <n v="598"/>
    <n v="2990"/>
    <n v="0"/>
    <n v="0"/>
    <n v="2990"/>
    <n v="3.5"/>
    <s v="No"/>
  </r>
  <r>
    <s v="NYK10058"/>
    <s v="2026-04-01"/>
    <s v="Haircare"/>
    <s v="Shampoo"/>
    <x v="11"/>
    <s v="Bengaluru"/>
    <s v="Nykaa App"/>
    <s v="Repeat Customer"/>
    <x v="1"/>
    <n v="5"/>
    <n v="979"/>
    <n v="4895"/>
    <n v="20"/>
    <n v="979"/>
    <n v="3916"/>
    <n v="4.3"/>
    <s v="Yes"/>
  </r>
  <r>
    <s v="NYK10089"/>
    <s v="2026-04-01"/>
    <s v="Fragrance"/>
    <s v="Perfume"/>
    <x v="6"/>
    <s v="Delhi"/>
    <s v="Nykaa App"/>
    <s v="Repeat Customer"/>
    <x v="1"/>
    <n v="5"/>
    <n v="1452"/>
    <n v="7260"/>
    <n v="25"/>
    <n v="1815"/>
    <n v="5445"/>
    <n v="4.9000000000000004"/>
    <s v="No"/>
  </r>
  <r>
    <s v="NYK10581"/>
    <s v="2026-04-02"/>
    <s v="Haircare"/>
    <s v="Conditioner"/>
    <x v="2"/>
    <s v="Pune"/>
    <s v="Nykaa App"/>
    <s v="Repeat Customer"/>
    <x v="2"/>
    <n v="5"/>
    <n v="587"/>
    <n v="2935"/>
    <n v="15"/>
    <n v="440"/>
    <n v="2495"/>
    <n v="3.7"/>
    <s v="No"/>
  </r>
  <r>
    <s v="NYK10437"/>
    <s v="2026-04-02"/>
    <s v="Haircare"/>
    <s v="Conditioner"/>
    <x v="11"/>
    <s v="Hyderabad"/>
    <s v="Nykaa App"/>
    <s v="Repeat Customer"/>
    <x v="1"/>
    <n v="5"/>
    <n v="560"/>
    <n v="2800"/>
    <n v="25"/>
    <n v="700"/>
    <n v="2100"/>
    <n v="5"/>
    <s v="No"/>
  </r>
  <r>
    <s v="NYK10048"/>
    <s v="2026-04-03"/>
    <s v="Fragrance"/>
    <s v="Perfume"/>
    <x v="11"/>
    <s v="Mumbai"/>
    <s v="Nykaa Offline Store"/>
    <s v="New Customer"/>
    <x v="0"/>
    <n v="1"/>
    <n v="2385"/>
    <n v="2385"/>
    <n v="5"/>
    <n v="119"/>
    <n v="2266"/>
    <n v="3.6"/>
    <s v="No"/>
  </r>
  <r>
    <s v="NYK10401"/>
    <s v="2026-04-03"/>
    <s v="Haircare"/>
    <s v="Hair Serum"/>
    <x v="0"/>
    <s v="Chennai"/>
    <s v="Nykaa App"/>
    <s v="New Customer"/>
    <x v="4"/>
    <n v="2"/>
    <n v="651"/>
    <n v="1302"/>
    <n v="15"/>
    <n v="195"/>
    <n v="1107"/>
    <n v="4.3"/>
    <s v="No"/>
  </r>
  <r>
    <s v="NYK10144"/>
    <s v="2026-04-04"/>
    <s v="Personal Care"/>
    <s v="Trimmer"/>
    <x v="7"/>
    <s v="Chennai"/>
    <s v="Nykaa Website"/>
    <s v="Premium Member"/>
    <x v="3"/>
    <n v="3"/>
    <n v="1467"/>
    <n v="4401"/>
    <n v="0"/>
    <n v="0"/>
    <n v="4401"/>
    <n v="5"/>
    <s v="No"/>
  </r>
  <r>
    <s v="NYK10195"/>
    <s v="2026-04-04"/>
    <s v="Bath &amp; Body"/>
    <s v="Body Wash"/>
    <x v="9"/>
    <s v="Mumbai"/>
    <s v="Nykaa App"/>
    <s v="Repeat Customer"/>
    <x v="0"/>
    <n v="1"/>
    <n v="646"/>
    <n v="646"/>
    <n v="15"/>
    <n v="97"/>
    <n v="549"/>
    <n v="3.4"/>
    <s v="No"/>
  </r>
  <r>
    <s v="NYK10444"/>
    <s v="2026-04-04"/>
    <s v="Bath &amp; Body"/>
    <s v="Body Wash"/>
    <x v="0"/>
    <s v="Bengaluru"/>
    <s v="Nykaa App"/>
    <s v="New Customer"/>
    <x v="4"/>
    <n v="2"/>
    <n v="710"/>
    <n v="1420"/>
    <n v="10"/>
    <n v="142"/>
    <n v="1278"/>
    <n v="4.4000000000000004"/>
    <s v="No"/>
  </r>
  <r>
    <s v="NYK10483"/>
    <s v="2026-04-05"/>
    <s v="Fragrance"/>
    <s v="Body Mist"/>
    <x v="10"/>
    <s v="Hyderabad"/>
    <s v="Nykaa App"/>
    <s v="Repeat Customer"/>
    <x v="4"/>
    <n v="4"/>
    <n v="785"/>
    <n v="3140"/>
    <n v="20"/>
    <n v="628"/>
    <n v="2512"/>
    <n v="4"/>
    <s v="No"/>
  </r>
  <r>
    <s v="NYK10416"/>
    <s v="2026-04-05"/>
    <s v="Makeup"/>
    <s v="Mascara"/>
    <x v="9"/>
    <s v="Pune"/>
    <s v="Nykaa App"/>
    <s v="Repeat Customer"/>
    <x v="4"/>
    <n v="5"/>
    <n v="375"/>
    <n v="1875"/>
    <n v="20"/>
    <n v="375"/>
    <n v="1500"/>
    <n v="3.5"/>
    <s v="No"/>
  </r>
  <r>
    <s v="NYK10594"/>
    <s v="2026-04-06"/>
    <s v="Haircare"/>
    <s v="Shampoo"/>
    <x v="10"/>
    <s v="Kolkata"/>
    <s v="Nykaa App"/>
    <s v="New Customer"/>
    <x v="1"/>
    <n v="2"/>
    <n v="458"/>
    <n v="916"/>
    <n v="25"/>
    <n v="229"/>
    <n v="687"/>
    <n v="3.9"/>
    <s v="No"/>
  </r>
  <r>
    <s v="NYK10411"/>
    <s v="2026-04-08"/>
    <s v="Makeup"/>
    <s v="Lipstick"/>
    <x v="11"/>
    <s v="Jaipur"/>
    <s v="Nykaa App"/>
    <s v="Repeat Customer"/>
    <x v="1"/>
    <n v="2"/>
    <n v="595"/>
    <n v="1190"/>
    <n v="0"/>
    <n v="0"/>
    <n v="1190"/>
    <n v="4.8"/>
    <s v="No"/>
  </r>
  <r>
    <s v="NYK10324"/>
    <s v="2026-04-08"/>
    <s v="Skincare"/>
    <s v="Face Mask"/>
    <x v="3"/>
    <s v="Kolkata"/>
    <s v="Nykaa App"/>
    <s v="New Customer"/>
    <x v="2"/>
    <n v="4"/>
    <n v="1261"/>
    <n v="5044"/>
    <n v="15"/>
    <n v="757"/>
    <n v="4287"/>
    <n v="3.4"/>
    <s v="No"/>
  </r>
  <r>
    <s v="NYK10147"/>
    <s v="2026-04-09"/>
    <s v="Bath &amp; Body"/>
    <s v="Body Wash"/>
    <x v="9"/>
    <s v="Lucknow"/>
    <s v="Nykaa App"/>
    <s v="Premium Member"/>
    <x v="2"/>
    <n v="5"/>
    <n v="741"/>
    <n v="3705"/>
    <n v="0"/>
    <n v="0"/>
    <n v="3705"/>
    <n v="4.7"/>
    <s v="No"/>
  </r>
  <r>
    <s v="NYK10193"/>
    <s v="2026-04-10"/>
    <s v="Makeup"/>
    <s v="Lipstick"/>
    <x v="6"/>
    <s v="Lucknow"/>
    <s v="Nykaa Website"/>
    <s v="Repeat Customer"/>
    <x v="3"/>
    <n v="2"/>
    <n v="562"/>
    <n v="1124"/>
    <n v="15"/>
    <n v="169"/>
    <n v="955"/>
    <n v="4.2"/>
    <s v="No"/>
  </r>
  <r>
    <s v="NYK10333"/>
    <s v="2026-04-10"/>
    <s v="Bath &amp; Body"/>
    <s v="Body Wash"/>
    <x v="11"/>
    <s v="Hyderabad"/>
    <s v="Nykaa App"/>
    <s v="Repeat Customer"/>
    <x v="1"/>
    <n v="3"/>
    <n v="748"/>
    <n v="2244"/>
    <n v="5"/>
    <n v="112"/>
    <n v="2132"/>
    <n v="5"/>
    <s v="No"/>
  </r>
  <r>
    <s v="NYK10014"/>
    <s v="2026-04-10"/>
    <s v="Haircare"/>
    <s v="Shampoo"/>
    <x v="5"/>
    <s v="Hyderabad"/>
    <s v="Nykaa Website"/>
    <s v="New Customer"/>
    <x v="0"/>
    <n v="2"/>
    <n v="206"/>
    <n v="412"/>
    <n v="0"/>
    <n v="0"/>
    <n v="412"/>
    <n v="4.7"/>
    <s v="No"/>
  </r>
  <r>
    <s v="NYK10665"/>
    <s v="2026-04-11"/>
    <s v="Makeup"/>
    <s v="Mascara"/>
    <x v="4"/>
    <s v="Ahmedabad"/>
    <s v="Nykaa App"/>
    <s v="Repeat Customer"/>
    <x v="4"/>
    <n v="3"/>
    <n v="917"/>
    <n v="2751"/>
    <n v="5"/>
    <n v="138"/>
    <n v="2613"/>
    <n v="3.2"/>
    <s v="Yes"/>
  </r>
  <r>
    <s v="NYK10423"/>
    <s v="2026-04-12"/>
    <s v="Personal Care"/>
    <s v="Trimmer"/>
    <x v="7"/>
    <s v="Kolkata"/>
    <s v="Nykaa Website"/>
    <s v="Repeat Customer"/>
    <x v="4"/>
    <n v="3"/>
    <n v="1815"/>
    <n v="5445"/>
    <n v="25"/>
    <n v="1361"/>
    <n v="4084"/>
    <n v="4.4000000000000004"/>
    <s v="No"/>
  </r>
  <r>
    <s v="NYK10040"/>
    <s v="2026-04-12"/>
    <s v="Bath &amp; Body"/>
    <s v="Body Wash"/>
    <x v="2"/>
    <s v="Hyderabad"/>
    <s v="Nykaa Offline Store"/>
    <s v="New Customer"/>
    <x v="3"/>
    <n v="4"/>
    <n v="583"/>
    <n v="2332"/>
    <n v="20"/>
    <n v="466"/>
    <n v="1866"/>
    <n v="4.3"/>
    <s v="Yes"/>
  </r>
  <r>
    <s v="NYK10188"/>
    <s v="2026-04-14"/>
    <s v="Makeup"/>
    <s v="Compact"/>
    <x v="2"/>
    <s v="Kolkata"/>
    <s v="Nykaa Offline Store"/>
    <s v="Repeat Customer"/>
    <x v="3"/>
    <n v="4"/>
    <n v="466"/>
    <n v="1864"/>
    <n v="5"/>
    <n v="93"/>
    <n v="1771"/>
    <n v="3.8"/>
    <s v="No"/>
  </r>
  <r>
    <s v="NYK10001"/>
    <s v="2026-04-14"/>
    <s v="Bath &amp; Body"/>
    <s v="Bath Salt"/>
    <x v="2"/>
    <s v="Hyderabad"/>
    <s v="Nykaa Website"/>
    <s v="Repeat Customer"/>
    <x v="2"/>
    <n v="2"/>
    <n v="441"/>
    <n v="882"/>
    <n v="10"/>
    <n v="88"/>
    <n v="794"/>
    <n v="4.7"/>
    <s v="No"/>
  </r>
  <r>
    <s v="NYK10657"/>
    <s v="2026-04-14"/>
    <s v="Personal Care"/>
    <s v="Hair Dryer"/>
    <x v="6"/>
    <s v="Delhi"/>
    <s v="Nykaa Website"/>
    <s v="New Customer"/>
    <x v="4"/>
    <n v="5"/>
    <n v="1610"/>
    <n v="8050"/>
    <n v="0"/>
    <n v="0"/>
    <n v="8050"/>
    <n v="4.9000000000000004"/>
    <s v="No"/>
  </r>
  <r>
    <s v="NYK10637"/>
    <s v="2026-04-14"/>
    <s v="Bath &amp; Body"/>
    <s v="Bath Salt"/>
    <x v="8"/>
    <s v="Mumbai"/>
    <s v="Nykaa App"/>
    <s v="New Customer"/>
    <x v="0"/>
    <n v="2"/>
    <n v="741"/>
    <n v="1482"/>
    <n v="5"/>
    <n v="74"/>
    <n v="1408"/>
    <n v="4.5"/>
    <s v="No"/>
  </r>
  <r>
    <s v="NYK10326"/>
    <s v="2026-04-14"/>
    <s v="Personal Care"/>
    <s v="Face Roller"/>
    <x v="7"/>
    <s v="Hyderabad"/>
    <s v="Nykaa Website"/>
    <s v="Repeat Customer"/>
    <x v="1"/>
    <n v="3"/>
    <n v="2132"/>
    <n v="6396"/>
    <n v="30"/>
    <n v="1919"/>
    <n v="4477"/>
    <n v="3.6"/>
    <s v="No"/>
  </r>
  <r>
    <s v="NYK10613"/>
    <s v="2026-04-15"/>
    <s v="Makeup"/>
    <s v="Mascara"/>
    <x v="6"/>
    <s v="Lucknow"/>
    <s v="Nykaa App"/>
    <s v="Premium Member"/>
    <x v="0"/>
    <n v="5"/>
    <n v="1043"/>
    <n v="5215"/>
    <n v="5"/>
    <n v="261"/>
    <n v="4954"/>
    <n v="3.9"/>
    <s v="No"/>
  </r>
  <r>
    <s v="NYK10202"/>
    <s v="2026-04-15"/>
    <s v="Skincare"/>
    <s v="Sunscreen"/>
    <x v="9"/>
    <s v="Hyderabad"/>
    <s v="Nykaa Website"/>
    <s v="Repeat Customer"/>
    <x v="4"/>
    <n v="3"/>
    <n v="760"/>
    <n v="2280"/>
    <n v="25"/>
    <n v="570"/>
    <n v="1710"/>
    <n v="3.5"/>
    <s v="Yes"/>
  </r>
  <r>
    <s v="NYK10115"/>
    <s v="2026-04-16"/>
    <s v="Bath &amp; Body"/>
    <s v="Body Wash"/>
    <x v="1"/>
    <s v="Lucknow"/>
    <s v="Nykaa App"/>
    <s v="Premium Member"/>
    <x v="1"/>
    <n v="2"/>
    <n v="435"/>
    <n v="870"/>
    <n v="15"/>
    <n v="130"/>
    <n v="740"/>
    <n v="4"/>
    <s v="No"/>
  </r>
  <r>
    <s v="NYK10547"/>
    <s v="2026-04-16"/>
    <s v="Bath &amp; Body"/>
    <s v="Bath Salt"/>
    <x v="9"/>
    <s v="Ahmedabad"/>
    <s v="Nykaa App"/>
    <s v="New Customer"/>
    <x v="2"/>
    <n v="1"/>
    <n v="240"/>
    <n v="240"/>
    <n v="20"/>
    <n v="48"/>
    <n v="192"/>
    <n v="3.4"/>
    <s v="No"/>
  </r>
  <r>
    <s v="NYK10353"/>
    <s v="2026-04-17"/>
    <s v="Skincare"/>
    <s v="Moisturizer"/>
    <x v="1"/>
    <s v="Mumbai"/>
    <s v="Nykaa Website"/>
    <s v="Premium Member"/>
    <x v="4"/>
    <n v="4"/>
    <n v="1073"/>
    <n v="4292"/>
    <n v="0"/>
    <n v="0"/>
    <n v="4292"/>
    <n v="3.7"/>
    <s v="No"/>
  </r>
  <r>
    <s v="NYK10553"/>
    <s v="2026-04-17"/>
    <s v="Bath &amp; Body"/>
    <s v="Body Wash"/>
    <x v="11"/>
    <s v="Bengaluru"/>
    <s v="Nykaa App"/>
    <s v="Repeat Customer"/>
    <x v="1"/>
    <n v="5"/>
    <n v="468"/>
    <n v="2340"/>
    <n v="30"/>
    <n v="702"/>
    <n v="1638"/>
    <n v="4.7"/>
    <s v="No"/>
  </r>
  <r>
    <s v="NYK10285"/>
    <s v="2026-04-19"/>
    <s v="Personal Care"/>
    <s v="Trimmer"/>
    <x v="7"/>
    <s v="Jaipur"/>
    <s v="Nykaa Website"/>
    <s v="Repeat Customer"/>
    <x v="4"/>
    <n v="2"/>
    <n v="652"/>
    <n v="1304"/>
    <n v="30"/>
    <n v="391"/>
    <n v="913"/>
    <n v="4"/>
    <s v="Yes"/>
  </r>
  <r>
    <s v="NYK10178"/>
    <s v="2026-04-20"/>
    <s v="Bath &amp; Body"/>
    <s v="Bath Salt"/>
    <x v="3"/>
    <s v="Jaipur"/>
    <s v="Nykaa App"/>
    <s v="New Customer"/>
    <x v="4"/>
    <n v="4"/>
    <n v="225"/>
    <n v="900"/>
    <n v="5"/>
    <n v="45"/>
    <n v="855"/>
    <n v="4.5"/>
    <s v="No"/>
  </r>
  <r>
    <s v="NYK10710"/>
    <s v="2026-04-21"/>
    <s v="Fragrance"/>
    <s v="Perfume"/>
    <x v="5"/>
    <s v="Chennai"/>
    <s v="Nykaa Website"/>
    <s v="Repeat Customer"/>
    <x v="2"/>
    <n v="3"/>
    <n v="1003"/>
    <n v="3009"/>
    <n v="5"/>
    <n v="150"/>
    <n v="2859"/>
    <n v="4"/>
    <s v="No"/>
  </r>
  <r>
    <s v="NYK10216"/>
    <s v="2026-04-21"/>
    <s v="Bath &amp; Body"/>
    <s v="Bath Salt"/>
    <x v="11"/>
    <s v="Hyderabad"/>
    <s v="Nykaa App"/>
    <s v="New Customer"/>
    <x v="4"/>
    <n v="5"/>
    <n v="247"/>
    <n v="1235"/>
    <n v="0"/>
    <n v="0"/>
    <n v="1235"/>
    <n v="4.0999999999999996"/>
    <s v="No"/>
  </r>
  <r>
    <s v="NYK10434"/>
    <s v="2026-04-21"/>
    <s v="Fragrance"/>
    <s v="Deodorant"/>
    <x v="1"/>
    <s v="Delhi"/>
    <s v="Nykaa App"/>
    <s v="Repeat Customer"/>
    <x v="1"/>
    <n v="3"/>
    <n v="975"/>
    <n v="2925"/>
    <n v="10"/>
    <n v="292"/>
    <n v="2633"/>
    <n v="4.3"/>
    <s v="No"/>
  </r>
  <r>
    <s v="NYK10044"/>
    <s v="2026-04-21"/>
    <s v="Bath &amp; Body"/>
    <s v="Bath Salt"/>
    <x v="2"/>
    <s v="Kolkata"/>
    <s v="Nykaa App"/>
    <s v="Premium Member"/>
    <x v="1"/>
    <n v="4"/>
    <n v="704"/>
    <n v="2816"/>
    <n v="30"/>
    <n v="845"/>
    <n v="1971"/>
    <n v="4"/>
    <s v="No"/>
  </r>
  <r>
    <s v="NYK10211"/>
    <s v="2026-04-21"/>
    <s v="Personal Care"/>
    <s v="Hair Dryer"/>
    <x v="0"/>
    <s v="Hyderabad"/>
    <s v="Nykaa App"/>
    <s v="New Customer"/>
    <x v="2"/>
    <n v="3"/>
    <n v="638"/>
    <n v="1914"/>
    <n v="20"/>
    <n v="383"/>
    <n v="1531"/>
    <n v="3.6"/>
    <s v="Yes"/>
  </r>
  <r>
    <s v="NYK10395"/>
    <s v="2026-04-21"/>
    <s v="Bath &amp; Body"/>
    <s v="Body Lotion"/>
    <x v="5"/>
    <s v="Jaipur"/>
    <s v="Nykaa App"/>
    <s v="Repeat Customer"/>
    <x v="1"/>
    <n v="3"/>
    <n v="587"/>
    <n v="1761"/>
    <n v="15"/>
    <n v="264"/>
    <n v="1497"/>
    <n v="4.5999999999999996"/>
    <s v="No"/>
  </r>
  <r>
    <s v="NYK10373"/>
    <s v="2026-04-22"/>
    <s v="Personal Care"/>
    <s v="Hair Dryer"/>
    <x v="2"/>
    <s v="Jaipur"/>
    <s v="Nykaa App"/>
    <s v="New Customer"/>
    <x v="3"/>
    <n v="3"/>
    <n v="1258"/>
    <n v="3774"/>
    <n v="0"/>
    <n v="0"/>
    <n v="3774"/>
    <n v="3.5"/>
    <s v="No"/>
  </r>
  <r>
    <s v="NYK10234"/>
    <s v="2026-04-22"/>
    <s v="Haircare"/>
    <s v="Hair Oil"/>
    <x v="7"/>
    <s v="Bengaluru"/>
    <s v="Nykaa Website"/>
    <s v="Repeat Customer"/>
    <x v="1"/>
    <n v="1"/>
    <n v="188"/>
    <n v="188"/>
    <n v="25"/>
    <n v="47"/>
    <n v="141"/>
    <n v="4.5999999999999996"/>
    <s v="No"/>
  </r>
  <r>
    <s v="NYK10629"/>
    <s v="2026-04-23"/>
    <s v="Fragrance"/>
    <s v="Deodorant"/>
    <x v="11"/>
    <s v="Lucknow"/>
    <s v="Nykaa Website"/>
    <s v="Premium Member"/>
    <x v="0"/>
    <n v="4"/>
    <n v="1498"/>
    <n v="5992"/>
    <n v="20"/>
    <n v="1198"/>
    <n v="4794"/>
    <n v="4.3"/>
    <s v="No"/>
  </r>
  <r>
    <s v="NYK10050"/>
    <s v="2026-04-23"/>
    <s v="Makeup"/>
    <s v="Kajal"/>
    <x v="8"/>
    <s v="Mumbai"/>
    <s v="Nykaa Offline Store"/>
    <s v="Repeat Customer"/>
    <x v="2"/>
    <n v="4"/>
    <n v="1235"/>
    <n v="4940"/>
    <n v="5"/>
    <n v="247"/>
    <n v="4693"/>
    <n v="3.3"/>
    <s v="No"/>
  </r>
  <r>
    <s v="NYK10075"/>
    <s v="2026-04-23"/>
    <s v="Personal Care"/>
    <s v="Face Roller"/>
    <x v="5"/>
    <s v="Ahmedabad"/>
    <s v="Nykaa Website"/>
    <s v="Repeat Customer"/>
    <x v="2"/>
    <n v="3"/>
    <n v="1097"/>
    <n v="3291"/>
    <n v="30"/>
    <n v="987"/>
    <n v="2304"/>
    <n v="4.2"/>
    <s v="No"/>
  </r>
  <r>
    <s v="NYK10354"/>
    <s v="2026-04-24"/>
    <s v="Skincare"/>
    <s v="Moisturizer"/>
    <x v="11"/>
    <s v="Ahmedabad"/>
    <s v="Nykaa Offline Store"/>
    <s v="New Customer"/>
    <x v="3"/>
    <n v="1"/>
    <n v="641"/>
    <n v="641"/>
    <n v="0"/>
    <n v="0"/>
    <n v="641"/>
    <n v="4.8"/>
    <s v="No"/>
  </r>
  <r>
    <s v="NYK10082"/>
    <s v="2026-04-25"/>
    <s v="Personal Care"/>
    <s v="Trimmer"/>
    <x v="0"/>
    <s v="Bengaluru"/>
    <s v="Nykaa App"/>
    <s v="Repeat Customer"/>
    <x v="2"/>
    <n v="3"/>
    <n v="1799"/>
    <n v="5397"/>
    <n v="30"/>
    <n v="1619"/>
    <n v="3778"/>
    <n v="4"/>
    <s v="No"/>
  </r>
  <r>
    <s v="NYK10438"/>
    <s v="2026-04-25"/>
    <s v="Personal Care"/>
    <s v="Trimmer"/>
    <x v="4"/>
    <s v="Jaipur"/>
    <s v="Nykaa App"/>
    <s v="New Customer"/>
    <x v="1"/>
    <n v="2"/>
    <n v="2056"/>
    <n v="4112"/>
    <n v="20"/>
    <n v="822"/>
    <n v="3290"/>
    <n v="3.7"/>
    <s v="No"/>
  </r>
  <r>
    <s v="NYK10267"/>
    <s v="2026-04-26"/>
    <s v="Fragrance"/>
    <s v="Body Mist"/>
    <x v="10"/>
    <s v="Hyderabad"/>
    <s v="Nykaa Offline Store"/>
    <s v="New Customer"/>
    <x v="3"/>
    <n v="3"/>
    <n v="1833"/>
    <n v="5499"/>
    <n v="30"/>
    <n v="1650"/>
    <n v="3849"/>
    <n v="4.9000000000000004"/>
    <s v="No"/>
  </r>
  <r>
    <s v="NYK10527"/>
    <s v="2026-04-26"/>
    <s v="Makeup"/>
    <s v="Lipstick"/>
    <x v="0"/>
    <s v="Ahmedabad"/>
    <s v="Nykaa App"/>
    <s v="Repeat Customer"/>
    <x v="3"/>
    <n v="5"/>
    <n v="699"/>
    <n v="3495"/>
    <n v="15"/>
    <n v="524"/>
    <n v="2971"/>
    <n v="3.9"/>
    <s v="No"/>
  </r>
  <r>
    <s v="NYK10262"/>
    <s v="2026-04-27"/>
    <s v="Personal Care"/>
    <s v="Trimmer"/>
    <x v="5"/>
    <s v="Chennai"/>
    <s v="Nykaa Offline Store"/>
    <s v="New Customer"/>
    <x v="0"/>
    <n v="2"/>
    <n v="2294"/>
    <n v="4588"/>
    <n v="15"/>
    <n v="688"/>
    <n v="3900"/>
    <n v="4.7"/>
    <s v="No"/>
  </r>
  <r>
    <s v="NYK10458"/>
    <s v="2026-04-28"/>
    <s v="Fragrance"/>
    <s v="Perfume"/>
    <x v="3"/>
    <s v="Ahmedabad"/>
    <s v="Nykaa App"/>
    <s v="Repeat Customer"/>
    <x v="4"/>
    <n v="5"/>
    <n v="515"/>
    <n v="2575"/>
    <n v="20"/>
    <n v="515"/>
    <n v="2060"/>
    <n v="3.7"/>
    <s v="No"/>
  </r>
  <r>
    <s v="NYK10530"/>
    <s v="2026-04-29"/>
    <s v="Bath &amp; Body"/>
    <s v="Body Wash"/>
    <x v="3"/>
    <s v="Ahmedabad"/>
    <s v="Nykaa Website"/>
    <s v="New Customer"/>
    <x v="2"/>
    <n v="2"/>
    <n v="310"/>
    <n v="620"/>
    <n v="15"/>
    <n v="93"/>
    <n v="527"/>
    <n v="4.2"/>
    <s v="No"/>
  </r>
  <r>
    <s v="NYK10358"/>
    <s v="2026-04-29"/>
    <s v="Bath &amp; Body"/>
    <s v="Bath Salt"/>
    <x v="4"/>
    <s v="Hyderabad"/>
    <s v="Nykaa Offline Store"/>
    <s v="Repeat Customer"/>
    <x v="4"/>
    <n v="5"/>
    <n v="456"/>
    <n v="2280"/>
    <n v="30"/>
    <n v="684"/>
    <n v="1596"/>
    <n v="3.5"/>
    <s v="No"/>
  </r>
  <r>
    <s v="NYK10683"/>
    <s v="2026-04-30"/>
    <s v="Bath &amp; Body"/>
    <s v="Bath Salt"/>
    <x v="8"/>
    <s v="Hyderabad"/>
    <s v="Nykaa Offline Store"/>
    <s v="New Customer"/>
    <x v="4"/>
    <n v="3"/>
    <n v="380"/>
    <n v="1140"/>
    <n v="15"/>
    <n v="171"/>
    <n v="969"/>
    <n v="4.5"/>
    <s v="No"/>
  </r>
  <r>
    <s v="NYK10413"/>
    <s v="2026-05-02"/>
    <s v="Personal Care"/>
    <s v="Face Roller"/>
    <x v="11"/>
    <s v="Bengaluru"/>
    <s v="Nykaa App"/>
    <s v="New Customer"/>
    <x v="3"/>
    <n v="4"/>
    <n v="591"/>
    <n v="2364"/>
    <n v="20"/>
    <n v="473"/>
    <n v="1891"/>
    <n v="3.8"/>
    <s v="Yes"/>
  </r>
  <r>
    <s v="NYK10368"/>
    <s v="2026-05-04"/>
    <s v="Makeup"/>
    <s v="Foundation"/>
    <x v="4"/>
    <s v="Bengaluru"/>
    <s v="Nykaa Website"/>
    <s v="Repeat Customer"/>
    <x v="3"/>
    <n v="5"/>
    <n v="925"/>
    <n v="4625"/>
    <n v="10"/>
    <n v="462"/>
    <n v="4163"/>
    <n v="3.5"/>
    <s v="No"/>
  </r>
  <r>
    <s v="NYK10573"/>
    <s v="2026-05-05"/>
    <s v="Haircare"/>
    <s v="Hair Serum"/>
    <x v="1"/>
    <s v="Kolkata"/>
    <s v="Nykaa Offline Store"/>
    <s v="Repeat Customer"/>
    <x v="3"/>
    <n v="4"/>
    <n v="241"/>
    <n v="964"/>
    <n v="10"/>
    <n v="96"/>
    <n v="868"/>
    <n v="4.0999999999999996"/>
    <s v="No"/>
  </r>
  <r>
    <s v="NYK10652"/>
    <s v="2026-05-05"/>
    <s v="Bath &amp; Body"/>
    <s v="Body Wash"/>
    <x v="8"/>
    <s v="Kolkata"/>
    <s v="Nykaa App"/>
    <s v="New Customer"/>
    <x v="1"/>
    <n v="1"/>
    <n v="489"/>
    <n v="489"/>
    <n v="0"/>
    <n v="0"/>
    <n v="489"/>
    <n v="3.9"/>
    <s v="Yes"/>
  </r>
  <r>
    <s v="NYK10339"/>
    <s v="2026-05-05"/>
    <s v="Bath &amp; Body"/>
    <s v="Bath Salt"/>
    <x v="11"/>
    <s v="Hyderabad"/>
    <s v="Nykaa Website"/>
    <s v="Premium Member"/>
    <x v="1"/>
    <n v="4"/>
    <n v="264"/>
    <n v="1056"/>
    <n v="25"/>
    <n v="264"/>
    <n v="792"/>
    <n v="3.3"/>
    <s v="Yes"/>
  </r>
  <r>
    <s v="NYK10191"/>
    <s v="2026-05-06"/>
    <s v="Fragrance"/>
    <s v="Perfume"/>
    <x v="11"/>
    <s v="Hyderabad"/>
    <s v="Nykaa App"/>
    <s v="New Customer"/>
    <x v="1"/>
    <n v="3"/>
    <n v="1451"/>
    <n v="4353"/>
    <n v="20"/>
    <n v="871"/>
    <n v="3482"/>
    <n v="4.4000000000000004"/>
    <s v="No"/>
  </r>
  <r>
    <s v="NYK10481"/>
    <s v="2026-05-06"/>
    <s v="Makeup"/>
    <s v="Kajal"/>
    <x v="10"/>
    <s v="Lucknow"/>
    <s v="Nykaa App"/>
    <s v="New Customer"/>
    <x v="0"/>
    <n v="3"/>
    <n v="811"/>
    <n v="2433"/>
    <n v="0"/>
    <n v="0"/>
    <n v="2433"/>
    <n v="4.5999999999999996"/>
    <s v="No"/>
  </r>
  <r>
    <s v="NYK10067"/>
    <s v="2026-05-06"/>
    <s v="Fragrance"/>
    <s v="Body Mist"/>
    <x v="10"/>
    <s v="Chennai"/>
    <s v="Nykaa App"/>
    <s v="New Customer"/>
    <x v="4"/>
    <n v="5"/>
    <n v="2876"/>
    <n v="14380"/>
    <n v="30"/>
    <n v="4314"/>
    <n v="10066"/>
    <n v="4.4000000000000004"/>
    <s v="No"/>
  </r>
  <r>
    <s v="NYK10529"/>
    <s v="2026-05-06"/>
    <s v="Haircare"/>
    <s v="Conditioner"/>
    <x v="6"/>
    <s v="Bengaluru"/>
    <s v="Nykaa Website"/>
    <s v="Repeat Customer"/>
    <x v="4"/>
    <n v="2"/>
    <n v="640"/>
    <n v="1280"/>
    <n v="20"/>
    <n v="256"/>
    <n v="1024"/>
    <n v="4.7"/>
    <s v="No"/>
  </r>
  <r>
    <s v="NYK10748"/>
    <s v="2026-05-07"/>
    <s v="Haircare"/>
    <s v="Hair Serum"/>
    <x v="3"/>
    <s v="Ahmedabad"/>
    <s v="Nykaa App"/>
    <s v="Repeat Customer"/>
    <x v="0"/>
    <n v="3"/>
    <n v="513"/>
    <n v="1539"/>
    <n v="15"/>
    <n v="231"/>
    <n v="1308"/>
    <n v="5"/>
    <s v="No"/>
  </r>
  <r>
    <s v="NYK10085"/>
    <s v="2026-05-07"/>
    <s v="Personal Care"/>
    <s v="Hair Dryer"/>
    <x v="2"/>
    <s v="Ahmedabad"/>
    <s v="Nykaa Website"/>
    <s v="Premium Member"/>
    <x v="3"/>
    <n v="5"/>
    <n v="2083"/>
    <n v="10415"/>
    <n v="5"/>
    <n v="521"/>
    <n v="9894"/>
    <n v="4.3"/>
    <s v="No"/>
  </r>
  <r>
    <s v="NYK10447"/>
    <s v="2026-05-07"/>
    <s v="Bath &amp; Body"/>
    <s v="Bath Salt"/>
    <x v="6"/>
    <s v="Lucknow"/>
    <s v="Nykaa Website"/>
    <s v="Repeat Customer"/>
    <x v="3"/>
    <n v="1"/>
    <n v="383"/>
    <n v="383"/>
    <n v="25"/>
    <n v="96"/>
    <n v="287"/>
    <n v="4.5999999999999996"/>
    <s v="No"/>
  </r>
  <r>
    <s v="NYK10749"/>
    <s v="2026-05-07"/>
    <s v="Skincare"/>
    <s v="Serum"/>
    <x v="6"/>
    <s v="Hyderabad"/>
    <s v="Nykaa Website"/>
    <s v="Premium Member"/>
    <x v="4"/>
    <n v="5"/>
    <n v="337"/>
    <n v="1685"/>
    <n v="15"/>
    <n v="253"/>
    <n v="1432"/>
    <n v="4.5999999999999996"/>
    <s v="No"/>
  </r>
  <r>
    <s v="NYK10607"/>
    <s v="2026-05-07"/>
    <s v="Makeup"/>
    <s v="Compact"/>
    <x v="10"/>
    <s v="Lucknow"/>
    <s v="Nykaa Website"/>
    <s v="Repeat Customer"/>
    <x v="0"/>
    <n v="3"/>
    <n v="754"/>
    <n v="2262"/>
    <n v="15"/>
    <n v="339"/>
    <n v="1923"/>
    <n v="3.7"/>
    <s v="No"/>
  </r>
  <r>
    <s v="NYK10242"/>
    <s v="2026-05-07"/>
    <s v="Haircare"/>
    <s v="Conditioner"/>
    <x v="7"/>
    <s v="Jaipur"/>
    <s v="Nykaa App"/>
    <s v="New Customer"/>
    <x v="0"/>
    <n v="2"/>
    <n v="570"/>
    <n v="1140"/>
    <n v="0"/>
    <n v="0"/>
    <n v="1140"/>
    <n v="3.6"/>
    <s v="No"/>
  </r>
  <r>
    <s v="NYK10005"/>
    <s v="2026-05-08"/>
    <s v="Personal Care"/>
    <s v="Hair Dryer"/>
    <x v="8"/>
    <s v="Bengaluru"/>
    <s v="Nykaa App"/>
    <s v="New Customer"/>
    <x v="2"/>
    <n v="4"/>
    <n v="966"/>
    <n v="3864"/>
    <n v="25"/>
    <n v="966"/>
    <n v="2898"/>
    <n v="4.4000000000000004"/>
    <s v="No"/>
  </r>
  <r>
    <s v="NYK10130"/>
    <s v="2026-05-08"/>
    <s v="Makeup"/>
    <s v="Foundation"/>
    <x v="7"/>
    <s v="Jaipur"/>
    <s v="Nykaa App"/>
    <s v="Repeat Customer"/>
    <x v="3"/>
    <n v="3"/>
    <n v="333"/>
    <n v="999"/>
    <n v="5"/>
    <n v="50"/>
    <n v="949"/>
    <n v="4"/>
    <s v="No"/>
  </r>
  <r>
    <s v="NYK10450"/>
    <s v="2026-05-08"/>
    <s v="Fragrance"/>
    <s v="Deodorant"/>
    <x v="2"/>
    <s v="Kolkata"/>
    <s v="Nykaa Website"/>
    <s v="New Customer"/>
    <x v="4"/>
    <n v="5"/>
    <n v="1839"/>
    <n v="9195"/>
    <n v="25"/>
    <n v="2299"/>
    <n v="6896"/>
    <n v="4.8"/>
    <s v="No"/>
  </r>
  <r>
    <s v="NYK10119"/>
    <s v="2026-05-09"/>
    <s v="Fragrance"/>
    <s v="Body Mist"/>
    <x v="7"/>
    <s v="Bengaluru"/>
    <s v="Nykaa App"/>
    <s v="Premium Member"/>
    <x v="2"/>
    <n v="4"/>
    <n v="2435"/>
    <n v="9740"/>
    <n v="25"/>
    <n v="2435"/>
    <n v="7305"/>
    <n v="4.3"/>
    <s v="No"/>
  </r>
  <r>
    <s v="NYK10712"/>
    <s v="2026-05-10"/>
    <s v="Haircare"/>
    <s v="Hair Oil"/>
    <x v="4"/>
    <s v="Bengaluru"/>
    <s v="Nykaa App"/>
    <s v="New Customer"/>
    <x v="4"/>
    <n v="4"/>
    <n v="538"/>
    <n v="2152"/>
    <n v="25"/>
    <n v="538"/>
    <n v="1614"/>
    <n v="3.5"/>
    <s v="No"/>
  </r>
  <r>
    <s v="NYK10464"/>
    <s v="2026-05-11"/>
    <s v="Bath &amp; Body"/>
    <s v="Body Wash"/>
    <x v="9"/>
    <s v="Lucknow"/>
    <s v="Nykaa App"/>
    <s v="Repeat Customer"/>
    <x v="2"/>
    <n v="4"/>
    <n v="674"/>
    <n v="2696"/>
    <n v="20"/>
    <n v="539"/>
    <n v="2157"/>
    <n v="3.6"/>
    <s v="No"/>
  </r>
  <r>
    <s v="NYK10583"/>
    <s v="2026-05-11"/>
    <s v="Personal Care"/>
    <s v="Face Roller"/>
    <x v="9"/>
    <s v="Chennai"/>
    <s v="Nykaa App"/>
    <s v="Repeat Customer"/>
    <x v="2"/>
    <n v="1"/>
    <n v="2164"/>
    <n v="2164"/>
    <n v="20"/>
    <n v="433"/>
    <n v="1731"/>
    <n v="3.6"/>
    <s v="No"/>
  </r>
  <r>
    <s v="NYK10619"/>
    <s v="2026-05-11"/>
    <s v="Skincare"/>
    <s v="Serum"/>
    <x v="10"/>
    <s v="Bengaluru"/>
    <s v="Nykaa App"/>
    <s v="Repeat Customer"/>
    <x v="0"/>
    <n v="5"/>
    <n v="709"/>
    <n v="3545"/>
    <n v="15"/>
    <n v="532"/>
    <n v="3013"/>
    <n v="4.4000000000000004"/>
    <s v="No"/>
  </r>
  <r>
    <s v="NYK10725"/>
    <s v="2026-05-12"/>
    <s v="Skincare"/>
    <s v="Moisturizer"/>
    <x v="2"/>
    <s v="Delhi"/>
    <s v="Nykaa App"/>
    <s v="Repeat Customer"/>
    <x v="3"/>
    <n v="5"/>
    <n v="394"/>
    <n v="1970"/>
    <n v="5"/>
    <n v="98"/>
    <n v="1872"/>
    <n v="3.9"/>
    <s v="No"/>
  </r>
  <r>
    <s v="NYK10435"/>
    <s v="2026-05-12"/>
    <s v="Haircare"/>
    <s v="Conditioner"/>
    <x v="10"/>
    <s v="Ahmedabad"/>
    <s v="Nykaa Website"/>
    <s v="Repeat Customer"/>
    <x v="3"/>
    <n v="2"/>
    <n v="732"/>
    <n v="1464"/>
    <n v="5"/>
    <n v="73"/>
    <n v="1391"/>
    <n v="4.5999999999999996"/>
    <s v="No"/>
  </r>
  <r>
    <s v="NYK10062"/>
    <s v="2026-05-13"/>
    <s v="Fragrance"/>
    <s v="Body Mist"/>
    <x v="5"/>
    <s v="Hyderabad"/>
    <s v="Nykaa Website"/>
    <s v="New Customer"/>
    <x v="2"/>
    <n v="3"/>
    <n v="2649"/>
    <n v="7947"/>
    <n v="15"/>
    <n v="1192"/>
    <n v="6755"/>
    <n v="3.7"/>
    <s v="No"/>
  </r>
  <r>
    <s v="NYK10536"/>
    <s v="2026-05-13"/>
    <s v="Fragrance"/>
    <s v="Deodorant"/>
    <x v="0"/>
    <s v="Mumbai"/>
    <s v="Nykaa App"/>
    <s v="New Customer"/>
    <x v="4"/>
    <n v="1"/>
    <n v="1901"/>
    <n v="1901"/>
    <n v="30"/>
    <n v="570"/>
    <n v="1331"/>
    <n v="3.6"/>
    <s v="Yes"/>
  </r>
  <r>
    <s v="NYK10436"/>
    <s v="2026-05-14"/>
    <s v="Skincare"/>
    <s v="Face Wash"/>
    <x v="3"/>
    <s v="Bengaluru"/>
    <s v="Nykaa Website"/>
    <s v="Repeat Customer"/>
    <x v="0"/>
    <n v="3"/>
    <n v="1132"/>
    <n v="3396"/>
    <n v="0"/>
    <n v="0"/>
    <n v="3396"/>
    <n v="3.7"/>
    <s v="No"/>
  </r>
  <r>
    <s v="NYK10090"/>
    <s v="2026-05-14"/>
    <s v="Makeup"/>
    <s v="Compact"/>
    <x v="2"/>
    <s v="Jaipur"/>
    <s v="Nykaa App"/>
    <s v="Repeat Customer"/>
    <x v="0"/>
    <n v="4"/>
    <n v="1199"/>
    <n v="4796"/>
    <n v="10"/>
    <n v="480"/>
    <n v="4316"/>
    <n v="4.4000000000000004"/>
    <s v="No"/>
  </r>
  <r>
    <s v="NYK10313"/>
    <s v="2026-05-15"/>
    <s v="Skincare"/>
    <s v="Face Mask"/>
    <x v="6"/>
    <s v="Lucknow"/>
    <s v="Nykaa Website"/>
    <s v="Repeat Customer"/>
    <x v="0"/>
    <n v="5"/>
    <n v="1162"/>
    <n v="5810"/>
    <n v="0"/>
    <n v="0"/>
    <n v="5810"/>
    <n v="3.7"/>
    <s v="No"/>
  </r>
  <r>
    <s v="NYK10584"/>
    <s v="2026-05-16"/>
    <s v="Haircare"/>
    <s v="Hair Serum"/>
    <x v="3"/>
    <s v="Delhi"/>
    <s v="Nykaa Website"/>
    <s v="Repeat Customer"/>
    <x v="4"/>
    <n v="3"/>
    <n v="381"/>
    <n v="1143"/>
    <n v="20"/>
    <n v="229"/>
    <n v="914"/>
    <n v="4.5999999999999996"/>
    <s v="No"/>
  </r>
  <r>
    <s v="NYK10496"/>
    <s v="2026-05-16"/>
    <s v="Skincare"/>
    <s v="Sunscreen"/>
    <x v="11"/>
    <s v="Mumbai"/>
    <s v="Nykaa App"/>
    <s v="New Customer"/>
    <x v="4"/>
    <n v="1"/>
    <n v="1321"/>
    <n v="1321"/>
    <n v="10"/>
    <n v="132"/>
    <n v="1189"/>
    <n v="3.7"/>
    <s v="No"/>
  </r>
  <r>
    <s v="NYK10420"/>
    <s v="2026-05-16"/>
    <s v="Personal Care"/>
    <s v="Face Roller"/>
    <x v="7"/>
    <s v="Lucknow"/>
    <s v="Nykaa App"/>
    <s v="New Customer"/>
    <x v="4"/>
    <n v="1"/>
    <n v="426"/>
    <n v="426"/>
    <n v="5"/>
    <n v="21"/>
    <n v="405"/>
    <n v="4.4000000000000004"/>
    <s v="Yes"/>
  </r>
  <r>
    <s v="NYK10488"/>
    <s v="2026-05-17"/>
    <s v="Personal Care"/>
    <s v="Hair Dryer"/>
    <x v="4"/>
    <s v="Pune"/>
    <s v="Nykaa Website"/>
    <s v="Repeat Customer"/>
    <x v="2"/>
    <n v="5"/>
    <n v="843"/>
    <n v="4215"/>
    <n v="5"/>
    <n v="211"/>
    <n v="4004"/>
    <n v="4.0999999999999996"/>
    <s v="No"/>
  </r>
  <r>
    <s v="NYK10442"/>
    <s v="2026-05-17"/>
    <s v="Bath &amp; Body"/>
    <s v="Body Wash"/>
    <x v="2"/>
    <s v="Chennai"/>
    <s v="Nykaa Website"/>
    <s v="Premium Member"/>
    <x v="0"/>
    <n v="5"/>
    <n v="766"/>
    <n v="3830"/>
    <n v="5"/>
    <n v="192"/>
    <n v="3638"/>
    <n v="3.5"/>
    <s v="No"/>
  </r>
  <r>
    <s v="NYK10587"/>
    <s v="2026-05-17"/>
    <s v="Fragrance"/>
    <s v="Body Mist"/>
    <x v="11"/>
    <s v="Mumbai"/>
    <s v="Nykaa App"/>
    <s v="New Customer"/>
    <x v="3"/>
    <n v="2"/>
    <n v="875"/>
    <n v="1750"/>
    <n v="25"/>
    <n v="438"/>
    <n v="1312"/>
    <n v="4.5999999999999996"/>
    <s v="No"/>
  </r>
  <r>
    <s v="NYK10209"/>
    <s v="2026-05-17"/>
    <s v="Haircare"/>
    <s v="Conditioner"/>
    <x v="11"/>
    <s v="Ahmedabad"/>
    <s v="Nykaa Website"/>
    <s v="New Customer"/>
    <x v="0"/>
    <n v="2"/>
    <n v="408"/>
    <n v="816"/>
    <n v="15"/>
    <n v="122"/>
    <n v="694"/>
    <n v="3.8"/>
    <s v="No"/>
  </r>
  <r>
    <s v="NYK10534"/>
    <s v="2026-05-17"/>
    <s v="Fragrance"/>
    <s v="Perfume"/>
    <x v="10"/>
    <s v="Ahmedabad"/>
    <s v="Nykaa Website"/>
    <s v="New Customer"/>
    <x v="0"/>
    <n v="4"/>
    <n v="2733"/>
    <n v="10932"/>
    <n v="10"/>
    <n v="1093"/>
    <n v="9839"/>
    <n v="4.2"/>
    <s v="No"/>
  </r>
  <r>
    <s v="NYK10513"/>
    <s v="2026-05-19"/>
    <s v="Haircare"/>
    <s v="Hair Serum"/>
    <x v="8"/>
    <s v="Pune"/>
    <s v="Nykaa App"/>
    <s v="Premium Member"/>
    <x v="2"/>
    <n v="2"/>
    <n v="268"/>
    <n v="536"/>
    <n v="5"/>
    <n v="27"/>
    <n v="509"/>
    <n v="3.2"/>
    <s v="Yes"/>
  </r>
  <r>
    <s v="NYK10599"/>
    <s v="2026-05-19"/>
    <s v="Personal Care"/>
    <s v="Hair Dryer"/>
    <x v="9"/>
    <s v="Ahmedabad"/>
    <s v="Nykaa Website"/>
    <s v="New Customer"/>
    <x v="2"/>
    <n v="2"/>
    <n v="1718"/>
    <n v="3436"/>
    <n v="10"/>
    <n v="344"/>
    <n v="3092"/>
    <n v="4.2"/>
    <s v="No"/>
  </r>
  <r>
    <s v="NYK10642"/>
    <s v="2026-05-20"/>
    <s v="Makeup"/>
    <s v="Mascara"/>
    <x v="2"/>
    <s v="Jaipur"/>
    <s v="Nykaa Offline Store"/>
    <s v="Repeat Customer"/>
    <x v="4"/>
    <n v="3"/>
    <n v="993"/>
    <n v="2979"/>
    <n v="10"/>
    <n v="298"/>
    <n v="2681"/>
    <n v="4.8"/>
    <s v="No"/>
  </r>
  <r>
    <s v="NYK10306"/>
    <s v="2026-05-21"/>
    <s v="Haircare"/>
    <s v="Conditioner"/>
    <x v="10"/>
    <s v="Mumbai"/>
    <s v="Nykaa App"/>
    <s v="New Customer"/>
    <x v="3"/>
    <n v="5"/>
    <n v="799"/>
    <n v="3995"/>
    <n v="15"/>
    <n v="599"/>
    <n v="3396"/>
    <n v="4.5999999999999996"/>
    <s v="No"/>
  </r>
  <r>
    <s v="NYK10106"/>
    <s v="2026-05-21"/>
    <s v="Skincare"/>
    <s v="Moisturizer"/>
    <x v="11"/>
    <s v="Mumbai"/>
    <s v="Nykaa App"/>
    <s v="Repeat Customer"/>
    <x v="2"/>
    <n v="4"/>
    <n v="843"/>
    <n v="3372"/>
    <n v="5"/>
    <n v="169"/>
    <n v="3203"/>
    <n v="3.9"/>
    <s v="No"/>
  </r>
  <r>
    <s v="NYK10588"/>
    <s v="2026-05-21"/>
    <s v="Fragrance"/>
    <s v="Deodorant"/>
    <x v="8"/>
    <s v="Hyderabad"/>
    <s v="Nykaa Website"/>
    <s v="New Customer"/>
    <x v="1"/>
    <n v="2"/>
    <n v="1140"/>
    <n v="2280"/>
    <n v="20"/>
    <n v="456"/>
    <n v="1824"/>
    <n v="3.6"/>
    <s v="No"/>
  </r>
  <r>
    <s v="NYK10307"/>
    <s v="2026-05-21"/>
    <s v="Makeup"/>
    <s v="Mascara"/>
    <x v="4"/>
    <s v="Kolkata"/>
    <s v="Nykaa App"/>
    <s v="Premium Member"/>
    <x v="2"/>
    <n v="1"/>
    <n v="240"/>
    <n v="240"/>
    <n v="5"/>
    <n v="12"/>
    <n v="228"/>
    <n v="4.5"/>
    <s v="Yes"/>
  </r>
  <r>
    <s v="NYK10246"/>
    <s v="2026-05-21"/>
    <s v="Haircare"/>
    <s v="Hair Serum"/>
    <x v="5"/>
    <s v="Delhi"/>
    <s v="Nykaa App"/>
    <s v="Repeat Customer"/>
    <x v="3"/>
    <n v="1"/>
    <n v="357"/>
    <n v="357"/>
    <n v="15"/>
    <n v="54"/>
    <n v="303"/>
    <n v="3.4"/>
    <s v="No"/>
  </r>
  <r>
    <s v="NYK10499"/>
    <s v="2026-05-23"/>
    <s v="Makeup"/>
    <s v="Compact"/>
    <x v="11"/>
    <s v="Bengaluru"/>
    <s v="Nykaa App"/>
    <s v="Repeat Customer"/>
    <x v="1"/>
    <n v="1"/>
    <n v="905"/>
    <n v="905"/>
    <n v="30"/>
    <n v="272"/>
    <n v="633"/>
    <n v="4.7"/>
    <s v="No"/>
  </r>
  <r>
    <s v="NYK10367"/>
    <s v="2026-05-23"/>
    <s v="Fragrance"/>
    <s v="Body Mist"/>
    <x v="5"/>
    <s v="Mumbai"/>
    <s v="Nykaa Website"/>
    <s v="Repeat Customer"/>
    <x v="1"/>
    <n v="1"/>
    <n v="1040"/>
    <n v="1040"/>
    <n v="20"/>
    <n v="208"/>
    <n v="832"/>
    <n v="5"/>
    <s v="No"/>
  </r>
  <r>
    <s v="NYK10505"/>
    <s v="2026-05-23"/>
    <s v="Personal Care"/>
    <s v="Trimmer"/>
    <x v="5"/>
    <s v="Delhi"/>
    <s v="Nykaa Website"/>
    <s v="New Customer"/>
    <x v="4"/>
    <n v="2"/>
    <n v="1189"/>
    <n v="2378"/>
    <n v="30"/>
    <n v="713"/>
    <n v="1665"/>
    <n v="4.8"/>
    <s v="No"/>
  </r>
  <r>
    <s v="NYK10168"/>
    <s v="2026-05-23"/>
    <s v="Skincare"/>
    <s v="Face Mask"/>
    <x v="3"/>
    <s v="Hyderabad"/>
    <s v="Nykaa App"/>
    <s v="Repeat Customer"/>
    <x v="2"/>
    <n v="1"/>
    <n v="1116"/>
    <n v="1116"/>
    <n v="5"/>
    <n v="56"/>
    <n v="1060"/>
    <n v="3.2"/>
    <s v="No"/>
  </r>
  <r>
    <s v="NYK10402"/>
    <s v="2026-05-24"/>
    <s v="Bath &amp; Body"/>
    <s v="Body Wash"/>
    <x v="7"/>
    <s v="Jaipur"/>
    <s v="Nykaa App"/>
    <s v="New Customer"/>
    <x v="4"/>
    <n v="2"/>
    <n v="672"/>
    <n v="1344"/>
    <n v="15"/>
    <n v="202"/>
    <n v="1142"/>
    <n v="3.8"/>
    <s v="No"/>
  </r>
  <r>
    <s v="NYK10466"/>
    <s v="2026-05-24"/>
    <s v="Personal Care"/>
    <s v="Trimmer"/>
    <x v="2"/>
    <s v="Hyderabad"/>
    <s v="Nykaa Website"/>
    <s v="New Customer"/>
    <x v="0"/>
    <n v="3"/>
    <n v="1030"/>
    <n v="3090"/>
    <n v="20"/>
    <n v="618"/>
    <n v="2472"/>
    <n v="3.8"/>
    <s v="No"/>
  </r>
  <r>
    <s v="NYK10151"/>
    <s v="2026-05-25"/>
    <s v="Personal Care"/>
    <s v="Hair Dryer"/>
    <x v="6"/>
    <s v="Chennai"/>
    <s v="Nykaa App"/>
    <s v="Repeat Customer"/>
    <x v="2"/>
    <n v="3"/>
    <n v="1351"/>
    <n v="4053"/>
    <n v="25"/>
    <n v="1013"/>
    <n v="3040"/>
    <n v="3.3"/>
    <s v="No"/>
  </r>
  <r>
    <s v="NYK10726"/>
    <s v="2026-05-25"/>
    <s v="Makeup"/>
    <s v="Compact"/>
    <x v="3"/>
    <s v="Mumbai"/>
    <s v="Nykaa App"/>
    <s v="Repeat Customer"/>
    <x v="2"/>
    <n v="3"/>
    <n v="347"/>
    <n v="1041"/>
    <n v="10"/>
    <n v="104"/>
    <n v="937"/>
    <n v="4.4000000000000004"/>
    <s v="No"/>
  </r>
  <r>
    <s v="NYK10032"/>
    <s v="2026-05-25"/>
    <s v="Skincare"/>
    <s v="Sunscreen"/>
    <x v="10"/>
    <s v="Jaipur"/>
    <s v="Nykaa App"/>
    <s v="Premium Member"/>
    <x v="4"/>
    <n v="3"/>
    <n v="1426"/>
    <n v="4278"/>
    <n v="0"/>
    <n v="0"/>
    <n v="4278"/>
    <n v="4.8"/>
    <s v="No"/>
  </r>
  <r>
    <s v="NYK10316"/>
    <s v="2026-05-26"/>
    <s v="Skincare"/>
    <s v="Face Wash"/>
    <x v="6"/>
    <s v="Hyderabad"/>
    <s v="Nykaa App"/>
    <s v="Premium Member"/>
    <x v="1"/>
    <n v="4"/>
    <n v="359"/>
    <n v="1436"/>
    <n v="30"/>
    <n v="431"/>
    <n v="1005"/>
    <n v="3.5"/>
    <s v="No"/>
  </r>
  <r>
    <s v="NYK10453"/>
    <s v="2026-05-27"/>
    <s v="Bath &amp; Body"/>
    <s v="Body Lotion"/>
    <x v="0"/>
    <s v="Ahmedabad"/>
    <s v="Nykaa App"/>
    <s v="Repeat Customer"/>
    <x v="3"/>
    <n v="5"/>
    <n v="759"/>
    <n v="3795"/>
    <n v="25"/>
    <n v="949"/>
    <n v="2846"/>
    <n v="4.2"/>
    <s v="No"/>
  </r>
  <r>
    <s v="NYK10541"/>
    <s v="2026-05-27"/>
    <s v="Haircare"/>
    <s v="Hair Serum"/>
    <x v="0"/>
    <s v="Mumbai"/>
    <s v="Nykaa App"/>
    <s v="New Customer"/>
    <x v="3"/>
    <n v="5"/>
    <n v="697"/>
    <n v="3485"/>
    <n v="15"/>
    <n v="523"/>
    <n v="2962"/>
    <n v="4.2"/>
    <s v="No"/>
  </r>
  <r>
    <s v="NYK10241"/>
    <s v="2026-05-27"/>
    <s v="Makeup"/>
    <s v="Foundation"/>
    <x v="6"/>
    <s v="Delhi"/>
    <s v="Nykaa App"/>
    <s v="Repeat Customer"/>
    <x v="4"/>
    <n v="3"/>
    <n v="1056"/>
    <n v="3168"/>
    <n v="25"/>
    <n v="792"/>
    <n v="2376"/>
    <n v="3.2"/>
    <s v="No"/>
  </r>
  <r>
    <s v="NYK10136"/>
    <s v="2026-05-28"/>
    <s v="Fragrance"/>
    <s v="Deodorant"/>
    <x v="2"/>
    <s v="Hyderabad"/>
    <s v="Nykaa App"/>
    <s v="Premium Member"/>
    <x v="0"/>
    <n v="3"/>
    <n v="1182"/>
    <n v="3546"/>
    <n v="30"/>
    <n v="1064"/>
    <n v="2482"/>
    <n v="3.9"/>
    <s v="No"/>
  </r>
  <r>
    <s v="NYK10297"/>
    <s v="2026-05-28"/>
    <s v="Skincare"/>
    <s v="Serum"/>
    <x v="9"/>
    <s v="Bengaluru"/>
    <s v="Nykaa Website"/>
    <s v="New Customer"/>
    <x v="1"/>
    <n v="5"/>
    <n v="1265"/>
    <n v="6325"/>
    <n v="10"/>
    <n v="632"/>
    <n v="5693"/>
    <n v="4.5"/>
    <s v="No"/>
  </r>
  <r>
    <s v="NYK10347"/>
    <s v="2026-05-28"/>
    <s v="Personal Care"/>
    <s v="Hair Dryer"/>
    <x v="4"/>
    <s v="Delhi"/>
    <s v="Nykaa Website"/>
    <s v="New Customer"/>
    <x v="2"/>
    <n v="3"/>
    <n v="479"/>
    <n v="1437"/>
    <n v="0"/>
    <n v="0"/>
    <n v="1437"/>
    <n v="3.3"/>
    <s v="No"/>
  </r>
  <r>
    <s v="NYK10351"/>
    <s v="2026-05-28"/>
    <s v="Makeup"/>
    <s v="Kajal"/>
    <x v="1"/>
    <s v="Pune"/>
    <s v="Nykaa Offline Store"/>
    <s v="New Customer"/>
    <x v="4"/>
    <n v="2"/>
    <n v="335"/>
    <n v="670"/>
    <n v="0"/>
    <n v="0"/>
    <n v="670"/>
    <n v="4.2"/>
    <s v="No"/>
  </r>
  <r>
    <s v="NYK10215"/>
    <s v="2026-05-28"/>
    <s v="Bath &amp; Body"/>
    <s v="Bath Salt"/>
    <x v="1"/>
    <s v="Kolkata"/>
    <s v="Nykaa Offline Store"/>
    <s v="New Customer"/>
    <x v="2"/>
    <n v="1"/>
    <n v="156"/>
    <n v="156"/>
    <n v="10"/>
    <n v="16"/>
    <n v="140"/>
    <n v="3.6"/>
    <s v="No"/>
  </r>
  <r>
    <s v="NYK10537"/>
    <s v="2026-05-29"/>
    <s v="Makeup"/>
    <s v="Mascara"/>
    <x v="8"/>
    <s v="Ahmedabad"/>
    <s v="Nykaa Website"/>
    <s v="Repeat Customer"/>
    <x v="3"/>
    <n v="2"/>
    <n v="552"/>
    <n v="1104"/>
    <n v="10"/>
    <n v="110"/>
    <n v="994"/>
    <n v="4.0999999999999996"/>
    <s v="No"/>
  </r>
  <r>
    <s v="NYK10448"/>
    <s v="2026-05-29"/>
    <s v="Bath &amp; Body"/>
    <s v="Body Wash"/>
    <x v="11"/>
    <s v="Pune"/>
    <s v="Nykaa App"/>
    <s v="New Customer"/>
    <x v="2"/>
    <n v="2"/>
    <n v="255"/>
    <n v="510"/>
    <n v="5"/>
    <n v="26"/>
    <n v="484"/>
    <n v="3.3"/>
    <s v="No"/>
  </r>
  <r>
    <s v="NYK10272"/>
    <s v="2026-05-29"/>
    <s v="Fragrance"/>
    <s v="Body Mist"/>
    <x v="0"/>
    <s v="Pune"/>
    <s v="Nykaa App"/>
    <s v="Premium Member"/>
    <x v="4"/>
    <n v="3"/>
    <n v="1057"/>
    <n v="3171"/>
    <n v="20"/>
    <n v="634"/>
    <n v="2537"/>
    <n v="4.7"/>
    <s v="No"/>
  </r>
  <r>
    <s v="NYK10600"/>
    <s v="2026-05-29"/>
    <s v="Makeup"/>
    <s v="Mascara"/>
    <x v="11"/>
    <s v="Bengaluru"/>
    <s v="Nykaa Website"/>
    <s v="Repeat Customer"/>
    <x v="1"/>
    <n v="4"/>
    <n v="725"/>
    <n v="2900"/>
    <n v="25"/>
    <n v="725"/>
    <n v="2175"/>
    <n v="3.4"/>
    <s v="No"/>
  </r>
  <r>
    <s v="NYK10236"/>
    <s v="2026-05-29"/>
    <s v="Skincare"/>
    <s v="Sunscreen"/>
    <x v="1"/>
    <s v="Bengaluru"/>
    <s v="Nykaa App"/>
    <s v="Repeat Customer"/>
    <x v="3"/>
    <n v="4"/>
    <n v="1086"/>
    <n v="4344"/>
    <n v="25"/>
    <n v="1086"/>
    <n v="3258"/>
    <n v="3.4"/>
    <s v="No"/>
  </r>
  <r>
    <s v="NYK10585"/>
    <s v="2026-05-30"/>
    <s v="Makeup"/>
    <s v="Kajal"/>
    <x v="8"/>
    <s v="Chennai"/>
    <s v="Nykaa App"/>
    <s v="New Customer"/>
    <x v="4"/>
    <n v="3"/>
    <n v="419"/>
    <n v="1257"/>
    <n v="15"/>
    <n v="189"/>
    <n v="1068"/>
    <n v="3.7"/>
    <s v="No"/>
  </r>
  <r>
    <s v="NYK10018"/>
    <s v="2026-05-30"/>
    <s v="Bath &amp; Body"/>
    <s v="Body Lotion"/>
    <x v="2"/>
    <s v="Jaipur"/>
    <s v="Nykaa Website"/>
    <s v="Premium Member"/>
    <x v="3"/>
    <n v="2"/>
    <n v="413"/>
    <n v="826"/>
    <n v="15"/>
    <n v="124"/>
    <n v="702"/>
    <n v="3.6"/>
    <s v="No"/>
  </r>
  <r>
    <s v="NYK10325"/>
    <s v="2026-05-31"/>
    <s v="Haircare"/>
    <s v="Shampoo"/>
    <x v="0"/>
    <s v="Mumbai"/>
    <s v="Nykaa App"/>
    <s v="Repeat Customer"/>
    <x v="4"/>
    <n v="5"/>
    <n v="149"/>
    <n v="745"/>
    <n v="0"/>
    <n v="0"/>
    <n v="745"/>
    <n v="4.5999999999999996"/>
    <s v="Yes"/>
  </r>
  <r>
    <s v="NYK10515"/>
    <s v="2026-05-31"/>
    <s v="Fragrance"/>
    <s v="Perfume"/>
    <x v="3"/>
    <s v="Jaipur"/>
    <s v="Nykaa App"/>
    <s v="Repeat Customer"/>
    <x v="4"/>
    <n v="2"/>
    <n v="2352"/>
    <n v="4704"/>
    <n v="5"/>
    <n v="235"/>
    <n v="4469"/>
    <n v="4.9000000000000004"/>
    <s v="No"/>
  </r>
  <r>
    <s v="NYK10251"/>
    <s v="2026-06-01"/>
    <s v="Skincare"/>
    <s v="Face Mask"/>
    <x v="11"/>
    <s v="Kolkata"/>
    <s v="Nykaa App"/>
    <s v="New Customer"/>
    <x v="1"/>
    <n v="3"/>
    <n v="1290"/>
    <n v="3870"/>
    <n v="20"/>
    <n v="774"/>
    <n v="3096"/>
    <n v="3.9"/>
    <s v="No"/>
  </r>
  <r>
    <s v="NYK10445"/>
    <s v="2026-06-01"/>
    <s v="Makeup"/>
    <s v="Compact"/>
    <x v="9"/>
    <s v="Lucknow"/>
    <s v="Nykaa Offline Store"/>
    <s v="New Customer"/>
    <x v="4"/>
    <n v="5"/>
    <n v="1242"/>
    <n v="6210"/>
    <n v="0"/>
    <n v="0"/>
    <n v="6210"/>
    <n v="3.5"/>
    <s v="No"/>
  </r>
  <r>
    <s v="NYK10722"/>
    <s v="2026-06-02"/>
    <s v="Fragrance"/>
    <s v="Perfume"/>
    <x v="8"/>
    <s v="Chennai"/>
    <s v="Nykaa Website"/>
    <s v="New Customer"/>
    <x v="0"/>
    <n v="2"/>
    <n v="1527"/>
    <n v="3054"/>
    <n v="30"/>
    <n v="916"/>
    <n v="2138"/>
    <n v="4.3"/>
    <s v="Yes"/>
  </r>
  <r>
    <s v="NYK10022"/>
    <s v="2026-06-02"/>
    <s v="Bath &amp; Body"/>
    <s v="Body Lotion"/>
    <x v="4"/>
    <s v="Lucknow"/>
    <s v="Nykaa Website"/>
    <s v="New Customer"/>
    <x v="1"/>
    <n v="2"/>
    <n v="584"/>
    <n v="1168"/>
    <n v="10"/>
    <n v="117"/>
    <n v="1051"/>
    <n v="3.6"/>
    <s v="No"/>
  </r>
  <r>
    <s v="NYK10632"/>
    <s v="2026-06-02"/>
    <s v="Personal Care"/>
    <s v="Face Roller"/>
    <x v="5"/>
    <s v="Ahmedabad"/>
    <s v="Nykaa App"/>
    <s v="New Customer"/>
    <x v="2"/>
    <n v="4"/>
    <n v="2148"/>
    <n v="8592"/>
    <n v="25"/>
    <n v="2148"/>
    <n v="6444"/>
    <n v="4.4000000000000004"/>
    <s v="No"/>
  </r>
  <r>
    <s v="NYK10247"/>
    <s v="2026-06-02"/>
    <s v="Skincare"/>
    <s v="Sunscreen"/>
    <x v="1"/>
    <s v="Bengaluru"/>
    <s v="Nykaa App"/>
    <s v="Repeat Customer"/>
    <x v="0"/>
    <n v="2"/>
    <n v="895"/>
    <n v="1790"/>
    <n v="10"/>
    <n v="179"/>
    <n v="1611"/>
    <n v="4.0999999999999996"/>
    <s v="No"/>
  </r>
  <r>
    <s v="NYK10590"/>
    <s v="2026-06-03"/>
    <s v="Skincare"/>
    <s v="Sunscreen"/>
    <x v="6"/>
    <s v="Jaipur"/>
    <s v="Nykaa App"/>
    <s v="Premium Member"/>
    <x v="2"/>
    <n v="1"/>
    <n v="365"/>
    <n v="365"/>
    <n v="0"/>
    <n v="0"/>
    <n v="365"/>
    <n v="3.8"/>
    <s v="No"/>
  </r>
  <r>
    <s v="NYK10456"/>
    <s v="2026-06-03"/>
    <s v="Makeup"/>
    <s v="Kajal"/>
    <x v="5"/>
    <s v="Bengaluru"/>
    <s v="Nykaa App"/>
    <s v="New Customer"/>
    <x v="0"/>
    <n v="4"/>
    <n v="538"/>
    <n v="2152"/>
    <n v="25"/>
    <n v="538"/>
    <n v="1614"/>
    <n v="4.5999999999999996"/>
    <s v="No"/>
  </r>
  <r>
    <s v="NYK10615"/>
    <s v="2026-06-03"/>
    <s v="Skincare"/>
    <s v="Serum"/>
    <x v="11"/>
    <s v="Ahmedabad"/>
    <s v="Nykaa App"/>
    <s v="Premium Member"/>
    <x v="4"/>
    <n v="1"/>
    <n v="694"/>
    <n v="694"/>
    <n v="0"/>
    <n v="0"/>
    <n v="694"/>
    <n v="4.4000000000000004"/>
    <s v="Yes"/>
  </r>
  <r>
    <s v="NYK10355"/>
    <s v="2026-06-03"/>
    <s v="Fragrance"/>
    <s v="Deodorant"/>
    <x v="5"/>
    <s v="Chennai"/>
    <s v="Nykaa Website"/>
    <s v="New Customer"/>
    <x v="4"/>
    <n v="3"/>
    <n v="2518"/>
    <n v="7554"/>
    <n v="15"/>
    <n v="1133"/>
    <n v="6421"/>
    <n v="3.5"/>
    <s v="No"/>
  </r>
  <r>
    <s v="NYK10439"/>
    <s v="2026-06-04"/>
    <s v="Skincare"/>
    <s v="Face Wash"/>
    <x v="4"/>
    <s v="Chennai"/>
    <s v="Nykaa Website"/>
    <s v="Premium Member"/>
    <x v="1"/>
    <n v="1"/>
    <n v="322"/>
    <n v="322"/>
    <n v="30"/>
    <n v="97"/>
    <n v="225"/>
    <n v="4.8"/>
    <s v="No"/>
  </r>
  <r>
    <s v="NYK10595"/>
    <s v="2026-06-05"/>
    <s v="Personal Care"/>
    <s v="Hair Dryer"/>
    <x v="2"/>
    <s v="Mumbai"/>
    <s v="Nykaa Website"/>
    <s v="Repeat Customer"/>
    <x v="3"/>
    <n v="3"/>
    <n v="1560"/>
    <n v="4680"/>
    <n v="10"/>
    <n v="468"/>
    <n v="4212"/>
    <n v="4.4000000000000004"/>
    <s v="No"/>
  </r>
  <r>
    <s v="NYK10257"/>
    <s v="2026-06-05"/>
    <s v="Bath &amp; Body"/>
    <s v="Body Lotion"/>
    <x v="4"/>
    <s v="Bengaluru"/>
    <s v="Nykaa App"/>
    <s v="New Customer"/>
    <x v="1"/>
    <n v="4"/>
    <n v="604"/>
    <n v="2416"/>
    <n v="25"/>
    <n v="604"/>
    <n v="1812"/>
    <n v="3.8"/>
    <s v="No"/>
  </r>
  <r>
    <s v="NYK10618"/>
    <s v="2026-06-06"/>
    <s v="Haircare"/>
    <s v="Conditioner"/>
    <x v="10"/>
    <s v="Delhi"/>
    <s v="Nykaa Website"/>
    <s v="Repeat Customer"/>
    <x v="2"/>
    <n v="4"/>
    <n v="902"/>
    <n v="3608"/>
    <n v="15"/>
    <n v="541"/>
    <n v="3067"/>
    <n v="3.7"/>
    <s v="No"/>
  </r>
  <r>
    <s v="NYK10542"/>
    <s v="2026-06-06"/>
    <s v="Haircare"/>
    <s v="Hair Serum"/>
    <x v="5"/>
    <s v="Jaipur"/>
    <s v="Nykaa Website"/>
    <s v="Repeat Customer"/>
    <x v="1"/>
    <n v="5"/>
    <n v="261"/>
    <n v="1305"/>
    <n v="30"/>
    <n v="392"/>
    <n v="913"/>
    <n v="3.8"/>
    <s v="No"/>
  </r>
  <r>
    <s v="NYK10025"/>
    <s v="2026-06-07"/>
    <s v="Personal Care"/>
    <s v="Hair Dryer"/>
    <x v="2"/>
    <s v="Jaipur"/>
    <s v="Nykaa App"/>
    <s v="Repeat Customer"/>
    <x v="3"/>
    <n v="3"/>
    <n v="641"/>
    <n v="1923"/>
    <n v="0"/>
    <n v="0"/>
    <n v="1923"/>
    <n v="4.5"/>
    <s v="No"/>
  </r>
  <r>
    <s v="NYK10175"/>
    <s v="2026-06-07"/>
    <s v="Haircare"/>
    <s v="Conditioner"/>
    <x v="2"/>
    <s v="Delhi"/>
    <s v="Nykaa App"/>
    <s v="New Customer"/>
    <x v="4"/>
    <n v="3"/>
    <n v="736"/>
    <n v="2208"/>
    <n v="25"/>
    <n v="552"/>
    <n v="1656"/>
    <n v="4.8"/>
    <s v="No"/>
  </r>
  <r>
    <s v="NYK10069"/>
    <s v="2026-06-09"/>
    <s v="Fragrance"/>
    <s v="Deodorant"/>
    <x v="10"/>
    <s v="Delhi"/>
    <s v="Nykaa Website"/>
    <s v="New Customer"/>
    <x v="2"/>
    <n v="3"/>
    <n v="2155"/>
    <n v="6465"/>
    <n v="15"/>
    <n v="970"/>
    <n v="5495"/>
    <n v="4.7"/>
    <s v="No"/>
  </r>
  <r>
    <s v="NYK10591"/>
    <s v="2026-06-09"/>
    <s v="Skincare"/>
    <s v="Serum"/>
    <x v="10"/>
    <s v="Delhi"/>
    <s v="Nykaa App"/>
    <s v="Repeat Customer"/>
    <x v="3"/>
    <n v="2"/>
    <n v="433"/>
    <n v="866"/>
    <n v="25"/>
    <n v="216"/>
    <n v="650"/>
    <n v="4.0999999999999996"/>
    <s v="No"/>
  </r>
  <r>
    <s v="NYK10539"/>
    <s v="2026-06-10"/>
    <s v="Fragrance"/>
    <s v="Body Mist"/>
    <x v="10"/>
    <s v="Delhi"/>
    <s v="Nykaa App"/>
    <s v="Premium Member"/>
    <x v="0"/>
    <n v="1"/>
    <n v="1476"/>
    <n v="1476"/>
    <n v="5"/>
    <n v="74"/>
    <n v="1402"/>
    <n v="3.7"/>
    <s v="Yes"/>
  </r>
  <r>
    <s v="NYK10079"/>
    <s v="2026-06-11"/>
    <s v="Personal Care"/>
    <s v="Trimmer"/>
    <x v="10"/>
    <s v="Jaipur"/>
    <s v="Nykaa App"/>
    <s v="New Customer"/>
    <x v="2"/>
    <n v="5"/>
    <n v="474"/>
    <n v="2370"/>
    <n v="0"/>
    <n v="0"/>
    <n v="2370"/>
    <n v="3.6"/>
    <s v="No"/>
  </r>
  <r>
    <s v="NYK10526"/>
    <s v="2026-06-12"/>
    <s v="Haircare"/>
    <s v="Hair Serum"/>
    <x v="3"/>
    <s v="Pune"/>
    <s v="Nykaa App"/>
    <s v="New Customer"/>
    <x v="3"/>
    <n v="1"/>
    <n v="351"/>
    <n v="351"/>
    <n v="15"/>
    <n v="53"/>
    <n v="298"/>
    <n v="4.8"/>
    <s v="No"/>
  </r>
  <r>
    <s v="NYK10308"/>
    <s v="2026-06-12"/>
    <s v="Haircare"/>
    <s v="Conditioner"/>
    <x v="2"/>
    <s v="Mumbai"/>
    <s v="Nykaa Website"/>
    <s v="New Customer"/>
    <x v="1"/>
    <n v="3"/>
    <n v="259"/>
    <n v="777"/>
    <n v="15"/>
    <n v="117"/>
    <n v="660"/>
    <n v="4.0999999999999996"/>
    <s v="No"/>
  </r>
  <r>
    <s v="NYK10518"/>
    <s v="2026-06-13"/>
    <s v="Fragrance"/>
    <s v="Deodorant"/>
    <x v="11"/>
    <s v="Kolkata"/>
    <s v="Nykaa App"/>
    <s v="Premium Member"/>
    <x v="4"/>
    <n v="5"/>
    <n v="842"/>
    <n v="4210"/>
    <n v="30"/>
    <n v="1263"/>
    <n v="2947"/>
    <n v="4.9000000000000004"/>
    <s v="No"/>
  </r>
  <r>
    <s v="NYK10371"/>
    <s v="2026-06-13"/>
    <s v="Bath &amp; Body"/>
    <s v="Bath Salt"/>
    <x v="2"/>
    <s v="Kolkata"/>
    <s v="Nykaa App"/>
    <s v="New Customer"/>
    <x v="0"/>
    <n v="5"/>
    <n v="428"/>
    <n v="2140"/>
    <n v="30"/>
    <n v="642"/>
    <n v="1498"/>
    <n v="4.0999999999999996"/>
    <s v="No"/>
  </r>
  <r>
    <s v="NYK10486"/>
    <s v="2026-06-13"/>
    <s v="Haircare"/>
    <s v="Hair Oil"/>
    <x v="5"/>
    <s v="Chennai"/>
    <s v="Nykaa Offline Store"/>
    <s v="Premium Member"/>
    <x v="1"/>
    <n v="1"/>
    <n v="644"/>
    <n v="644"/>
    <n v="20"/>
    <n v="129"/>
    <n v="515"/>
    <n v="5"/>
    <s v="No"/>
  </r>
  <r>
    <s v="NYK10469"/>
    <s v="2026-06-13"/>
    <s v="Bath &amp; Body"/>
    <s v="Body Wash"/>
    <x v="5"/>
    <s v="Pune"/>
    <s v="Nykaa Website"/>
    <s v="New Customer"/>
    <x v="4"/>
    <n v="3"/>
    <n v="669"/>
    <n v="2007"/>
    <n v="30"/>
    <n v="602"/>
    <n v="1405"/>
    <n v="3.8"/>
    <s v="Yes"/>
  </r>
  <r>
    <s v="NYK10570"/>
    <s v="2026-06-13"/>
    <s v="Makeup"/>
    <s v="Lipstick"/>
    <x v="0"/>
    <s v="Pune"/>
    <s v="Nykaa App"/>
    <s v="Premium Member"/>
    <x v="2"/>
    <n v="1"/>
    <n v="635"/>
    <n v="635"/>
    <n v="20"/>
    <n v="127"/>
    <n v="508"/>
    <n v="4.4000000000000004"/>
    <s v="No"/>
  </r>
  <r>
    <s v="NYK10383"/>
    <s v="2026-06-14"/>
    <s v="Makeup"/>
    <s v="Kajal"/>
    <x v="0"/>
    <s v="Ahmedabad"/>
    <s v="Nykaa Website"/>
    <s v="Premium Member"/>
    <x v="2"/>
    <n v="1"/>
    <n v="483"/>
    <n v="483"/>
    <n v="15"/>
    <n v="72"/>
    <n v="411"/>
    <n v="4.3"/>
    <s v="Yes"/>
  </r>
  <r>
    <s v="NYK10675"/>
    <s v="2026-06-14"/>
    <s v="Bath &amp; Body"/>
    <s v="Bath Salt"/>
    <x v="6"/>
    <s v="Jaipur"/>
    <s v="Nykaa Website"/>
    <s v="New Customer"/>
    <x v="2"/>
    <n v="1"/>
    <n v="704"/>
    <n v="704"/>
    <n v="10"/>
    <n v="70"/>
    <n v="634"/>
    <n v="4"/>
    <s v="Yes"/>
  </r>
  <r>
    <s v="NYK10086"/>
    <s v="2026-06-14"/>
    <s v="Personal Care"/>
    <s v="Hair Dryer"/>
    <x v="1"/>
    <s v="Bengaluru"/>
    <s v="Nykaa Website"/>
    <s v="Premium Member"/>
    <x v="0"/>
    <n v="3"/>
    <n v="2055"/>
    <n v="6165"/>
    <n v="0"/>
    <n v="0"/>
    <n v="6165"/>
    <n v="4.2"/>
    <s v="No"/>
  </r>
  <r>
    <s v="NYK10177"/>
    <s v="2026-06-14"/>
    <s v="Personal Care"/>
    <s v="Trimmer"/>
    <x v="3"/>
    <s v="Lucknow"/>
    <s v="Nykaa Website"/>
    <s v="New Customer"/>
    <x v="2"/>
    <n v="5"/>
    <n v="1877"/>
    <n v="9385"/>
    <n v="0"/>
    <n v="0"/>
    <n v="9385"/>
    <n v="4.9000000000000004"/>
    <s v="No"/>
  </r>
  <r>
    <s v="NYK10299"/>
    <s v="2026-06-16"/>
    <s v="Haircare"/>
    <s v="Hair Oil"/>
    <x v="6"/>
    <s v="Delhi"/>
    <s v="Nykaa App"/>
    <s v="New Customer"/>
    <x v="1"/>
    <n v="3"/>
    <n v="881"/>
    <n v="2643"/>
    <n v="10"/>
    <n v="264"/>
    <n v="2379"/>
    <n v="4.4000000000000004"/>
    <s v="Yes"/>
  </r>
  <r>
    <s v="NYK10504"/>
    <s v="2026-06-16"/>
    <s v="Skincare"/>
    <s v="Face Mask"/>
    <x v="8"/>
    <s v="Ahmedabad"/>
    <s v="Nykaa App"/>
    <s v="Repeat Customer"/>
    <x v="1"/>
    <n v="2"/>
    <n v="340"/>
    <n v="680"/>
    <n v="20"/>
    <n v="136"/>
    <n v="544"/>
    <n v="3.4"/>
    <s v="Yes"/>
  </r>
  <r>
    <s v="NYK10559"/>
    <s v="2026-06-16"/>
    <s v="Haircare"/>
    <s v="Hair Oil"/>
    <x v="6"/>
    <s v="Pune"/>
    <s v="Nykaa App"/>
    <s v="Repeat Customer"/>
    <x v="3"/>
    <n v="1"/>
    <n v="265"/>
    <n v="265"/>
    <n v="10"/>
    <n v="26"/>
    <n v="239"/>
    <n v="3.9"/>
    <s v="No"/>
  </r>
  <r>
    <s v="NYK10122"/>
    <s v="2026-06-16"/>
    <s v="Personal Care"/>
    <s v="Hair Dryer"/>
    <x v="11"/>
    <s v="Jaipur"/>
    <s v="Nykaa App"/>
    <s v="Repeat Customer"/>
    <x v="4"/>
    <n v="3"/>
    <n v="437"/>
    <n v="1311"/>
    <n v="10"/>
    <n v="131"/>
    <n v="1180"/>
    <n v="3.5"/>
    <s v="No"/>
  </r>
  <r>
    <s v="NYK10463"/>
    <s v="2026-06-18"/>
    <s v="Skincare"/>
    <s v="Serum"/>
    <x v="11"/>
    <s v="Lucknow"/>
    <s v="Nykaa Offline Store"/>
    <s v="Premium Member"/>
    <x v="1"/>
    <n v="4"/>
    <n v="1030"/>
    <n v="4120"/>
    <n v="10"/>
    <n v="412"/>
    <n v="3708"/>
    <n v="3.7"/>
    <s v="No"/>
  </r>
  <r>
    <s v="NYK10636"/>
    <s v="2026-06-19"/>
    <s v="Bath &amp; Body"/>
    <s v="Body Wash"/>
    <x v="9"/>
    <s v="Jaipur"/>
    <s v="Nykaa Website"/>
    <s v="New Customer"/>
    <x v="0"/>
    <n v="4"/>
    <n v="668"/>
    <n v="2672"/>
    <n v="30"/>
    <n v="802"/>
    <n v="1870"/>
    <n v="4.5999999999999996"/>
    <s v="Yes"/>
  </r>
  <r>
    <s v="NYK10606"/>
    <s v="2026-06-20"/>
    <s v="Fragrance"/>
    <s v="Perfume"/>
    <x v="10"/>
    <s v="Kolkata"/>
    <s v="Nykaa Website"/>
    <s v="Repeat Customer"/>
    <x v="2"/>
    <n v="5"/>
    <n v="1140"/>
    <n v="5700"/>
    <n v="0"/>
    <n v="0"/>
    <n v="5700"/>
    <n v="4.2"/>
    <s v="No"/>
  </r>
  <r>
    <s v="NYK10521"/>
    <s v="2026-06-21"/>
    <s v="Bath &amp; Body"/>
    <s v="Body Wash"/>
    <x v="4"/>
    <s v="Ahmedabad"/>
    <s v="Nykaa Website"/>
    <s v="New Customer"/>
    <x v="1"/>
    <n v="5"/>
    <n v="442"/>
    <n v="2210"/>
    <n v="5"/>
    <n v="110"/>
    <n v="2100"/>
    <n v="4.9000000000000004"/>
    <s v="No"/>
  </r>
  <r>
    <s v="NYK10334"/>
    <s v="2026-06-21"/>
    <s v="Makeup"/>
    <s v="Mascara"/>
    <x v="7"/>
    <s v="Pune"/>
    <s v="Nykaa Website"/>
    <s v="Repeat Customer"/>
    <x v="4"/>
    <n v="4"/>
    <n v="840"/>
    <n v="3360"/>
    <n v="25"/>
    <n v="840"/>
    <n v="2520"/>
    <n v="4.5"/>
    <s v="No"/>
  </r>
  <r>
    <s v="NYK10715"/>
    <s v="2026-06-21"/>
    <s v="Skincare"/>
    <s v="Face Wash"/>
    <x v="1"/>
    <s v="Ahmedabad"/>
    <s v="Nykaa App"/>
    <s v="Repeat Customer"/>
    <x v="3"/>
    <n v="4"/>
    <n v="344"/>
    <n v="1376"/>
    <n v="10"/>
    <n v="138"/>
    <n v="1238"/>
    <n v="3.4"/>
    <s v="No"/>
  </r>
  <r>
    <s v="NYK10232"/>
    <s v="2026-06-21"/>
    <s v="Bath &amp; Body"/>
    <s v="Bath Salt"/>
    <x v="6"/>
    <s v="Pune"/>
    <s v="Nykaa App"/>
    <s v="Repeat Customer"/>
    <x v="4"/>
    <n v="1"/>
    <n v="714"/>
    <n v="714"/>
    <n v="30"/>
    <n v="214"/>
    <n v="500"/>
    <n v="4.5"/>
    <s v="No"/>
  </r>
  <r>
    <s v="NYK10571"/>
    <s v="2026-06-21"/>
    <s v="Makeup"/>
    <s v="Compact"/>
    <x v="4"/>
    <s v="Lucknow"/>
    <s v="Nykaa Offline Store"/>
    <s v="Repeat Customer"/>
    <x v="3"/>
    <n v="1"/>
    <n v="599"/>
    <n v="599"/>
    <n v="5"/>
    <n v="30"/>
    <n v="569"/>
    <n v="3.8"/>
    <s v="No"/>
  </r>
  <r>
    <s v="NYK10051"/>
    <s v="2026-06-22"/>
    <s v="Personal Care"/>
    <s v="Trimmer"/>
    <x v="8"/>
    <s v="Chennai"/>
    <s v="Nykaa Website"/>
    <s v="Repeat Customer"/>
    <x v="0"/>
    <n v="5"/>
    <n v="2043"/>
    <n v="10215"/>
    <n v="10"/>
    <n v="1022"/>
    <n v="9193"/>
    <n v="4.2"/>
    <s v="No"/>
  </r>
  <r>
    <s v="NYK10039"/>
    <s v="2026-06-22"/>
    <s v="Bath &amp; Body"/>
    <s v="Body Lotion"/>
    <x v="11"/>
    <s v="Kolkata"/>
    <s v="Nykaa App"/>
    <s v="New Customer"/>
    <x v="0"/>
    <n v="1"/>
    <n v="655"/>
    <n v="655"/>
    <n v="5"/>
    <n v="33"/>
    <n v="622"/>
    <n v="3.5"/>
    <s v="Yes"/>
  </r>
  <r>
    <s v="NYK10291"/>
    <s v="2026-06-22"/>
    <s v="Haircare"/>
    <s v="Hair Oil"/>
    <x v="0"/>
    <s v="Delhi"/>
    <s v="Nykaa Offline Store"/>
    <s v="New Customer"/>
    <x v="1"/>
    <n v="4"/>
    <n v="807"/>
    <n v="3228"/>
    <n v="10"/>
    <n v="323"/>
    <n v="2905"/>
    <n v="3.7"/>
    <s v="No"/>
  </r>
  <r>
    <s v="NYK10598"/>
    <s v="2026-06-23"/>
    <s v="Fragrance"/>
    <s v="Perfume"/>
    <x v="9"/>
    <s v="Chennai"/>
    <s v="Nykaa App"/>
    <s v="New Customer"/>
    <x v="4"/>
    <n v="5"/>
    <n v="2343"/>
    <n v="11715"/>
    <n v="15"/>
    <n v="1757"/>
    <n v="9958"/>
    <n v="4.5"/>
    <s v="No"/>
  </r>
  <r>
    <s v="NYK10121"/>
    <s v="2026-06-23"/>
    <s v="Haircare"/>
    <s v="Hair Oil"/>
    <x v="1"/>
    <s v="Kolkata"/>
    <s v="Nykaa App"/>
    <s v="Repeat Customer"/>
    <x v="0"/>
    <n v="3"/>
    <n v="624"/>
    <n v="1872"/>
    <n v="25"/>
    <n v="468"/>
    <n v="1404"/>
    <n v="4.5999999999999996"/>
    <s v="No"/>
  </r>
  <r>
    <s v="NYK10233"/>
    <s v="2026-06-23"/>
    <s v="Fragrance"/>
    <s v="Body Mist"/>
    <x v="1"/>
    <s v="Pune"/>
    <s v="Nykaa Website"/>
    <s v="Repeat Customer"/>
    <x v="2"/>
    <n v="2"/>
    <n v="2919"/>
    <n v="5838"/>
    <n v="30"/>
    <n v="1751"/>
    <n v="4087"/>
    <n v="3.6"/>
    <s v="No"/>
  </r>
  <r>
    <s v="NYK10478"/>
    <s v="2026-06-24"/>
    <s v="Bath &amp; Body"/>
    <s v="Bath Salt"/>
    <x v="11"/>
    <s v="Ahmedabad"/>
    <s v="Nykaa Website"/>
    <s v="New Customer"/>
    <x v="3"/>
    <n v="5"/>
    <n v="200"/>
    <n v="1000"/>
    <n v="30"/>
    <n v="300"/>
    <n v="700"/>
    <n v="4.5999999999999996"/>
    <s v="No"/>
  </r>
  <r>
    <s v="NYK10256"/>
    <s v="2026-06-24"/>
    <s v="Makeup"/>
    <s v="Mascara"/>
    <x v="4"/>
    <s v="Pune"/>
    <s v="Nykaa App"/>
    <s v="Repeat Customer"/>
    <x v="4"/>
    <n v="1"/>
    <n v="755"/>
    <n v="755"/>
    <n v="25"/>
    <n v="189"/>
    <n v="566"/>
    <n v="4.7"/>
    <s v="No"/>
  </r>
  <r>
    <s v="NYK10328"/>
    <s v="2026-06-25"/>
    <s v="Bath &amp; Body"/>
    <s v="Bath Salt"/>
    <x v="10"/>
    <s v="Delhi"/>
    <s v="Nykaa App"/>
    <s v="New Customer"/>
    <x v="3"/>
    <n v="4"/>
    <n v="219"/>
    <n v="876"/>
    <n v="20"/>
    <n v="175"/>
    <n v="701"/>
    <n v="3.6"/>
    <s v="No"/>
  </r>
  <r>
    <s v="NYK10110"/>
    <s v="2026-06-26"/>
    <s v="Makeup"/>
    <s v="Compact"/>
    <x v="7"/>
    <s v="Hyderabad"/>
    <s v="Nykaa App"/>
    <s v="Repeat Customer"/>
    <x v="1"/>
    <n v="1"/>
    <n v="636"/>
    <n v="636"/>
    <n v="25"/>
    <n v="159"/>
    <n v="477"/>
    <n v="3.3"/>
    <s v="No"/>
  </r>
  <r>
    <s v="NYK10362"/>
    <s v="2026-06-26"/>
    <s v="Personal Care"/>
    <s v="Face Roller"/>
    <x v="8"/>
    <s v="Jaipur"/>
    <s v="Nykaa Website"/>
    <s v="New Customer"/>
    <x v="1"/>
    <n v="5"/>
    <n v="1542"/>
    <n v="7710"/>
    <n v="5"/>
    <n v="386"/>
    <n v="7324"/>
    <n v="3.9"/>
    <s v="No"/>
  </r>
  <r>
    <s v="NYK10043"/>
    <s v="2026-06-27"/>
    <s v="Fragrance"/>
    <s v="Body Mist"/>
    <x v="9"/>
    <s v="Hyderabad"/>
    <s v="Nykaa App"/>
    <s v="Repeat Customer"/>
    <x v="4"/>
    <n v="4"/>
    <n v="1538"/>
    <n v="6152"/>
    <n v="5"/>
    <n v="308"/>
    <n v="5844"/>
    <n v="4.7"/>
    <s v="No"/>
  </r>
  <r>
    <s v="NYK10160"/>
    <s v="2026-06-28"/>
    <s v="Bath &amp; Body"/>
    <s v="Bath Salt"/>
    <x v="0"/>
    <s v="Lucknow"/>
    <s v="Nykaa App"/>
    <s v="Repeat Customer"/>
    <x v="1"/>
    <n v="3"/>
    <n v="587"/>
    <n v="1761"/>
    <n v="15"/>
    <n v="264"/>
    <n v="1497"/>
    <n v="4.3"/>
    <s v="No"/>
  </r>
  <r>
    <s v="NYK10034"/>
    <s v="2026-06-28"/>
    <s v="Makeup"/>
    <s v="Kajal"/>
    <x v="2"/>
    <s v="Kolkata"/>
    <s v="Nykaa App"/>
    <s v="Premium Member"/>
    <x v="4"/>
    <n v="2"/>
    <n v="600"/>
    <n v="1200"/>
    <n v="0"/>
    <n v="0"/>
    <n v="1200"/>
    <n v="4.9000000000000004"/>
    <s v="Yes"/>
  </r>
  <r>
    <s v="NYK10072"/>
    <s v="2026-06-29"/>
    <s v="Skincare"/>
    <s v="Face Mask"/>
    <x v="3"/>
    <s v="Bengaluru"/>
    <s v="Nykaa App"/>
    <s v="New Customer"/>
    <x v="2"/>
    <n v="1"/>
    <n v="569"/>
    <n v="569"/>
    <n v="30"/>
    <n v="171"/>
    <n v="398"/>
    <n v="4.8"/>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9B47CD-C8E6-4D84-BEB0-7F5322F288A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4:U47" firstHeaderRow="1" firstDataRow="1" firstDataCol="1"/>
  <pivotFields count="17">
    <pivotField showAll="0"/>
    <pivotField showAll="0"/>
    <pivotField showAll="0"/>
    <pivotField showAll="0"/>
    <pivotField axis="axisRow" showAll="0" sortType="descending">
      <items count="13">
        <item x="5"/>
        <item x="10"/>
        <item x="4"/>
        <item x="7"/>
        <item x="2"/>
        <item x="11"/>
        <item x="9"/>
        <item x="6"/>
        <item x="3"/>
        <item x="8"/>
        <item x="1"/>
        <item x="0"/>
        <item t="default"/>
      </items>
    </pivotField>
    <pivotField showAll="0"/>
    <pivotField showAll="0"/>
    <pivotField showAll="0"/>
    <pivotField showAll="0" sortType="descending">
      <items count="6">
        <item x="4"/>
        <item x="0"/>
        <item x="1"/>
        <item x="3"/>
        <item x="2"/>
        <item t="default"/>
      </items>
    </pivotField>
    <pivotField dataField="1" showAll="0"/>
    <pivotField showAll="0"/>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Units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BFC7F8-976A-48AE-BCCB-F0C9C9E7E6A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32:C38" firstHeaderRow="1" firstDataRow="1" firstDataCol="1"/>
  <pivotFields count="18">
    <pivotField showAll="0"/>
    <pivotField numFmtId="14" showAll="0">
      <items count="3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showAll="0">
      <items count="7">
        <item x="3"/>
        <item x="5"/>
        <item x="0"/>
        <item x="1"/>
        <item x="4"/>
        <item x="2"/>
        <item t="default"/>
      </items>
    </pivotField>
    <pivotField showAll="0"/>
    <pivotField showAll="0">
      <items count="13">
        <item x="0"/>
        <item x="1"/>
        <item x="8"/>
        <item x="3"/>
        <item x="6"/>
        <item x="9"/>
        <item x="11"/>
        <item x="2"/>
        <item x="7"/>
        <item x="4"/>
        <item x="10"/>
        <item x="5"/>
        <item t="default"/>
      </items>
    </pivotField>
    <pivotField showAll="0"/>
    <pivotField showAll="0">
      <items count="4">
        <item x="0"/>
        <item x="2"/>
        <item x="1"/>
        <item t="default"/>
      </items>
    </pivotField>
    <pivotField showAll="0">
      <items count="4">
        <item x="0"/>
        <item x="2"/>
        <item x="1"/>
        <item t="default"/>
      </items>
    </pivotField>
    <pivotField axis="axisRow" showAll="0">
      <items count="6">
        <item x="2"/>
        <item x="3"/>
        <item x="1"/>
        <item x="0"/>
        <item x="4"/>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Sum of Net Sales (Rs)" fld="14"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88DBB1-EFC7-4927-A800-1CA8E5DAA21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43:C46" firstHeaderRow="1" firstDataRow="1" firstDataCol="1"/>
  <pivotFields count="18">
    <pivotField dataField="1" showAll="0">
      <items count="751">
        <item x="298"/>
        <item x="585"/>
        <item x="302"/>
        <item x="129"/>
        <item x="106"/>
        <item x="633"/>
        <item x="33"/>
        <item x="156"/>
        <item x="92"/>
        <item x="11"/>
        <item x="526"/>
        <item x="342"/>
        <item x="133"/>
        <item x="218"/>
        <item x="580"/>
        <item x="513"/>
        <item x="460"/>
        <item x="561"/>
        <item x="688"/>
        <item x="4"/>
        <item x="211"/>
        <item x="535"/>
        <item x="694"/>
        <item x="489"/>
        <item x="139"/>
        <item x="706"/>
        <item x="372"/>
        <item x="354"/>
        <item x="40"/>
        <item x="278"/>
        <item x="199"/>
        <item x="492"/>
        <item x="672"/>
        <item x="113"/>
        <item x="748"/>
        <item x="131"/>
        <item x="195"/>
        <item x="475"/>
        <item x="216"/>
        <item x="736"/>
        <item x="583"/>
        <item x="530"/>
        <item x="269"/>
        <item x="746"/>
        <item x="600"/>
        <item x="514"/>
        <item x="559"/>
        <item x="229"/>
        <item x="567"/>
        <item x="501"/>
        <item x="606"/>
        <item x="735"/>
        <item x="368"/>
        <item x="549"/>
        <item x="479"/>
        <item x="305"/>
        <item x="507"/>
        <item x="375"/>
        <item x="563"/>
        <item x="391"/>
        <item x="13"/>
        <item x="72"/>
        <item x="643"/>
        <item x="227"/>
        <item x="30"/>
        <item x="121"/>
        <item x="130"/>
        <item x="625"/>
        <item x="545"/>
        <item x="708"/>
        <item x="283"/>
        <item x="522"/>
        <item x="749"/>
        <item x="318"/>
        <item x="144"/>
        <item x="607"/>
        <item x="266"/>
        <item x="172"/>
        <item x="162"/>
        <item x="711"/>
        <item x="94"/>
        <item x="407"/>
        <item x="609"/>
        <item x="474"/>
        <item x="418"/>
        <item x="628"/>
        <item x="721"/>
        <item x="448"/>
        <item x="364"/>
        <item x="564"/>
        <item x="646"/>
        <item x="517"/>
        <item x="176"/>
        <item x="397"/>
        <item x="230"/>
        <item x="233"/>
        <item x="22"/>
        <item x="65"/>
        <item x="488"/>
        <item x="167"/>
        <item x="465"/>
        <item x="100"/>
        <item x="404"/>
        <item x="309"/>
        <item x="301"/>
        <item x="24"/>
        <item x="660"/>
        <item x="51"/>
        <item x="120"/>
        <item x="224"/>
        <item x="744"/>
        <item x="459"/>
        <item x="90"/>
        <item x="77"/>
        <item x="214"/>
        <item x="591"/>
        <item x="534"/>
        <item x="531"/>
        <item x="58"/>
        <item x="636"/>
        <item x="348"/>
        <item x="739"/>
        <item x="726"/>
        <item x="153"/>
        <item x="137"/>
        <item x="307"/>
        <item x="555"/>
        <item x="540"/>
        <item x="21"/>
        <item x="152"/>
        <item x="634"/>
        <item x="523"/>
        <item x="206"/>
        <item x="425"/>
        <item x="45"/>
        <item x="321"/>
        <item x="677"/>
        <item x="363"/>
        <item x="341"/>
        <item x="383"/>
        <item x="161"/>
        <item x="173"/>
        <item x="207"/>
        <item x="128"/>
        <item x="569"/>
        <item x="395"/>
        <item x="552"/>
        <item x="577"/>
        <item x="344"/>
        <item x="558"/>
        <item x="81"/>
        <item x="670"/>
        <item x="366"/>
        <item x="499"/>
        <item x="336"/>
        <item x="272"/>
        <item x="466"/>
        <item x="423"/>
        <item x="213"/>
        <item x="155"/>
        <item x="747"/>
        <item x="23"/>
        <item x="414"/>
        <item x="525"/>
        <item x="194"/>
        <item x="310"/>
        <item x="417"/>
        <item x="510"/>
        <item x="667"/>
        <item x="503"/>
        <item x="41"/>
        <item x="323"/>
        <item x="296"/>
        <item x="196"/>
        <item x="277"/>
        <item x="707"/>
        <item x="140"/>
        <item x="722"/>
        <item x="596"/>
        <item x="483"/>
        <item x="235"/>
        <item x="147"/>
        <item x="200"/>
        <item x="252"/>
        <item x="69"/>
        <item x="315"/>
        <item x="443"/>
        <item x="340"/>
        <item x="584"/>
        <item x="562"/>
        <item x="239"/>
        <item x="623"/>
        <item x="104"/>
        <item x="578"/>
        <item x="361"/>
        <item x="570"/>
        <item x="236"/>
        <item x="297"/>
        <item x="386"/>
        <item x="439"/>
        <item x="44"/>
        <item x="31"/>
        <item x="590"/>
        <item x="376"/>
        <item x="294"/>
        <item x="74"/>
        <item x="109"/>
        <item x="347"/>
        <item x="293"/>
        <item x="654"/>
        <item x="462"/>
        <item x="601"/>
        <item x="495"/>
        <item x="453"/>
        <item x="392"/>
        <item x="681"/>
        <item x="598"/>
        <item x="160"/>
        <item x="326"/>
        <item x="179"/>
        <item x="480"/>
        <item x="399"/>
        <item x="382"/>
        <item x="408"/>
        <item x="188"/>
        <item x="529"/>
        <item x="247"/>
        <item x="42"/>
        <item x="260"/>
        <item x="381"/>
        <item x="442"/>
        <item x="159"/>
        <item x="733"/>
        <item x="740"/>
        <item x="604"/>
        <item x="484"/>
        <item x="686"/>
        <item x="246"/>
        <item x="111"/>
        <item x="556"/>
        <item x="237"/>
        <item x="676"/>
        <item x="632"/>
        <item x="393"/>
        <item x="70"/>
        <item x="85"/>
        <item x="663"/>
        <item x="696"/>
        <item x="405"/>
        <item x="78"/>
        <item x="124"/>
        <item x="691"/>
        <item x="542"/>
        <item x="319"/>
        <item x="170"/>
        <item x="332"/>
        <item x="742"/>
        <item x="703"/>
        <item x="146"/>
        <item x="498"/>
        <item x="429"/>
        <item x="110"/>
        <item x="613"/>
        <item x="496"/>
        <item x="478"/>
        <item x="219"/>
        <item x="527"/>
        <item x="611"/>
        <item x="387"/>
        <item x="518"/>
        <item x="369"/>
        <item x="73"/>
        <item x="684"/>
        <item x="134"/>
        <item x="242"/>
        <item x="10"/>
        <item x="444"/>
        <item x="482"/>
        <item x="75"/>
        <item x="470"/>
        <item x="262"/>
        <item x="509"/>
        <item x="96"/>
        <item x="60"/>
        <item x="551"/>
        <item x="595"/>
        <item x="132"/>
        <item x="424"/>
        <item x="114"/>
        <item x="291"/>
        <item x="428"/>
        <item x="737"/>
        <item x="473"/>
        <item x="533"/>
        <item x="396"/>
        <item x="198"/>
        <item x="232"/>
        <item x="678"/>
        <item x="379"/>
        <item x="723"/>
        <item x="169"/>
        <item x="451"/>
        <item x="532"/>
        <item x="357"/>
        <item x="55"/>
        <item x="148"/>
        <item x="659"/>
        <item x="662"/>
        <item x="713"/>
        <item x="314"/>
        <item x="435"/>
        <item x="409"/>
        <item x="415"/>
        <item x="647"/>
        <item x="221"/>
        <item x="255"/>
        <item x="673"/>
        <item x="337"/>
        <item x="97"/>
        <item x="187"/>
        <item x="416"/>
        <item x="335"/>
        <item x="98"/>
        <item x="178"/>
        <item x="576"/>
        <item x="689"/>
        <item x="588"/>
        <item x="502"/>
        <item x="743"/>
        <item x="212"/>
        <item x="6"/>
        <item x="135"/>
        <item x="373"/>
        <item x="579"/>
        <item x="731"/>
        <item x="12"/>
        <item x="59"/>
        <item x="264"/>
        <item x="53"/>
        <item x="622"/>
        <item x="411"/>
        <item x="343"/>
        <item x="240"/>
        <item x="394"/>
        <item x="273"/>
        <item x="20"/>
        <item x="186"/>
        <item x="679"/>
        <item x="250"/>
        <item x="64"/>
        <item x="430"/>
        <item x="680"/>
        <item x="228"/>
        <item x="593"/>
        <item x="608"/>
        <item x="700"/>
        <item x="390"/>
        <item x="304"/>
        <item x="616"/>
        <item x="141"/>
        <item x="537"/>
        <item x="290"/>
        <item x="745"/>
        <item x="538"/>
        <item x="154"/>
        <item x="353"/>
        <item x="182"/>
        <item x="665"/>
        <item x="619"/>
        <item x="71"/>
        <item x="505"/>
        <item x="715"/>
        <item x="142"/>
        <item x="603"/>
        <item x="452"/>
        <item x="285"/>
        <item x="231"/>
        <item x="165"/>
        <item x="548"/>
        <item x="34"/>
        <item x="432"/>
        <item x="299"/>
        <item x="367"/>
        <item x="719"/>
        <item x="338"/>
        <item x="201"/>
        <item x="256"/>
        <item x="7"/>
        <item x="245"/>
        <item x="126"/>
        <item x="289"/>
        <item x="306"/>
        <item x="164"/>
        <item x="280"/>
        <item x="358"/>
        <item x="602"/>
        <item x="308"/>
        <item x="370"/>
        <item x="189"/>
        <item x="63"/>
        <item x="253"/>
        <item x="568"/>
        <item x="668"/>
        <item x="2"/>
        <item x="461"/>
        <item x="426"/>
        <item x="209"/>
        <item x="560"/>
        <item x="371"/>
        <item x="427"/>
        <item x="35"/>
        <item x="575"/>
        <item x="469"/>
        <item x="618"/>
        <item x="388"/>
        <item x="18"/>
        <item x="573"/>
        <item x="0"/>
        <item x="210"/>
        <item x="46"/>
        <item x="650"/>
        <item x="62"/>
        <item x="76"/>
        <item x="582"/>
        <item x="434"/>
        <item x="463"/>
        <item x="36"/>
        <item x="536"/>
        <item x="286"/>
        <item x="99"/>
        <item x="248"/>
        <item x="50"/>
        <item x="504"/>
        <item x="215"/>
        <item x="599"/>
        <item x="642"/>
        <item x="645"/>
        <item x="566"/>
        <item x="610"/>
        <item x="701"/>
        <item x="103"/>
        <item x="330"/>
        <item x="652"/>
        <item x="419"/>
        <item x="571"/>
        <item x="692"/>
        <item x="446"/>
        <item x="629"/>
        <item x="683"/>
        <item x="243"/>
        <item x="635"/>
        <item x="485"/>
        <item x="316"/>
        <item x="674"/>
        <item x="203"/>
        <item x="118"/>
        <item x="698"/>
        <item x="138"/>
        <item x="614"/>
        <item x="168"/>
        <item x="184"/>
        <item x="324"/>
        <item x="553"/>
        <item x="727"/>
        <item x="638"/>
        <item x="19"/>
        <item x="669"/>
        <item x="431"/>
        <item x="145"/>
        <item x="717"/>
        <item x="410"/>
        <item x="445"/>
        <item x="476"/>
        <item x="539"/>
        <item x="500"/>
        <item x="300"/>
        <item x="225"/>
        <item x="136"/>
        <item x="741"/>
        <item x="486"/>
        <item x="204"/>
        <item x="624"/>
        <item x="267"/>
        <item x="572"/>
        <item x="437"/>
        <item x="1"/>
        <item x="716"/>
        <item x="402"/>
        <item x="651"/>
        <item x="174"/>
        <item x="87"/>
        <item x="384"/>
        <item x="38"/>
        <item x="541"/>
        <item x="333"/>
        <item x="190"/>
        <item x="649"/>
        <item x="117"/>
        <item x="32"/>
        <item x="664"/>
        <item x="328"/>
        <item x="312"/>
        <item x="295"/>
        <item x="546"/>
        <item x="724"/>
        <item x="666"/>
        <item x="205"/>
        <item x="183"/>
        <item x="222"/>
        <item x="108"/>
        <item x="171"/>
        <item x="3"/>
        <item x="557"/>
        <item x="656"/>
        <item x="66"/>
        <item x="690"/>
        <item x="16"/>
        <item x="192"/>
        <item x="714"/>
        <item x="356"/>
        <item x="107"/>
        <item x="730"/>
        <item x="521"/>
        <item x="398"/>
        <item x="181"/>
        <item x="52"/>
        <item x="712"/>
        <item x="612"/>
        <item x="223"/>
        <item x="626"/>
        <item x="615"/>
        <item x="5"/>
        <item x="519"/>
        <item x="331"/>
        <item x="655"/>
        <item x="84"/>
        <item x="644"/>
        <item x="682"/>
        <item x="374"/>
        <item x="710"/>
        <item x="116"/>
        <item x="675"/>
        <item x="705"/>
        <item x="311"/>
        <item x="261"/>
        <item x="166"/>
        <item x="175"/>
        <item x="592"/>
        <item x="389"/>
        <item x="477"/>
        <item x="457"/>
        <item x="447"/>
        <item x="360"/>
        <item x="594"/>
        <item x="497"/>
        <item x="202"/>
        <item x="512"/>
        <item x="163"/>
        <item x="320"/>
        <item x="725"/>
        <item x="238"/>
        <item x="491"/>
        <item x="193"/>
        <item x="454"/>
        <item x="284"/>
        <item x="95"/>
        <item x="68"/>
        <item x="528"/>
        <item x="115"/>
        <item x="122"/>
        <item x="718"/>
        <item x="734"/>
        <item x="456"/>
        <item x="620"/>
        <item x="54"/>
        <item x="547"/>
        <item x="464"/>
        <item x="467"/>
        <item x="177"/>
        <item x="48"/>
        <item x="380"/>
        <item x="565"/>
        <item x="413"/>
        <item x="639"/>
        <item x="648"/>
        <item x="687"/>
        <item x="15"/>
        <item x="653"/>
        <item x="661"/>
        <item x="274"/>
        <item x="697"/>
        <item x="709"/>
        <item x="282"/>
        <item x="234"/>
        <item x="574"/>
        <item x="702"/>
        <item x="259"/>
        <item x="339"/>
        <item x="738"/>
        <item x="657"/>
        <item x="685"/>
        <item x="217"/>
        <item x="494"/>
        <item x="125"/>
        <item x="520"/>
        <item x="25"/>
        <item x="729"/>
        <item x="631"/>
        <item x="43"/>
        <item x="123"/>
        <item x="185"/>
        <item x="251"/>
        <item x="487"/>
        <item x="589"/>
        <item x="352"/>
        <item x="699"/>
        <item x="49"/>
        <item x="17"/>
        <item x="704"/>
        <item x="640"/>
        <item x="554"/>
        <item x="322"/>
        <item x="385"/>
        <item x="449"/>
        <item x="79"/>
        <item x="438"/>
        <item x="14"/>
        <item x="89"/>
        <item x="481"/>
        <item x="605"/>
        <item x="61"/>
        <item x="377"/>
        <item x="695"/>
        <item x="226"/>
        <item x="257"/>
        <item x="362"/>
        <item x="728"/>
        <item x="587"/>
        <item x="102"/>
        <item x="365"/>
        <item x="151"/>
        <item x="88"/>
        <item x="658"/>
        <item x="436"/>
        <item x="327"/>
        <item x="180"/>
        <item x="56"/>
        <item x="258"/>
        <item x="158"/>
        <item x="82"/>
        <item x="292"/>
        <item x="490"/>
        <item x="621"/>
        <item x="26"/>
        <item x="378"/>
        <item x="150"/>
        <item x="254"/>
        <item x="586"/>
        <item x="127"/>
        <item x="433"/>
        <item x="119"/>
        <item x="345"/>
        <item x="271"/>
        <item x="27"/>
        <item x="329"/>
        <item x="581"/>
        <item x="281"/>
        <item x="91"/>
        <item x="288"/>
        <item x="506"/>
        <item x="29"/>
        <item x="403"/>
        <item x="244"/>
        <item x="303"/>
        <item x="287"/>
        <item x="720"/>
        <item x="543"/>
        <item x="83"/>
        <item x="511"/>
        <item x="263"/>
        <item x="67"/>
        <item x="421"/>
        <item x="105"/>
        <item x="617"/>
        <item x="57"/>
        <item x="400"/>
        <item x="220"/>
        <item x="349"/>
        <item x="265"/>
        <item x="28"/>
        <item x="241"/>
        <item x="149"/>
        <item x="471"/>
        <item x="47"/>
        <item x="515"/>
        <item x="544"/>
        <item x="39"/>
        <item x="86"/>
        <item x="468"/>
        <item x="524"/>
        <item x="350"/>
        <item x="9"/>
        <item x="249"/>
        <item x="334"/>
        <item x="8"/>
        <item x="346"/>
        <item x="422"/>
        <item x="112"/>
        <item x="317"/>
        <item x="450"/>
        <item x="597"/>
        <item x="351"/>
        <item x="637"/>
        <item x="268"/>
        <item x="401"/>
        <item x="732"/>
        <item x="493"/>
        <item x="197"/>
        <item x="37"/>
        <item x="279"/>
        <item x="101"/>
        <item x="458"/>
        <item x="693"/>
        <item x="191"/>
        <item x="359"/>
        <item x="641"/>
        <item x="671"/>
        <item x="313"/>
        <item x="420"/>
        <item x="93"/>
        <item x="455"/>
        <item x="412"/>
        <item x="325"/>
        <item x="355"/>
        <item x="406"/>
        <item x="472"/>
        <item x="275"/>
        <item x="276"/>
        <item x="80"/>
        <item x="441"/>
        <item x="516"/>
        <item x="143"/>
        <item x="440"/>
        <item x="508"/>
        <item x="550"/>
        <item x="270"/>
        <item x="157"/>
        <item x="208"/>
        <item x="627"/>
        <item x="630"/>
        <item t="default"/>
      </items>
    </pivotField>
    <pivotField numFmtId="14" showAll="0">
      <items count="3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showAll="0">
      <items count="7">
        <item x="3"/>
        <item x="5"/>
        <item x="0"/>
        <item x="1"/>
        <item x="4"/>
        <item x="2"/>
        <item t="default"/>
      </items>
    </pivotField>
    <pivotField showAll="0"/>
    <pivotField showAll="0">
      <items count="13">
        <item x="0"/>
        <item x="1"/>
        <item x="8"/>
        <item x="3"/>
        <item x="6"/>
        <item x="9"/>
        <item x="11"/>
        <item x="2"/>
        <item x="7"/>
        <item x="4"/>
        <item x="10"/>
        <item x="5"/>
        <item t="default"/>
      </items>
    </pivotField>
    <pivotField showAll="0"/>
    <pivotField showAll="0">
      <items count="4">
        <item x="0"/>
        <item x="2"/>
        <item x="1"/>
        <item t="default"/>
      </items>
    </pivotField>
    <pivotField showAll="0">
      <items count="4">
        <item x="0"/>
        <item x="2"/>
        <item x="1"/>
        <item t="default"/>
      </items>
    </pivotField>
    <pivotField showAll="0">
      <items count="6">
        <item x="2"/>
        <item x="3"/>
        <item x="1"/>
        <item x="0"/>
        <item x="4"/>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defaultSubtotal="0">
      <items count="14">
        <item x="0"/>
        <item x="1"/>
        <item x="2"/>
        <item x="3"/>
        <item x="4"/>
        <item x="5"/>
        <item x="6"/>
        <item x="7"/>
        <item x="8"/>
        <item x="9"/>
        <item x="10"/>
        <item x="11"/>
        <item x="12"/>
        <item x="13"/>
      </items>
    </pivotField>
  </pivotFields>
  <rowFields count="1">
    <field x="16"/>
  </rowFields>
  <rowItems count="3">
    <i>
      <x/>
    </i>
    <i>
      <x v="1"/>
    </i>
    <i t="grand">
      <x/>
    </i>
  </rowItems>
  <colItems count="1">
    <i/>
  </colItems>
  <dataFields count="1">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6" count="1" selected="0">
            <x v="0"/>
          </reference>
        </references>
      </pivotArea>
    </chartFormat>
    <chartFormat chart="11"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1AABC3-15D3-4BCF-A944-034D362C0EF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69:D82" firstHeaderRow="0" firstDataRow="1" firstDataCol="1"/>
  <pivotFields count="18">
    <pivotField showAll="0"/>
    <pivotField numFmtId="14" showAll="0">
      <items count="3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showAll="0">
      <items count="7">
        <item x="3"/>
        <item x="5"/>
        <item x="0"/>
        <item x="1"/>
        <item x="4"/>
        <item x="2"/>
        <item t="default"/>
      </items>
    </pivotField>
    <pivotField showAll="0"/>
    <pivotField axis="axisRow" showAll="0">
      <items count="13">
        <item x="0"/>
        <item x="1"/>
        <item x="8"/>
        <item x="3"/>
        <item x="6"/>
        <item x="9"/>
        <item x="11"/>
        <item x="2"/>
        <item x="7"/>
        <item x="4"/>
        <item x="10"/>
        <item x="5"/>
        <item t="default"/>
      </items>
    </pivotField>
    <pivotField showAll="0"/>
    <pivotField showAll="0">
      <items count="4">
        <item x="0"/>
        <item x="2"/>
        <item x="1"/>
        <item t="default"/>
      </items>
    </pivotField>
    <pivotField showAll="0">
      <items count="4">
        <item x="0"/>
        <item x="2"/>
        <item x="1"/>
        <item t="default"/>
      </items>
    </pivotField>
    <pivotField showAll="0">
      <items count="6">
        <item x="2"/>
        <item x="3"/>
        <item x="1"/>
        <item x="0"/>
        <item x="4"/>
        <item t="default"/>
      </items>
    </pivotField>
    <pivotField showAll="0"/>
    <pivotField showAll="0"/>
    <pivotField showAll="0"/>
    <pivotField dataField="1" showAll="0"/>
    <pivotField dataField="1" showAll="0"/>
    <pivotField showAll="0"/>
    <pivotField showAll="0"/>
    <pivotField showAll="0">
      <items count="3">
        <item x="0"/>
        <item x="1"/>
        <item t="default"/>
      </items>
    </pivotField>
    <pivotField showAll="0" defaultSubtotal="0">
      <items count="14">
        <item x="0"/>
        <item x="1"/>
        <item x="2"/>
        <item x="3"/>
        <item x="4"/>
        <item x="5"/>
        <item x="6"/>
        <item x="7"/>
        <item x="8"/>
        <item x="9"/>
        <item x="10"/>
        <item x="11"/>
        <item x="12"/>
        <item x="13"/>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Average of Discount %" fld="12" subtotal="average" baseField="4" baseItem="5" numFmtId="165"/>
    <dataField name="Sum of Discount Amount (Rs)" fld="13" baseField="4" baseItem="5"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E47B39-A606-43CB-BAF7-DA939C53A70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51:C64" firstHeaderRow="1" firstDataRow="1" firstDataCol="1"/>
  <pivotFields count="18">
    <pivotField showAll="0"/>
    <pivotField numFmtId="14" showAll="0">
      <items count="3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showAll="0">
      <items count="7">
        <item x="3"/>
        <item x="5"/>
        <item x="0"/>
        <item x="1"/>
        <item x="4"/>
        <item x="2"/>
        <item t="default"/>
      </items>
    </pivotField>
    <pivotField showAll="0"/>
    <pivotField axis="axisRow" showAll="0">
      <items count="13">
        <item x="0"/>
        <item x="1"/>
        <item x="8"/>
        <item x="3"/>
        <item x="6"/>
        <item x="9"/>
        <item x="11"/>
        <item x="2"/>
        <item x="7"/>
        <item x="4"/>
        <item x="10"/>
        <item x="5"/>
        <item t="default"/>
      </items>
    </pivotField>
    <pivotField showAll="0"/>
    <pivotField showAll="0">
      <items count="4">
        <item x="0"/>
        <item x="2"/>
        <item x="1"/>
        <item t="default"/>
      </items>
    </pivotField>
    <pivotField showAll="0">
      <items count="4">
        <item x="0"/>
        <item x="2"/>
        <item x="1"/>
        <item t="default"/>
      </items>
    </pivotField>
    <pivotField showAll="0">
      <items count="6">
        <item x="2"/>
        <item x="3"/>
        <item x="1"/>
        <item x="0"/>
        <item x="4"/>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defaultSubtotal="0">
      <items count="14">
        <item x="0"/>
        <item x="1"/>
        <item x="2"/>
        <item x="3"/>
        <item x="4"/>
        <item x="5"/>
        <item x="6"/>
        <item x="7"/>
        <item x="8"/>
        <item x="9"/>
        <item x="10"/>
        <item x="11"/>
        <item x="12"/>
        <item x="13"/>
      </items>
    </pivotField>
  </pivotFields>
  <rowFields count="1">
    <field x="4"/>
  </rowFields>
  <rowItems count="13">
    <i>
      <x/>
    </i>
    <i>
      <x v="1"/>
    </i>
    <i>
      <x v="2"/>
    </i>
    <i>
      <x v="3"/>
    </i>
    <i>
      <x v="4"/>
    </i>
    <i>
      <x v="5"/>
    </i>
    <i>
      <x v="6"/>
    </i>
    <i>
      <x v="7"/>
    </i>
    <i>
      <x v="8"/>
    </i>
    <i>
      <x v="9"/>
    </i>
    <i>
      <x v="10"/>
    </i>
    <i>
      <x v="11"/>
    </i>
    <i t="grand">
      <x/>
    </i>
  </rowItems>
  <colItems count="1">
    <i/>
  </colItems>
  <dataFields count="1">
    <dataField name="Average of Customer Rating" fld="15" subtotal="average" baseField="4" baseItem="0" numFmtId="165"/>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31F3CB-72B4-44D9-8EB4-247C38EC2D32}" name="PivotTable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B88:C99" firstHeaderRow="1" firstDataRow="1" firstDataCol="1"/>
  <pivotFields count="18">
    <pivotField showAll="0"/>
    <pivotField numFmtId="14" showAll="0">
      <items count="3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showAll="0">
      <items count="7">
        <item x="3"/>
        <item x="5"/>
        <item x="0"/>
        <item x="1"/>
        <item x="4"/>
        <item x="2"/>
        <item t="default"/>
      </items>
    </pivotField>
    <pivotField axis="axisRow" showAll="0" measureFilter="1" sortType="ascending">
      <items count="24">
        <item x="13"/>
        <item x="5"/>
        <item x="11"/>
        <item x="9"/>
        <item x="10"/>
        <item x="18"/>
        <item x="17"/>
        <item x="3"/>
        <item x="20"/>
        <item x="15"/>
        <item x="21"/>
        <item x="7"/>
        <item x="0"/>
        <item x="22"/>
        <item x="2"/>
        <item x="12"/>
        <item x="1"/>
        <item x="4"/>
        <item x="14"/>
        <item x="6"/>
        <item x="16"/>
        <item x="8"/>
        <item x="19"/>
        <item t="default"/>
      </items>
      <autoSortScope>
        <pivotArea dataOnly="0" outline="0" fieldPosition="0">
          <references count="1">
            <reference field="4294967294" count="1" selected="0">
              <x v="0"/>
            </reference>
          </references>
        </pivotArea>
      </autoSortScope>
    </pivotField>
    <pivotField showAll="0">
      <items count="13">
        <item x="0"/>
        <item x="1"/>
        <item x="8"/>
        <item x="3"/>
        <item x="6"/>
        <item x="9"/>
        <item x="11"/>
        <item x="2"/>
        <item x="7"/>
        <item x="4"/>
        <item x="10"/>
        <item x="5"/>
        <item t="default"/>
      </items>
    </pivotField>
    <pivotField showAll="0"/>
    <pivotField showAll="0">
      <items count="4">
        <item x="0"/>
        <item x="2"/>
        <item x="1"/>
        <item t="default"/>
      </items>
    </pivotField>
    <pivotField showAll="0">
      <items count="4">
        <item x="0"/>
        <item x="2"/>
        <item x="1"/>
        <item t="default"/>
      </items>
    </pivotField>
    <pivotField showAll="0">
      <items count="6">
        <item x="2"/>
        <item x="3"/>
        <item x="1"/>
        <item x="0"/>
        <item x="4"/>
        <item t="default"/>
      </items>
    </pivotField>
    <pivotField dataField="1" showAll="0"/>
    <pivotField showAll="0"/>
    <pivotField showAll="0"/>
    <pivotField showAll="0"/>
    <pivotField showAll="0"/>
    <pivotField showAll="0"/>
    <pivotField showAll="0"/>
    <pivotField showAll="0">
      <items count="3">
        <item x="0"/>
        <item x="1"/>
        <item t="default"/>
      </items>
    </pivotField>
    <pivotField showAll="0" defaultSubtotal="0">
      <items count="14">
        <item x="0"/>
        <item x="1"/>
        <item x="2"/>
        <item x="3"/>
        <item x="4"/>
        <item x="5"/>
        <item x="6"/>
        <item x="7"/>
        <item x="8"/>
        <item x="9"/>
        <item x="10"/>
        <item x="11"/>
        <item x="12"/>
        <item x="13"/>
      </items>
    </pivotField>
  </pivotFields>
  <rowFields count="1">
    <field x="3"/>
  </rowFields>
  <rowItems count="11">
    <i>
      <x v="5"/>
    </i>
    <i>
      <x v="6"/>
    </i>
    <i>
      <x v="8"/>
    </i>
    <i>
      <x v="22"/>
    </i>
    <i>
      <x v="18"/>
    </i>
    <i>
      <x v="2"/>
    </i>
    <i>
      <x v="3"/>
    </i>
    <i>
      <x/>
    </i>
    <i>
      <x v="1"/>
    </i>
    <i>
      <x v="11"/>
    </i>
    <i t="grand">
      <x/>
    </i>
  </rowItems>
  <colItems count="1">
    <i/>
  </colItems>
  <dataFields count="1">
    <dataField name="Sum of Units Sold"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3FEB4A-82B2-4CAE-8EE2-57D387B3F983}"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104:C115" firstHeaderRow="1" firstDataRow="1" firstDataCol="1"/>
  <pivotFields count="18">
    <pivotField showAll="0"/>
    <pivotField numFmtId="14" showAll="0">
      <items count="3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showAll="0">
      <items count="7">
        <item x="3"/>
        <item x="5"/>
        <item x="0"/>
        <item x="1"/>
        <item x="4"/>
        <item x="2"/>
        <item t="default"/>
      </items>
    </pivotField>
    <pivotField showAll="0"/>
    <pivotField showAll="0">
      <items count="13">
        <item x="0"/>
        <item x="1"/>
        <item x="8"/>
        <item x="3"/>
        <item x="6"/>
        <item x="9"/>
        <item x="11"/>
        <item x="2"/>
        <item x="7"/>
        <item x="4"/>
        <item x="10"/>
        <item x="5"/>
        <item t="default"/>
      </items>
    </pivotField>
    <pivotField axis="axisRow" showAll="0" measureFilter="1">
      <items count="11">
        <item x="3"/>
        <item x="1"/>
        <item x="4"/>
        <item x="5"/>
        <item x="7"/>
        <item x="0"/>
        <item x="2"/>
        <item x="6"/>
        <item x="9"/>
        <item x="8"/>
        <item t="default"/>
      </items>
    </pivotField>
    <pivotField showAll="0">
      <items count="4">
        <item x="0"/>
        <item x="2"/>
        <item x="1"/>
        <item t="default"/>
      </items>
    </pivotField>
    <pivotField showAll="0">
      <items count="4">
        <item x="0"/>
        <item x="2"/>
        <item x="1"/>
        <item t="default"/>
      </items>
    </pivotField>
    <pivotField showAll="0">
      <items count="6">
        <item x="2"/>
        <item x="3"/>
        <item x="1"/>
        <item x="0"/>
        <item x="4"/>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defaultSubtotal="0">
      <items count="14">
        <item x="0"/>
        <item x="1"/>
        <item x="2"/>
        <item x="3"/>
        <item x="4"/>
        <item x="5"/>
        <item x="6"/>
        <item x="7"/>
        <item x="8"/>
        <item x="9"/>
        <item x="10"/>
        <item x="11"/>
        <item x="12"/>
        <item x="13"/>
      </items>
    </pivotField>
  </pivotFields>
  <rowFields count="1">
    <field x="5"/>
  </rowFields>
  <rowItems count="11">
    <i>
      <x/>
    </i>
    <i>
      <x v="1"/>
    </i>
    <i>
      <x v="2"/>
    </i>
    <i>
      <x v="3"/>
    </i>
    <i>
      <x v="4"/>
    </i>
    <i>
      <x v="5"/>
    </i>
    <i>
      <x v="6"/>
    </i>
    <i>
      <x v="7"/>
    </i>
    <i>
      <x v="8"/>
    </i>
    <i>
      <x v="9"/>
    </i>
    <i t="grand">
      <x/>
    </i>
  </rowItems>
  <colItems count="1">
    <i/>
  </colItems>
  <dataFields count="1">
    <dataField name="Sum of Net Sales (Rs)" fld="14"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AA1DDD-3228-4C1D-A45F-AC491E8A742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3:C16" firstHeaderRow="1" firstDataRow="1" firstDataCol="1"/>
  <pivotFields count="18">
    <pivotField showAll="0"/>
    <pivotField numFmtId="14" showAll="0">
      <items count="3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showAll="0">
      <items count="7">
        <item x="3"/>
        <item x="5"/>
        <item x="0"/>
        <item x="1"/>
        <item x="4"/>
        <item x="2"/>
        <item t="default"/>
      </items>
    </pivotField>
    <pivotField showAll="0"/>
    <pivotField showAll="0">
      <items count="13">
        <item x="0"/>
        <item x="1"/>
        <item x="8"/>
        <item x="3"/>
        <item x="6"/>
        <item x="9"/>
        <item x="11"/>
        <item x="2"/>
        <item x="7"/>
        <item x="4"/>
        <item x="10"/>
        <item x="5"/>
        <item t="default"/>
      </items>
    </pivotField>
    <pivotField showAll="0"/>
    <pivotField showAll="0">
      <items count="4">
        <item x="0"/>
        <item x="2"/>
        <item x="1"/>
        <item t="default"/>
      </items>
    </pivotField>
    <pivotField showAll="0">
      <items count="4">
        <item x="0"/>
        <item x="2"/>
        <item x="1"/>
        <item t="default"/>
      </items>
    </pivotField>
    <pivotField showAll="0">
      <items count="6">
        <item x="2"/>
        <item x="3"/>
        <item x="1"/>
        <item x="0"/>
        <item x="4"/>
        <item t="default"/>
      </items>
    </pivotField>
    <pivotField showAll="0"/>
    <pivotField showAll="0"/>
    <pivotField showAll="0"/>
    <pivotField showAll="0"/>
    <pivotField showAll="0"/>
    <pivotField dataField="1" showAll="0"/>
    <pivotField showAll="0"/>
    <pivotField showAll="0">
      <items count="3">
        <item x="0"/>
        <item x="1"/>
        <item t="default"/>
      </items>
    </pivotField>
    <pivotField axis="axisRow" showAll="0">
      <items count="15">
        <item x="0"/>
        <item x="1"/>
        <item x="2"/>
        <item x="3"/>
        <item x="4"/>
        <item x="5"/>
        <item x="6"/>
        <item x="7"/>
        <item x="8"/>
        <item x="9"/>
        <item x="10"/>
        <item x="11"/>
        <item x="12"/>
        <item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Net Sales (Rs)"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5C65A3-2D74-434D-B23C-715FCF63732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3:C27" firstHeaderRow="1" firstDataRow="1" firstDataCol="1"/>
  <pivotFields count="18">
    <pivotField showAll="0"/>
    <pivotField numFmtId="14" showAll="0">
      <items count="3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showAll="0">
      <items count="7">
        <item x="3"/>
        <item x="5"/>
        <item x="0"/>
        <item x="1"/>
        <item x="4"/>
        <item x="2"/>
        <item t="default"/>
      </items>
    </pivotField>
    <pivotField showAll="0"/>
    <pivotField showAll="0">
      <items count="13">
        <item x="0"/>
        <item x="1"/>
        <item x="8"/>
        <item x="3"/>
        <item x="6"/>
        <item x="9"/>
        <item x="11"/>
        <item x="2"/>
        <item x="7"/>
        <item x="4"/>
        <item x="10"/>
        <item x="5"/>
        <item t="default"/>
      </items>
    </pivotField>
    <pivotField showAll="0"/>
    <pivotField showAll="0">
      <items count="4">
        <item x="0"/>
        <item x="2"/>
        <item x="1"/>
        <item t="default"/>
      </items>
    </pivotField>
    <pivotField axis="axisRow" showAll="0">
      <items count="4">
        <item x="0"/>
        <item x="2"/>
        <item x="1"/>
        <item t="default"/>
      </items>
    </pivotField>
    <pivotField showAll="0">
      <items count="6">
        <item x="2"/>
        <item x="3"/>
        <item x="1"/>
        <item x="0"/>
        <item x="4"/>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Sum of Net Sales (Rs)"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9F80FC-3ED8-487D-85D0-C4344F8D6C13}" sourceName="Category">
  <pivotTables>
    <pivotTable tabId="7" name="PivotTable3"/>
    <pivotTable tabId="7" name="PivotTable10"/>
    <pivotTable tabId="7" name="PivotTable4"/>
    <pivotTable tabId="7" name="PivotTable5"/>
    <pivotTable tabId="7" name="PivotTable6"/>
    <pivotTable tabId="7" name="PivotTable7"/>
    <pivotTable tabId="7" name="PivotTable8"/>
    <pivotTable tabId="7" name="PivotTable9"/>
  </pivotTables>
  <data>
    <tabular pivotCacheId="127813137">
      <items count="6">
        <i x="3"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7A11EA7-10BE-4F20-BABD-49E516D774C3}" sourceName="Brand">
  <pivotTables>
    <pivotTable tabId="7" name="PivotTable3"/>
    <pivotTable tabId="7" name="PivotTable10"/>
    <pivotTable tabId="7" name="PivotTable4"/>
    <pivotTable tabId="7" name="PivotTable5"/>
    <pivotTable tabId="7" name="PivotTable6"/>
    <pivotTable tabId="7" name="PivotTable7"/>
    <pivotTable tabId="7" name="PivotTable8"/>
    <pivotTable tabId="7" name="PivotTable9"/>
  </pivotTables>
  <data>
    <tabular pivotCacheId="127813137">
      <items count="12">
        <i x="0" s="1"/>
        <i x="1" s="1"/>
        <i x="8" s="1"/>
        <i x="3" s="1"/>
        <i x="6" s="1"/>
        <i x="9" s="1"/>
        <i x="11" s="1"/>
        <i x="2" s="1"/>
        <i x="7" s="1"/>
        <i x="4" s="1"/>
        <i x="1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57E25AA-B4AD-4BF8-9E51-38EA5A63A1E1}" sourceName="Customer Segment">
  <pivotTables>
    <pivotTable tabId="7" name="PivotTable3"/>
    <pivotTable tabId="7" name="PivotTable10"/>
    <pivotTable tabId="7" name="PivotTable4"/>
    <pivotTable tabId="7" name="PivotTable5"/>
    <pivotTable tabId="7" name="PivotTable6"/>
    <pivotTable tabId="7" name="PivotTable7"/>
    <pivotTable tabId="7" name="PivotTable8"/>
    <pivotTable tabId="7" name="PivotTable9"/>
  </pivotTables>
  <data>
    <tabular pivotCacheId="12781313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460A8C1-F80E-42D1-B2FF-68FFAFDE3862}" sourceName="Payment Mode">
  <pivotTables>
    <pivotTable tabId="7" name="PivotTable3"/>
    <pivotTable tabId="7" name="PivotTable10"/>
    <pivotTable tabId="7" name="PivotTable4"/>
    <pivotTable tabId="7" name="PivotTable5"/>
    <pivotTable tabId="7" name="PivotTable6"/>
    <pivotTable tabId="7" name="PivotTable7"/>
    <pivotTable tabId="7" name="PivotTable8"/>
    <pivotTable tabId="7" name="PivotTable9"/>
  </pivotTables>
  <data>
    <tabular pivotCacheId="127813137">
      <items count="5">
        <i x="2" s="1"/>
        <i x="3"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387F6EF-8C75-486D-A1C6-D1FB4EAC5197}" sourceName="Channel">
  <pivotTables>
    <pivotTable tabId="7" name="PivotTable3"/>
    <pivotTable tabId="7" name="PivotTable10"/>
    <pivotTable tabId="7" name="PivotTable4"/>
    <pivotTable tabId="7" name="PivotTable5"/>
    <pivotTable tabId="7" name="PivotTable6"/>
    <pivotTable tabId="7" name="PivotTable7"/>
    <pivotTable tabId="7" name="PivotTable8"/>
    <pivotTable tabId="7" name="PivotTable9"/>
  </pivotTables>
  <data>
    <tabular pivotCacheId="127813137">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22D8F9B6-D4BB-4E01-AFAA-356A1B3B1303}" sourceName="Returned">
  <pivotTables>
    <pivotTable tabId="7" name="PivotTable8"/>
    <pivotTable tabId="7" name="PivotTable10"/>
    <pivotTable tabId="7" name="PivotTable3"/>
    <pivotTable tabId="7" name="PivotTable4"/>
    <pivotTable tabId="7" name="PivotTable5"/>
    <pivotTable tabId="7" name="PivotTable6"/>
    <pivotTable tabId="7" name="PivotTable7"/>
    <pivotTable tabId="7" name="PivotTable9"/>
  </pivotTables>
  <data>
    <tabular pivotCacheId="1278131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6DD0261-CDC1-4144-A505-D02CE38CE015}" cache="Slicer_Category" caption="Category" rowHeight="241300"/>
  <slicer name="Brand" xr10:uid="{46535324-0A59-4E5F-A439-778341140BA6}" cache="Slicer_Brand" caption="Brand" rowHeight="241300"/>
  <slicer name="Customer Segment" xr10:uid="{EB3DACFE-DC94-47DC-B121-F9DC0D20A27F}" cache="Slicer_Customer_Segment" caption="Customer Segment" rowHeight="241300"/>
  <slicer name="Payment Mode" xr10:uid="{9B2AFA62-B14F-48FA-BEB9-27CFB8A3AD1C}" cache="Slicer_Payment_Mode" caption="Payment Mode" rowHeight="241300"/>
  <slicer name="Channel" xr10:uid="{87AE8617-1C09-430C-9DBD-BB0D01B6E814}" cache="Slicer_Channel" caption="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74D30A6-3989-40FE-9A9A-FBFD47F1419F}" cache="Slicer_Category" caption="Category" style="Slicer Style 1" rowHeight="360000"/>
  <slicer name="Channel 1" xr10:uid="{682AF915-4C05-4697-B039-DCBF69E496FC}" cache="Slicer_Channel" caption="Channel" style="Slicer Style 1" rowHeight="360000"/>
  <slicer name="Returned" xr10:uid="{7D06E902-B411-4B66-AC82-F87E12450137}" cache="Slicer_Returned" caption="Returned" style="Slicer Style 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ykaaSalesData" displayName="NykaaSalesData" ref="A1:Q751" totalsRowShown="0">
  <autoFilter ref="A1:Q751" xr:uid="{00000000-0009-0000-0100-000001000000}"/>
  <tableColumns count="17">
    <tableColumn id="1" xr3:uid="{00000000-0010-0000-0000-000001000000}" name="Order ID" dataDxfId="35"/>
    <tableColumn id="2" xr3:uid="{00000000-0010-0000-0000-000002000000}" name="Order Date" dataDxfId="34"/>
    <tableColumn id="3" xr3:uid="{00000000-0010-0000-0000-000003000000}" name="Category" dataDxfId="33"/>
    <tableColumn id="4" xr3:uid="{00000000-0010-0000-0000-000004000000}" name="Product Name" dataDxfId="32"/>
    <tableColumn id="5" xr3:uid="{00000000-0010-0000-0000-000005000000}" name="Brand" dataDxfId="31"/>
    <tableColumn id="6" xr3:uid="{00000000-0010-0000-0000-000006000000}" name="City" dataDxfId="30"/>
    <tableColumn id="7" xr3:uid="{00000000-0010-0000-0000-000007000000}" name="Channel" dataDxfId="29"/>
    <tableColumn id="8" xr3:uid="{00000000-0010-0000-0000-000008000000}" name="Customer Segment" dataDxfId="28"/>
    <tableColumn id="9" xr3:uid="{00000000-0010-0000-0000-000009000000}" name="Payment Mode" dataDxfId="27"/>
    <tableColumn id="10" xr3:uid="{00000000-0010-0000-0000-00000A000000}" name="Units Sold" dataDxfId="26"/>
    <tableColumn id="11" xr3:uid="{00000000-0010-0000-0000-00000B000000}" name="Unit Price (Rs)" dataDxfId="25"/>
    <tableColumn id="12" xr3:uid="{00000000-0010-0000-0000-00000C000000}" name="Gross Sales (Rs)" dataDxfId="24"/>
    <tableColumn id="13" xr3:uid="{00000000-0010-0000-0000-00000D000000}" name="Discount %" dataDxfId="23"/>
    <tableColumn id="14" xr3:uid="{00000000-0010-0000-0000-00000E000000}" name="Discount Amount (Rs)" dataDxfId="22"/>
    <tableColumn id="15" xr3:uid="{00000000-0010-0000-0000-00000F000000}" name="Net Sales (Rs)" dataDxfId="21"/>
    <tableColumn id="16" xr3:uid="{00000000-0010-0000-0000-000010000000}" name="Customer Rating" dataDxfId="20"/>
    <tableColumn id="17" xr3:uid="{00000000-0010-0000-0000-000011000000}" name="Returned"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9E8AE3-F3C6-4FA8-97A5-2C9DC64761BF}" name="NykaaSalesData3" displayName="NykaaSalesData3" ref="A1:Q751" totalsRowShown="0" headerRowDxfId="18" dataDxfId="17">
  <autoFilter ref="A1:Q751" xr:uid="{00000000-0009-0000-0100-000001000000}"/>
  <tableColumns count="17">
    <tableColumn id="1" xr3:uid="{5DDC260D-A076-40EC-A472-8115741A6D9D}" name="Order ID" dataDxfId="16"/>
    <tableColumn id="18" xr3:uid="{2AA53127-B130-4D15-BC2F-BB7D1C6B862A}" name="Order Date" dataDxfId="15"/>
    <tableColumn id="3" xr3:uid="{C5D692CA-AF0C-4B68-AD52-859AC5537BBC}" name="Category" dataDxfId="14"/>
    <tableColumn id="4" xr3:uid="{0864530C-065C-4C47-91A8-80D5895AD034}" name="Product Name" dataDxfId="13"/>
    <tableColumn id="5" xr3:uid="{27DDB79F-4CD4-49D7-A2D9-FB773E18C1E7}" name="Brand" dataDxfId="12"/>
    <tableColumn id="6" xr3:uid="{CE84C79C-0D81-461A-B4EA-CD053296BA21}" name="City" dataDxfId="11"/>
    <tableColumn id="7" xr3:uid="{6F07CB05-DF23-46A2-B20B-E5F3963C9D96}" name="Channel" dataDxfId="10"/>
    <tableColumn id="8" xr3:uid="{78DA0DF0-E24C-4557-824A-8E5B7DCA4B8B}" name="Customer Segment" dataDxfId="9"/>
    <tableColumn id="9" xr3:uid="{C2E0224F-DC23-424F-8FE1-7440DCD62667}" name="Payment Mode" dataDxfId="8"/>
    <tableColumn id="10" xr3:uid="{ED712D99-936B-4922-ACA3-36EB16487759}" name="Units Sold" dataDxfId="7"/>
    <tableColumn id="11" xr3:uid="{B25B4179-694F-40C3-B940-3C9D92E09FE7}" name="Unit Price (Rs)" dataDxfId="6"/>
    <tableColumn id="12" xr3:uid="{B702B2A2-1E75-46DA-8FB1-E1D13917A979}" name="Gross Sales (Rs)" dataDxfId="5"/>
    <tableColumn id="2" xr3:uid="{3E89EE69-B62D-4886-9D22-E58E6D9D07CC}" name="Discount %" dataDxfId="4"/>
    <tableColumn id="14" xr3:uid="{6CF94582-2B00-434B-81C4-4CA566969599}" name="Discount Amount (Rs)" dataDxfId="3"/>
    <tableColumn id="15" xr3:uid="{ED89754F-E33E-471C-8B96-B7D83A72A9E0}" name="Net Sales (Rs)" dataDxfId="2"/>
    <tableColumn id="16" xr3:uid="{8BA47B9F-AD81-4075-AD2F-3FE5FBD62D84}" name="Customer Rating" dataDxfId="1"/>
    <tableColumn id="17" xr3:uid="{2B31F01D-3FDF-49B6-9C25-1BA71F5D6238}" name="Returne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86AC862-ACBD-4AB8-8338-E7EE7202692E}" sourceName="Order Date">
  <pivotTables>
    <pivotTable tabId="7" name="PivotTable4"/>
    <pivotTable tabId="7" name="PivotTable10"/>
    <pivotTable tabId="7" name="PivotTable3"/>
    <pivotTable tabId="7" name="PivotTable5"/>
    <pivotTable tabId="7" name="PivotTable6"/>
    <pivotTable tabId="7" name="PivotTable7"/>
    <pivotTable tabId="7" name="PivotTable8"/>
    <pivotTable tabId="7" name="PivotTable9"/>
  </pivotTables>
  <state minimalRefreshVersion="6" lastRefreshVersion="6" pivotCacheId="127813137"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35996DA-1FBF-4B43-8F46-E3D0A148B1D8}" cache="NativeTimeline_Order_Date" caption="Order Date" level="2" selectionLevel="2" scrollPosition="2026-05-16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51"/>
  <sheetViews>
    <sheetView topLeftCell="N1" zoomScale="99" zoomScaleNormal="100" workbookViewId="0">
      <pane ySplit="1" topLeftCell="A2" activePane="bottomLeft" state="frozen"/>
      <selection pane="bottomLeft" activeCell="R6" sqref="R6"/>
    </sheetView>
  </sheetViews>
  <sheetFormatPr defaultColWidth="20.5703125" defaultRowHeight="15" x14ac:dyDescent="0.25"/>
  <sheetData>
    <row r="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9" x14ac:dyDescent="0.25">
      <c r="A2" s="10" t="s">
        <v>17</v>
      </c>
      <c r="B2" s="10" t="s">
        <v>18</v>
      </c>
      <c r="C2" s="10" t="s">
        <v>19</v>
      </c>
      <c r="D2" s="10" t="s">
        <v>20</v>
      </c>
      <c r="E2" s="10" t="s">
        <v>21</v>
      </c>
      <c r="F2" s="10" t="s">
        <v>22</v>
      </c>
      <c r="G2" s="10" t="s">
        <v>23</v>
      </c>
      <c r="H2" s="10" t="s">
        <v>24</v>
      </c>
      <c r="I2" s="10" t="s">
        <v>25</v>
      </c>
      <c r="J2" s="10">
        <v>5</v>
      </c>
      <c r="K2" s="10">
        <v>877</v>
      </c>
      <c r="L2" s="10">
        <v>4385</v>
      </c>
      <c r="M2" s="10">
        <v>30</v>
      </c>
      <c r="N2" s="10">
        <v>1316</v>
      </c>
      <c r="O2" s="10">
        <v>3069</v>
      </c>
      <c r="P2" s="10">
        <v>4.3</v>
      </c>
      <c r="Q2" s="10" t="s">
        <v>26</v>
      </c>
    </row>
    <row r="3" spans="1:19" x14ac:dyDescent="0.25">
      <c r="A3" s="10" t="s">
        <v>27</v>
      </c>
      <c r="B3" s="10" t="s">
        <v>18</v>
      </c>
      <c r="C3" s="10" t="s">
        <v>28</v>
      </c>
      <c r="D3" s="10" t="s">
        <v>29</v>
      </c>
      <c r="E3" s="10" t="s">
        <v>30</v>
      </c>
      <c r="F3" s="10" t="s">
        <v>31</v>
      </c>
      <c r="G3" s="10" t="s">
        <v>32</v>
      </c>
      <c r="H3" s="10" t="s">
        <v>33</v>
      </c>
      <c r="I3" s="10" t="s">
        <v>34</v>
      </c>
      <c r="J3" s="10">
        <v>4</v>
      </c>
      <c r="K3" s="10">
        <v>876</v>
      </c>
      <c r="L3" s="10">
        <v>3504</v>
      </c>
      <c r="M3" s="10">
        <v>15</v>
      </c>
      <c r="N3" s="10">
        <v>526</v>
      </c>
      <c r="O3" s="10">
        <v>2978</v>
      </c>
      <c r="P3" s="10">
        <v>3.6</v>
      </c>
      <c r="Q3" s="10" t="s">
        <v>26</v>
      </c>
      <c r="S3" t="s">
        <v>1207</v>
      </c>
    </row>
    <row r="4" spans="1:19" x14ac:dyDescent="0.25">
      <c r="A4" s="10" t="s">
        <v>35</v>
      </c>
      <c r="B4" s="10" t="s">
        <v>18</v>
      </c>
      <c r="C4" s="10" t="s">
        <v>28</v>
      </c>
      <c r="D4" s="10" t="s">
        <v>36</v>
      </c>
      <c r="E4" s="10" t="s">
        <v>37</v>
      </c>
      <c r="F4" s="10" t="s">
        <v>22</v>
      </c>
      <c r="G4" s="10" t="s">
        <v>32</v>
      </c>
      <c r="H4" s="10" t="s">
        <v>33</v>
      </c>
      <c r="I4" s="10" t="s">
        <v>34</v>
      </c>
      <c r="J4" s="10">
        <v>3</v>
      </c>
      <c r="K4" s="10">
        <v>715</v>
      </c>
      <c r="L4" s="10">
        <v>2145</v>
      </c>
      <c r="M4" s="10">
        <v>0</v>
      </c>
      <c r="N4" s="10">
        <v>0</v>
      </c>
      <c r="O4" s="10">
        <v>2145</v>
      </c>
      <c r="P4" s="10">
        <v>4.4000000000000004</v>
      </c>
      <c r="Q4" s="10" t="s">
        <v>26</v>
      </c>
      <c r="S4">
        <f>SUM(NykaaSalesData[[#All],[Net Sales (Rs)]])</f>
        <v>1906646</v>
      </c>
    </row>
    <row r="5" spans="1:19" x14ac:dyDescent="0.25">
      <c r="A5" s="10" t="s">
        <v>38</v>
      </c>
      <c r="B5" s="10" t="s">
        <v>39</v>
      </c>
      <c r="C5" s="10" t="s">
        <v>40</v>
      </c>
      <c r="D5" s="10" t="s">
        <v>41</v>
      </c>
      <c r="E5" s="10" t="s">
        <v>42</v>
      </c>
      <c r="F5" s="10" t="s">
        <v>43</v>
      </c>
      <c r="G5" s="10" t="s">
        <v>44</v>
      </c>
      <c r="H5" s="10" t="s">
        <v>33</v>
      </c>
      <c r="I5" s="10" t="s">
        <v>45</v>
      </c>
      <c r="J5" s="10">
        <v>1</v>
      </c>
      <c r="K5" s="10">
        <v>980</v>
      </c>
      <c r="L5" s="10">
        <v>980</v>
      </c>
      <c r="M5" s="10">
        <v>10</v>
      </c>
      <c r="N5" s="10">
        <v>98</v>
      </c>
      <c r="O5" s="10">
        <v>882</v>
      </c>
      <c r="P5" s="10">
        <v>3.8</v>
      </c>
      <c r="Q5" s="10" t="s">
        <v>26</v>
      </c>
    </row>
    <row r="6" spans="1:19" x14ac:dyDescent="0.25">
      <c r="A6" s="10" t="s">
        <v>46</v>
      </c>
      <c r="B6" s="10" t="s">
        <v>39</v>
      </c>
      <c r="C6" s="10" t="s">
        <v>40</v>
      </c>
      <c r="D6" s="10" t="s">
        <v>47</v>
      </c>
      <c r="E6" s="10" t="s">
        <v>48</v>
      </c>
      <c r="F6" s="10" t="s">
        <v>43</v>
      </c>
      <c r="G6" s="10" t="s">
        <v>23</v>
      </c>
      <c r="H6" s="10" t="s">
        <v>33</v>
      </c>
      <c r="I6" s="10" t="s">
        <v>45</v>
      </c>
      <c r="J6" s="10">
        <v>3</v>
      </c>
      <c r="K6" s="10">
        <v>807</v>
      </c>
      <c r="L6" s="10">
        <v>2421</v>
      </c>
      <c r="M6" s="10">
        <v>25</v>
      </c>
      <c r="N6" s="10">
        <v>605</v>
      </c>
      <c r="O6" s="10">
        <v>1816</v>
      </c>
      <c r="P6" s="10">
        <v>5</v>
      </c>
      <c r="Q6" s="10" t="s">
        <v>26</v>
      </c>
      <c r="S6" t="s">
        <v>1208</v>
      </c>
    </row>
    <row r="7" spans="1:19" x14ac:dyDescent="0.25">
      <c r="A7" s="10" t="s">
        <v>49</v>
      </c>
      <c r="B7" s="10" t="s">
        <v>50</v>
      </c>
      <c r="C7" s="10" t="s">
        <v>51</v>
      </c>
      <c r="D7" s="10" t="s">
        <v>52</v>
      </c>
      <c r="E7" s="10" t="s">
        <v>53</v>
      </c>
      <c r="F7" s="10" t="s">
        <v>43</v>
      </c>
      <c r="G7" s="10" t="s">
        <v>44</v>
      </c>
      <c r="H7" s="10" t="s">
        <v>24</v>
      </c>
      <c r="I7" s="10" t="s">
        <v>45</v>
      </c>
      <c r="J7" s="10">
        <v>5</v>
      </c>
      <c r="K7" s="10">
        <v>171</v>
      </c>
      <c r="L7" s="10">
        <v>855</v>
      </c>
      <c r="M7" s="10">
        <v>20</v>
      </c>
      <c r="N7" s="10">
        <v>171</v>
      </c>
      <c r="O7" s="10">
        <v>684</v>
      </c>
      <c r="P7" s="10">
        <v>3.9</v>
      </c>
      <c r="Q7" s="10" t="s">
        <v>26</v>
      </c>
      <c r="S7">
        <f>AVERAGE( NykaaSalesData[[#All],[Customer Rating]])</f>
        <v>4.1365333333333361</v>
      </c>
    </row>
    <row r="8" spans="1:19" x14ac:dyDescent="0.25">
      <c r="A8" s="10" t="s">
        <v>54</v>
      </c>
      <c r="B8" s="10" t="s">
        <v>50</v>
      </c>
      <c r="C8" s="10" t="s">
        <v>51</v>
      </c>
      <c r="D8" s="10" t="s">
        <v>52</v>
      </c>
      <c r="E8" s="10" t="s">
        <v>21</v>
      </c>
      <c r="F8" s="10" t="s">
        <v>22</v>
      </c>
      <c r="G8" s="10" t="s">
        <v>32</v>
      </c>
      <c r="H8" s="10" t="s">
        <v>33</v>
      </c>
      <c r="I8" s="10" t="s">
        <v>45</v>
      </c>
      <c r="J8" s="10">
        <v>5</v>
      </c>
      <c r="K8" s="10">
        <v>463</v>
      </c>
      <c r="L8" s="10">
        <v>2315</v>
      </c>
      <c r="M8" s="10">
        <v>20</v>
      </c>
      <c r="N8" s="10">
        <v>463</v>
      </c>
      <c r="O8" s="10">
        <v>1852</v>
      </c>
      <c r="P8" s="10">
        <v>4.5999999999999996</v>
      </c>
      <c r="Q8" s="10" t="s">
        <v>26</v>
      </c>
    </row>
    <row r="9" spans="1:19" x14ac:dyDescent="0.25">
      <c r="A9" s="10" t="s">
        <v>55</v>
      </c>
      <c r="B9" s="10" t="s">
        <v>56</v>
      </c>
      <c r="C9" s="10" t="s">
        <v>40</v>
      </c>
      <c r="D9" s="10" t="s">
        <v>57</v>
      </c>
      <c r="E9" s="10" t="s">
        <v>53</v>
      </c>
      <c r="F9" s="10" t="s">
        <v>22</v>
      </c>
      <c r="G9" s="10" t="s">
        <v>44</v>
      </c>
      <c r="H9" s="10" t="s">
        <v>33</v>
      </c>
      <c r="I9" s="10" t="s">
        <v>34</v>
      </c>
      <c r="J9" s="10">
        <v>5</v>
      </c>
      <c r="K9" s="10">
        <v>678</v>
      </c>
      <c r="L9" s="10">
        <v>3390</v>
      </c>
      <c r="M9" s="10">
        <v>20</v>
      </c>
      <c r="N9" s="10">
        <v>678</v>
      </c>
      <c r="O9" s="10">
        <v>2712</v>
      </c>
      <c r="P9" s="10">
        <v>4.8</v>
      </c>
      <c r="Q9" s="10" t="s">
        <v>26</v>
      </c>
      <c r="S9" t="s">
        <v>1209</v>
      </c>
    </row>
    <row r="10" spans="1:19" x14ac:dyDescent="0.25">
      <c r="A10" s="10" t="s">
        <v>58</v>
      </c>
      <c r="B10" s="10" t="s">
        <v>59</v>
      </c>
      <c r="C10" s="10" t="s">
        <v>51</v>
      </c>
      <c r="D10" s="10" t="s">
        <v>52</v>
      </c>
      <c r="E10" s="10" t="s">
        <v>60</v>
      </c>
      <c r="F10" s="10" t="s">
        <v>61</v>
      </c>
      <c r="G10" s="10" t="s">
        <v>32</v>
      </c>
      <c r="H10" s="10" t="s">
        <v>33</v>
      </c>
      <c r="I10" s="10" t="s">
        <v>34</v>
      </c>
      <c r="J10" s="10">
        <v>2</v>
      </c>
      <c r="K10" s="10">
        <v>421</v>
      </c>
      <c r="L10" s="10">
        <v>842</v>
      </c>
      <c r="M10" s="10">
        <v>25</v>
      </c>
      <c r="N10" s="10">
        <v>210</v>
      </c>
      <c r="O10" s="10">
        <v>632</v>
      </c>
      <c r="P10" s="10">
        <v>4.5999999999999996</v>
      </c>
      <c r="Q10" s="10" t="s">
        <v>26</v>
      </c>
      <c r="S10">
        <f>SUM(NykaaSalesData[[#All],[Discount Amount (Rs)]])</f>
        <v>338849</v>
      </c>
    </row>
    <row r="11" spans="1:19" x14ac:dyDescent="0.25">
      <c r="A11" s="10" t="s">
        <v>62</v>
      </c>
      <c r="B11" s="10" t="s">
        <v>59</v>
      </c>
      <c r="C11" s="10" t="s">
        <v>63</v>
      </c>
      <c r="D11" s="10" t="s">
        <v>64</v>
      </c>
      <c r="E11" s="10" t="s">
        <v>60</v>
      </c>
      <c r="F11" s="10" t="s">
        <v>65</v>
      </c>
      <c r="G11" s="10" t="s">
        <v>23</v>
      </c>
      <c r="H11" s="10" t="s">
        <v>24</v>
      </c>
      <c r="I11" s="10" t="s">
        <v>45</v>
      </c>
      <c r="J11" s="10">
        <v>4</v>
      </c>
      <c r="K11" s="10">
        <v>2125</v>
      </c>
      <c r="L11" s="10">
        <v>8500</v>
      </c>
      <c r="M11" s="10">
        <v>30</v>
      </c>
      <c r="N11" s="10">
        <v>2550</v>
      </c>
      <c r="O11" s="10">
        <v>5950</v>
      </c>
      <c r="P11" s="10">
        <v>4.4000000000000004</v>
      </c>
      <c r="Q11" s="10" t="s">
        <v>26</v>
      </c>
    </row>
    <row r="12" spans="1:19" x14ac:dyDescent="0.25">
      <c r="A12" s="10" t="s">
        <v>66</v>
      </c>
      <c r="B12" s="10" t="s">
        <v>67</v>
      </c>
      <c r="C12" s="10" t="s">
        <v>40</v>
      </c>
      <c r="D12" s="10" t="s">
        <v>68</v>
      </c>
      <c r="E12" s="10" t="s">
        <v>21</v>
      </c>
      <c r="F12" s="10" t="s">
        <v>65</v>
      </c>
      <c r="G12" s="10" t="s">
        <v>23</v>
      </c>
      <c r="H12" s="10" t="s">
        <v>33</v>
      </c>
      <c r="I12" s="10" t="s">
        <v>34</v>
      </c>
      <c r="J12" s="10">
        <v>3</v>
      </c>
      <c r="K12" s="10">
        <v>1243</v>
      </c>
      <c r="L12" s="10">
        <v>3729</v>
      </c>
      <c r="M12" s="10">
        <v>25</v>
      </c>
      <c r="N12" s="10">
        <v>932</v>
      </c>
      <c r="O12" s="10">
        <v>2797</v>
      </c>
      <c r="P12" s="10">
        <v>3.2</v>
      </c>
      <c r="Q12" s="10" t="s">
        <v>26</v>
      </c>
      <c r="S12" t="s">
        <v>1210</v>
      </c>
    </row>
    <row r="13" spans="1:19" x14ac:dyDescent="0.25">
      <c r="A13" s="10" t="s">
        <v>69</v>
      </c>
      <c r="B13" s="10" t="s">
        <v>67</v>
      </c>
      <c r="C13" s="10" t="s">
        <v>51</v>
      </c>
      <c r="D13" s="10" t="s">
        <v>70</v>
      </c>
      <c r="E13" s="10" t="s">
        <v>71</v>
      </c>
      <c r="F13" s="10" t="s">
        <v>72</v>
      </c>
      <c r="G13" s="10" t="s">
        <v>32</v>
      </c>
      <c r="H13" s="10" t="s">
        <v>33</v>
      </c>
      <c r="I13" s="10" t="s">
        <v>34</v>
      </c>
      <c r="J13" s="10">
        <v>3</v>
      </c>
      <c r="K13" s="10">
        <v>222</v>
      </c>
      <c r="L13" s="10">
        <v>666</v>
      </c>
      <c r="M13" s="10">
        <v>15</v>
      </c>
      <c r="N13" s="10">
        <v>100</v>
      </c>
      <c r="O13" s="10">
        <v>566</v>
      </c>
      <c r="P13" s="10">
        <v>3.5</v>
      </c>
      <c r="Q13" s="10" t="s">
        <v>26</v>
      </c>
      <c r="S13" t="s">
        <v>1211</v>
      </c>
    </row>
    <row r="14" spans="1:19" x14ac:dyDescent="0.25">
      <c r="A14" s="10" t="s">
        <v>73</v>
      </c>
      <c r="B14" s="10" t="s">
        <v>74</v>
      </c>
      <c r="C14" s="10" t="s">
        <v>51</v>
      </c>
      <c r="D14" s="10" t="s">
        <v>70</v>
      </c>
      <c r="E14" s="10" t="s">
        <v>48</v>
      </c>
      <c r="F14" s="10" t="s">
        <v>22</v>
      </c>
      <c r="G14" s="10" t="s">
        <v>23</v>
      </c>
      <c r="H14" s="10" t="s">
        <v>24</v>
      </c>
      <c r="I14" s="10" t="s">
        <v>25</v>
      </c>
      <c r="J14" s="10">
        <v>1</v>
      </c>
      <c r="K14" s="10">
        <v>279</v>
      </c>
      <c r="L14" s="10">
        <v>279</v>
      </c>
      <c r="M14" s="10">
        <v>30</v>
      </c>
      <c r="N14" s="10">
        <v>84</v>
      </c>
      <c r="O14" s="10">
        <v>195</v>
      </c>
      <c r="P14" s="10">
        <v>4.5999999999999996</v>
      </c>
      <c r="Q14" s="10" t="s">
        <v>75</v>
      </c>
    </row>
    <row r="15" spans="1:19" x14ac:dyDescent="0.25">
      <c r="A15" s="10" t="s">
        <v>76</v>
      </c>
      <c r="B15" s="10" t="s">
        <v>74</v>
      </c>
      <c r="C15" s="10" t="s">
        <v>28</v>
      </c>
      <c r="D15" s="10" t="s">
        <v>77</v>
      </c>
      <c r="E15" s="10" t="s">
        <v>78</v>
      </c>
      <c r="F15" s="10" t="s">
        <v>79</v>
      </c>
      <c r="G15" s="10" t="s">
        <v>23</v>
      </c>
      <c r="H15" s="10" t="s">
        <v>33</v>
      </c>
      <c r="I15" s="10" t="s">
        <v>34</v>
      </c>
      <c r="J15" s="10">
        <v>2</v>
      </c>
      <c r="K15" s="10">
        <v>1261</v>
      </c>
      <c r="L15" s="10">
        <v>2522</v>
      </c>
      <c r="M15" s="10">
        <v>10</v>
      </c>
      <c r="N15" s="10">
        <v>252</v>
      </c>
      <c r="O15" s="10">
        <v>2270</v>
      </c>
      <c r="P15" s="10">
        <v>4.9000000000000004</v>
      </c>
      <c r="Q15" s="10" t="s">
        <v>26</v>
      </c>
      <c r="S15" t="s">
        <v>1147</v>
      </c>
    </row>
    <row r="16" spans="1:19" x14ac:dyDescent="0.25">
      <c r="A16" s="10" t="s">
        <v>80</v>
      </c>
      <c r="B16" s="10" t="s">
        <v>81</v>
      </c>
      <c r="C16" s="10" t="s">
        <v>40</v>
      </c>
      <c r="D16" s="10" t="s">
        <v>47</v>
      </c>
      <c r="E16" s="10" t="s">
        <v>82</v>
      </c>
      <c r="F16" s="10" t="s">
        <v>83</v>
      </c>
      <c r="G16" s="10" t="s">
        <v>23</v>
      </c>
      <c r="H16" s="10" t="s">
        <v>24</v>
      </c>
      <c r="I16" s="10" t="s">
        <v>84</v>
      </c>
      <c r="J16" s="10">
        <v>1</v>
      </c>
      <c r="K16" s="10">
        <v>550</v>
      </c>
      <c r="L16" s="10">
        <v>550</v>
      </c>
      <c r="M16" s="10">
        <v>25</v>
      </c>
      <c r="N16" s="10">
        <v>138</v>
      </c>
      <c r="O16" s="10">
        <v>412</v>
      </c>
      <c r="P16" s="10">
        <v>3.5</v>
      </c>
      <c r="Q16" s="10" t="s">
        <v>26</v>
      </c>
      <c r="S16">
        <f>COUNTA(NykaaSalesData[[#All],[Order ID]])</f>
        <v>751</v>
      </c>
    </row>
    <row r="17" spans="1:19" x14ac:dyDescent="0.25">
      <c r="A17" s="10" t="s">
        <v>85</v>
      </c>
      <c r="B17" s="10" t="s">
        <v>86</v>
      </c>
      <c r="C17" s="10" t="s">
        <v>63</v>
      </c>
      <c r="D17" s="10" t="s">
        <v>64</v>
      </c>
      <c r="E17" s="10" t="s">
        <v>82</v>
      </c>
      <c r="F17" s="10" t="s">
        <v>22</v>
      </c>
      <c r="G17" s="10" t="s">
        <v>32</v>
      </c>
      <c r="H17" s="10" t="s">
        <v>33</v>
      </c>
      <c r="I17" s="10" t="s">
        <v>84</v>
      </c>
      <c r="J17" s="10">
        <v>4</v>
      </c>
      <c r="K17" s="10">
        <v>962</v>
      </c>
      <c r="L17" s="10">
        <v>3848</v>
      </c>
      <c r="M17" s="10">
        <v>25</v>
      </c>
      <c r="N17" s="10">
        <v>962</v>
      </c>
      <c r="O17" s="10">
        <v>2886</v>
      </c>
      <c r="P17" s="10">
        <v>4.2</v>
      </c>
      <c r="Q17" s="10" t="s">
        <v>26</v>
      </c>
    </row>
    <row r="18" spans="1:19" x14ac:dyDescent="0.25">
      <c r="A18" s="10" t="s">
        <v>87</v>
      </c>
      <c r="B18" s="10" t="s">
        <v>86</v>
      </c>
      <c r="C18" s="10" t="s">
        <v>28</v>
      </c>
      <c r="D18" s="10" t="s">
        <v>77</v>
      </c>
      <c r="E18" s="10" t="s">
        <v>30</v>
      </c>
      <c r="F18" s="10" t="s">
        <v>61</v>
      </c>
      <c r="G18" s="10" t="s">
        <v>44</v>
      </c>
      <c r="H18" s="10" t="s">
        <v>33</v>
      </c>
      <c r="I18" s="10" t="s">
        <v>84</v>
      </c>
      <c r="J18" s="10">
        <v>2</v>
      </c>
      <c r="K18" s="10">
        <v>215</v>
      </c>
      <c r="L18" s="10">
        <v>430</v>
      </c>
      <c r="M18" s="10">
        <v>25</v>
      </c>
      <c r="N18" s="10">
        <v>108</v>
      </c>
      <c r="O18" s="10">
        <v>322</v>
      </c>
      <c r="P18" s="10">
        <v>3.3</v>
      </c>
      <c r="Q18" s="10" t="s">
        <v>26</v>
      </c>
      <c r="S18" t="s">
        <v>1149</v>
      </c>
    </row>
    <row r="19" spans="1:19" x14ac:dyDescent="0.25">
      <c r="A19" s="10" t="s">
        <v>88</v>
      </c>
      <c r="B19" s="10" t="s">
        <v>89</v>
      </c>
      <c r="C19" s="10" t="s">
        <v>28</v>
      </c>
      <c r="D19" s="10" t="s">
        <v>77</v>
      </c>
      <c r="E19" s="10" t="s">
        <v>78</v>
      </c>
      <c r="F19" s="10" t="s">
        <v>83</v>
      </c>
      <c r="G19" s="10" t="s">
        <v>23</v>
      </c>
      <c r="H19" s="10" t="s">
        <v>33</v>
      </c>
      <c r="I19" s="10" t="s">
        <v>34</v>
      </c>
      <c r="J19" s="10">
        <v>2</v>
      </c>
      <c r="K19" s="10">
        <v>332</v>
      </c>
      <c r="L19" s="10">
        <v>664</v>
      </c>
      <c r="M19" s="10">
        <v>15</v>
      </c>
      <c r="N19" s="10">
        <v>100</v>
      </c>
      <c r="O19" s="10">
        <v>564</v>
      </c>
      <c r="P19" s="10">
        <v>4.5999999999999996</v>
      </c>
      <c r="Q19" s="10" t="s">
        <v>26</v>
      </c>
      <c r="S19">
        <f>SUM(NykaaSalesData[[#All],[Units Sold]])</f>
        <v>2324</v>
      </c>
    </row>
    <row r="20" spans="1:19" x14ac:dyDescent="0.25">
      <c r="A20" s="10" t="s">
        <v>90</v>
      </c>
      <c r="B20" s="10" t="s">
        <v>89</v>
      </c>
      <c r="C20" s="10" t="s">
        <v>91</v>
      </c>
      <c r="D20" s="10" t="s">
        <v>92</v>
      </c>
      <c r="E20" s="10" t="s">
        <v>42</v>
      </c>
      <c r="F20" s="10" t="s">
        <v>43</v>
      </c>
      <c r="G20" s="10" t="s">
        <v>23</v>
      </c>
      <c r="H20" s="10" t="s">
        <v>24</v>
      </c>
      <c r="I20" s="10" t="s">
        <v>25</v>
      </c>
      <c r="J20" s="10">
        <v>4</v>
      </c>
      <c r="K20" s="10">
        <v>2266</v>
      </c>
      <c r="L20" s="10">
        <v>9064</v>
      </c>
      <c r="M20" s="10">
        <v>20</v>
      </c>
      <c r="N20" s="10">
        <v>1813</v>
      </c>
      <c r="O20" s="10">
        <v>7251</v>
      </c>
      <c r="P20" s="10">
        <v>3.7</v>
      </c>
      <c r="Q20" s="10" t="s">
        <v>26</v>
      </c>
    </row>
    <row r="21" spans="1:19" x14ac:dyDescent="0.25">
      <c r="A21" s="10" t="s">
        <v>93</v>
      </c>
      <c r="B21" s="10" t="s">
        <v>94</v>
      </c>
      <c r="C21" s="10" t="s">
        <v>28</v>
      </c>
      <c r="D21" s="10" t="s">
        <v>95</v>
      </c>
      <c r="E21" s="10" t="s">
        <v>78</v>
      </c>
      <c r="F21" s="10" t="s">
        <v>61</v>
      </c>
      <c r="G21" s="10" t="s">
        <v>32</v>
      </c>
      <c r="H21" s="10" t="s">
        <v>24</v>
      </c>
      <c r="I21" s="10" t="s">
        <v>84</v>
      </c>
      <c r="J21" s="10">
        <v>5</v>
      </c>
      <c r="K21" s="10">
        <v>1298</v>
      </c>
      <c r="L21" s="10">
        <v>6490</v>
      </c>
      <c r="M21" s="10">
        <v>15</v>
      </c>
      <c r="N21" s="10">
        <v>974</v>
      </c>
      <c r="O21" s="10">
        <v>5516</v>
      </c>
      <c r="P21" s="10">
        <v>3.3</v>
      </c>
      <c r="Q21" s="10" t="s">
        <v>26</v>
      </c>
      <c r="S21" t="s">
        <v>1150</v>
      </c>
    </row>
    <row r="22" spans="1:19" x14ac:dyDescent="0.25">
      <c r="A22" s="10" t="s">
        <v>96</v>
      </c>
      <c r="B22" s="10" t="s">
        <v>94</v>
      </c>
      <c r="C22" s="10" t="s">
        <v>51</v>
      </c>
      <c r="D22" s="10" t="s">
        <v>97</v>
      </c>
      <c r="E22" s="10" t="s">
        <v>60</v>
      </c>
      <c r="F22" s="10" t="s">
        <v>22</v>
      </c>
      <c r="G22" s="10" t="s">
        <v>32</v>
      </c>
      <c r="H22" s="10" t="s">
        <v>24</v>
      </c>
      <c r="I22" s="10" t="s">
        <v>98</v>
      </c>
      <c r="J22" s="10">
        <v>4</v>
      </c>
      <c r="K22" s="10">
        <v>465</v>
      </c>
      <c r="L22" s="10">
        <v>1860</v>
      </c>
      <c r="M22" s="10">
        <v>10</v>
      </c>
      <c r="N22" s="10">
        <v>186</v>
      </c>
      <c r="O22" s="10">
        <v>1674</v>
      </c>
      <c r="P22" s="10">
        <v>4.8</v>
      </c>
      <c r="Q22" s="10" t="s">
        <v>26</v>
      </c>
      <c r="S22" s="29" t="s">
        <v>1213</v>
      </c>
    </row>
    <row r="23" spans="1:19" x14ac:dyDescent="0.25">
      <c r="A23" s="10" t="s">
        <v>99</v>
      </c>
      <c r="B23" s="10" t="s">
        <v>100</v>
      </c>
      <c r="C23" s="10" t="s">
        <v>28</v>
      </c>
      <c r="D23" s="10" t="s">
        <v>77</v>
      </c>
      <c r="E23" s="10" t="s">
        <v>101</v>
      </c>
      <c r="F23" s="10" t="s">
        <v>43</v>
      </c>
      <c r="G23" s="10" t="s">
        <v>23</v>
      </c>
      <c r="H23" s="10" t="s">
        <v>33</v>
      </c>
      <c r="I23" s="10" t="s">
        <v>84</v>
      </c>
      <c r="J23" s="10">
        <v>4</v>
      </c>
      <c r="K23" s="10">
        <v>1293</v>
      </c>
      <c r="L23" s="10">
        <v>5172</v>
      </c>
      <c r="M23" s="10">
        <v>10</v>
      </c>
      <c r="N23" s="10">
        <v>517</v>
      </c>
      <c r="O23" s="10">
        <v>4655</v>
      </c>
      <c r="P23" s="10">
        <v>3.6</v>
      </c>
      <c r="Q23" s="10" t="s">
        <v>26</v>
      </c>
    </row>
    <row r="24" spans="1:19" x14ac:dyDescent="0.25">
      <c r="A24" s="10" t="s">
        <v>102</v>
      </c>
      <c r="B24" s="10" t="s">
        <v>100</v>
      </c>
      <c r="C24" s="10" t="s">
        <v>28</v>
      </c>
      <c r="D24" s="10" t="s">
        <v>95</v>
      </c>
      <c r="E24" s="10" t="s">
        <v>30</v>
      </c>
      <c r="F24" s="10" t="s">
        <v>31</v>
      </c>
      <c r="G24" s="10" t="s">
        <v>23</v>
      </c>
      <c r="H24" s="10" t="s">
        <v>33</v>
      </c>
      <c r="I24" s="10" t="s">
        <v>84</v>
      </c>
      <c r="J24" s="10">
        <v>5</v>
      </c>
      <c r="K24" s="10">
        <v>555</v>
      </c>
      <c r="L24" s="10">
        <v>2775</v>
      </c>
      <c r="M24" s="10">
        <v>5</v>
      </c>
      <c r="N24" s="10">
        <v>139</v>
      </c>
      <c r="O24" s="10">
        <v>2636</v>
      </c>
      <c r="P24" s="10">
        <v>3.7</v>
      </c>
      <c r="Q24" s="10" t="s">
        <v>26</v>
      </c>
      <c r="S24" t="s">
        <v>1212</v>
      </c>
    </row>
    <row r="25" spans="1:19" x14ac:dyDescent="0.25">
      <c r="A25" s="10" t="s">
        <v>103</v>
      </c>
      <c r="B25" s="10" t="s">
        <v>100</v>
      </c>
      <c r="C25" s="10" t="s">
        <v>63</v>
      </c>
      <c r="D25" s="10" t="s">
        <v>64</v>
      </c>
      <c r="E25" s="10" t="s">
        <v>30</v>
      </c>
      <c r="F25" s="10" t="s">
        <v>79</v>
      </c>
      <c r="G25" s="10" t="s">
        <v>23</v>
      </c>
      <c r="H25" s="10" t="s">
        <v>104</v>
      </c>
      <c r="I25" s="10" t="s">
        <v>98</v>
      </c>
      <c r="J25" s="10">
        <v>5</v>
      </c>
      <c r="K25" s="10">
        <v>877</v>
      </c>
      <c r="L25" s="10">
        <v>4385</v>
      </c>
      <c r="M25" s="10">
        <v>0</v>
      </c>
      <c r="N25" s="10">
        <v>0</v>
      </c>
      <c r="O25" s="10">
        <v>4385</v>
      </c>
      <c r="P25" s="10">
        <v>4.3</v>
      </c>
      <c r="Q25" s="10" t="s">
        <v>26</v>
      </c>
      <c r="S25" t="s">
        <v>53</v>
      </c>
    </row>
    <row r="26" spans="1:19" x14ac:dyDescent="0.25">
      <c r="A26" s="10" t="s">
        <v>105</v>
      </c>
      <c r="B26" s="10" t="s">
        <v>106</v>
      </c>
      <c r="C26" s="10" t="s">
        <v>63</v>
      </c>
      <c r="D26" s="10" t="s">
        <v>64</v>
      </c>
      <c r="E26" s="10" t="s">
        <v>60</v>
      </c>
      <c r="F26" s="10" t="s">
        <v>31</v>
      </c>
      <c r="G26" s="10" t="s">
        <v>23</v>
      </c>
      <c r="H26" s="10" t="s">
        <v>33</v>
      </c>
      <c r="I26" s="10" t="s">
        <v>34</v>
      </c>
      <c r="J26" s="10">
        <v>3</v>
      </c>
      <c r="K26" s="10">
        <v>412</v>
      </c>
      <c r="L26" s="10">
        <v>1236</v>
      </c>
      <c r="M26" s="10">
        <v>30</v>
      </c>
      <c r="N26" s="10">
        <v>371</v>
      </c>
      <c r="O26" s="10">
        <v>865</v>
      </c>
      <c r="P26" s="10">
        <v>3.5</v>
      </c>
      <c r="Q26" s="10" t="s">
        <v>26</v>
      </c>
    </row>
    <row r="27" spans="1:19" x14ac:dyDescent="0.25">
      <c r="A27" s="10" t="s">
        <v>107</v>
      </c>
      <c r="B27" s="10" t="s">
        <v>106</v>
      </c>
      <c r="C27" s="10" t="s">
        <v>28</v>
      </c>
      <c r="D27" s="10" t="s">
        <v>77</v>
      </c>
      <c r="E27" s="10" t="s">
        <v>82</v>
      </c>
      <c r="F27" s="10" t="s">
        <v>65</v>
      </c>
      <c r="G27" s="10" t="s">
        <v>44</v>
      </c>
      <c r="H27" s="10" t="s">
        <v>24</v>
      </c>
      <c r="I27" s="10" t="s">
        <v>45</v>
      </c>
      <c r="J27" s="10">
        <v>2</v>
      </c>
      <c r="K27" s="10">
        <v>606</v>
      </c>
      <c r="L27" s="10">
        <v>1212</v>
      </c>
      <c r="M27" s="10">
        <v>25</v>
      </c>
      <c r="N27" s="10">
        <v>303</v>
      </c>
      <c r="O27" s="10">
        <v>909</v>
      </c>
      <c r="P27" s="10">
        <v>4.4000000000000004</v>
      </c>
      <c r="Q27" s="10" t="s">
        <v>26</v>
      </c>
    </row>
    <row r="28" spans="1:19" x14ac:dyDescent="0.25">
      <c r="A28" s="10" t="s">
        <v>108</v>
      </c>
      <c r="B28" s="10" t="s">
        <v>106</v>
      </c>
      <c r="C28" s="10" t="s">
        <v>19</v>
      </c>
      <c r="D28" s="10" t="s">
        <v>20</v>
      </c>
      <c r="E28" s="10" t="s">
        <v>21</v>
      </c>
      <c r="F28" s="10" t="s">
        <v>31</v>
      </c>
      <c r="G28" s="10" t="s">
        <v>23</v>
      </c>
      <c r="H28" s="10" t="s">
        <v>33</v>
      </c>
      <c r="I28" s="10" t="s">
        <v>25</v>
      </c>
      <c r="J28" s="10">
        <v>3</v>
      </c>
      <c r="K28" s="10">
        <v>905</v>
      </c>
      <c r="L28" s="10">
        <v>2715</v>
      </c>
      <c r="M28" s="10">
        <v>5</v>
      </c>
      <c r="N28" s="10">
        <v>136</v>
      </c>
      <c r="O28" s="10">
        <v>2579</v>
      </c>
      <c r="P28" s="10">
        <v>3.5</v>
      </c>
      <c r="Q28" s="10" t="s">
        <v>26</v>
      </c>
    </row>
    <row r="29" spans="1:19" x14ac:dyDescent="0.25">
      <c r="A29" s="10" t="s">
        <v>109</v>
      </c>
      <c r="B29" s="10" t="s">
        <v>106</v>
      </c>
      <c r="C29" s="10" t="s">
        <v>91</v>
      </c>
      <c r="D29" s="10" t="s">
        <v>110</v>
      </c>
      <c r="E29" s="10" t="s">
        <v>21</v>
      </c>
      <c r="F29" s="10" t="s">
        <v>43</v>
      </c>
      <c r="G29" s="10" t="s">
        <v>32</v>
      </c>
      <c r="H29" s="10" t="s">
        <v>104</v>
      </c>
      <c r="I29" s="10" t="s">
        <v>25</v>
      </c>
      <c r="J29" s="10">
        <v>3</v>
      </c>
      <c r="K29" s="10">
        <v>1884</v>
      </c>
      <c r="L29" s="10">
        <v>5652</v>
      </c>
      <c r="M29" s="10">
        <v>20</v>
      </c>
      <c r="N29" s="10">
        <v>1130</v>
      </c>
      <c r="O29" s="10">
        <v>4522</v>
      </c>
      <c r="P29" s="10">
        <v>4.4000000000000004</v>
      </c>
      <c r="Q29" s="10" t="s">
        <v>26</v>
      </c>
    </row>
    <row r="30" spans="1:19" x14ac:dyDescent="0.25">
      <c r="A30" s="10" t="s">
        <v>111</v>
      </c>
      <c r="B30" s="10" t="s">
        <v>112</v>
      </c>
      <c r="C30" s="10" t="s">
        <v>40</v>
      </c>
      <c r="D30" s="10" t="s">
        <v>113</v>
      </c>
      <c r="E30" s="10" t="s">
        <v>101</v>
      </c>
      <c r="F30" s="10" t="s">
        <v>22</v>
      </c>
      <c r="G30" s="10" t="s">
        <v>23</v>
      </c>
      <c r="H30" s="10" t="s">
        <v>24</v>
      </c>
      <c r="I30" s="10" t="s">
        <v>84</v>
      </c>
      <c r="J30" s="10">
        <v>5</v>
      </c>
      <c r="K30" s="10">
        <v>1394</v>
      </c>
      <c r="L30" s="10">
        <v>6970</v>
      </c>
      <c r="M30" s="10">
        <v>10</v>
      </c>
      <c r="N30" s="10">
        <v>697</v>
      </c>
      <c r="O30" s="10">
        <v>6273</v>
      </c>
      <c r="P30" s="10">
        <v>3.3</v>
      </c>
      <c r="Q30" s="10" t="s">
        <v>26</v>
      </c>
    </row>
    <row r="31" spans="1:19" x14ac:dyDescent="0.25">
      <c r="A31" s="10" t="s">
        <v>114</v>
      </c>
      <c r="B31" s="10" t="s">
        <v>112</v>
      </c>
      <c r="C31" s="10" t="s">
        <v>40</v>
      </c>
      <c r="D31" s="10" t="s">
        <v>113</v>
      </c>
      <c r="E31" s="10" t="s">
        <v>71</v>
      </c>
      <c r="F31" s="10" t="s">
        <v>61</v>
      </c>
      <c r="G31" s="10" t="s">
        <v>32</v>
      </c>
      <c r="H31" s="10" t="s">
        <v>24</v>
      </c>
      <c r="I31" s="10" t="s">
        <v>45</v>
      </c>
      <c r="J31" s="10">
        <v>5</v>
      </c>
      <c r="K31" s="10">
        <v>729</v>
      </c>
      <c r="L31" s="10">
        <v>3645</v>
      </c>
      <c r="M31" s="10">
        <v>5</v>
      </c>
      <c r="N31" s="10">
        <v>182</v>
      </c>
      <c r="O31" s="10">
        <v>3463</v>
      </c>
      <c r="P31" s="10">
        <v>4.7</v>
      </c>
      <c r="Q31" s="10" t="s">
        <v>26</v>
      </c>
    </row>
    <row r="32" spans="1:19" x14ac:dyDescent="0.25">
      <c r="A32" s="10" t="s">
        <v>115</v>
      </c>
      <c r="B32" s="10" t="s">
        <v>116</v>
      </c>
      <c r="C32" s="10" t="s">
        <v>51</v>
      </c>
      <c r="D32" s="10" t="s">
        <v>70</v>
      </c>
      <c r="E32" s="10" t="s">
        <v>60</v>
      </c>
      <c r="F32" s="10" t="s">
        <v>83</v>
      </c>
      <c r="G32" s="10" t="s">
        <v>23</v>
      </c>
      <c r="H32" s="10" t="s">
        <v>24</v>
      </c>
      <c r="I32" s="10" t="s">
        <v>45</v>
      </c>
      <c r="J32" s="10">
        <v>1</v>
      </c>
      <c r="K32" s="10">
        <v>596</v>
      </c>
      <c r="L32" s="10">
        <v>596</v>
      </c>
      <c r="M32" s="10">
        <v>10</v>
      </c>
      <c r="N32" s="10">
        <v>60</v>
      </c>
      <c r="O32" s="10">
        <v>536</v>
      </c>
      <c r="P32" s="10">
        <v>4.5999999999999996</v>
      </c>
      <c r="Q32" s="10" t="s">
        <v>26</v>
      </c>
    </row>
    <row r="33" spans="1:17" x14ac:dyDescent="0.25">
      <c r="A33" s="10" t="s">
        <v>117</v>
      </c>
      <c r="B33" s="10" t="s">
        <v>116</v>
      </c>
      <c r="C33" s="10" t="s">
        <v>51</v>
      </c>
      <c r="D33" s="10" t="s">
        <v>97</v>
      </c>
      <c r="E33" s="10" t="s">
        <v>30</v>
      </c>
      <c r="F33" s="10" t="s">
        <v>31</v>
      </c>
      <c r="G33" s="10" t="s">
        <v>44</v>
      </c>
      <c r="H33" s="10" t="s">
        <v>24</v>
      </c>
      <c r="I33" s="10" t="s">
        <v>84</v>
      </c>
      <c r="J33" s="10">
        <v>5</v>
      </c>
      <c r="K33" s="10">
        <v>243</v>
      </c>
      <c r="L33" s="10">
        <v>1215</v>
      </c>
      <c r="M33" s="10">
        <v>30</v>
      </c>
      <c r="N33" s="10">
        <v>364</v>
      </c>
      <c r="O33" s="10">
        <v>851</v>
      </c>
      <c r="P33" s="10">
        <v>4.5</v>
      </c>
      <c r="Q33" s="10" t="s">
        <v>26</v>
      </c>
    </row>
    <row r="34" spans="1:17" x14ac:dyDescent="0.25">
      <c r="A34" s="10" t="s">
        <v>118</v>
      </c>
      <c r="B34" s="10" t="s">
        <v>116</v>
      </c>
      <c r="C34" s="10" t="s">
        <v>91</v>
      </c>
      <c r="D34" s="10" t="s">
        <v>110</v>
      </c>
      <c r="E34" s="10" t="s">
        <v>71</v>
      </c>
      <c r="F34" s="10" t="s">
        <v>119</v>
      </c>
      <c r="G34" s="10" t="s">
        <v>44</v>
      </c>
      <c r="H34" s="10" t="s">
        <v>104</v>
      </c>
      <c r="I34" s="10" t="s">
        <v>98</v>
      </c>
      <c r="J34" s="10">
        <v>2</v>
      </c>
      <c r="K34" s="10">
        <v>2593</v>
      </c>
      <c r="L34" s="10">
        <v>5186</v>
      </c>
      <c r="M34" s="10">
        <v>30</v>
      </c>
      <c r="N34" s="10">
        <v>1556</v>
      </c>
      <c r="O34" s="10">
        <v>3630</v>
      </c>
      <c r="P34" s="10">
        <v>5</v>
      </c>
      <c r="Q34" s="10" t="s">
        <v>26</v>
      </c>
    </row>
    <row r="35" spans="1:17" x14ac:dyDescent="0.25">
      <c r="A35" s="10" t="s">
        <v>120</v>
      </c>
      <c r="B35" s="10" t="s">
        <v>116</v>
      </c>
      <c r="C35" s="10" t="s">
        <v>19</v>
      </c>
      <c r="D35" s="10" t="s">
        <v>121</v>
      </c>
      <c r="E35" s="10" t="s">
        <v>42</v>
      </c>
      <c r="F35" s="10" t="s">
        <v>119</v>
      </c>
      <c r="G35" s="10" t="s">
        <v>23</v>
      </c>
      <c r="H35" s="10" t="s">
        <v>24</v>
      </c>
      <c r="I35" s="10" t="s">
        <v>98</v>
      </c>
      <c r="J35" s="10">
        <v>3</v>
      </c>
      <c r="K35" s="10">
        <v>330</v>
      </c>
      <c r="L35" s="10">
        <v>990</v>
      </c>
      <c r="M35" s="10">
        <v>15</v>
      </c>
      <c r="N35" s="10">
        <v>148</v>
      </c>
      <c r="O35" s="10">
        <v>842</v>
      </c>
      <c r="P35" s="10">
        <v>3.9</v>
      </c>
      <c r="Q35" s="10" t="s">
        <v>26</v>
      </c>
    </row>
    <row r="36" spans="1:17" x14ac:dyDescent="0.25">
      <c r="A36" s="10" t="s">
        <v>122</v>
      </c>
      <c r="B36" s="10" t="s">
        <v>123</v>
      </c>
      <c r="C36" s="10" t="s">
        <v>51</v>
      </c>
      <c r="D36" s="10" t="s">
        <v>70</v>
      </c>
      <c r="E36" s="10" t="s">
        <v>42</v>
      </c>
      <c r="F36" s="10" t="s">
        <v>79</v>
      </c>
      <c r="G36" s="10" t="s">
        <v>23</v>
      </c>
      <c r="H36" s="10" t="s">
        <v>33</v>
      </c>
      <c r="I36" s="10" t="s">
        <v>98</v>
      </c>
      <c r="J36" s="10">
        <v>2</v>
      </c>
      <c r="K36" s="10">
        <v>587</v>
      </c>
      <c r="L36" s="10">
        <v>1174</v>
      </c>
      <c r="M36" s="10">
        <v>10</v>
      </c>
      <c r="N36" s="10">
        <v>117</v>
      </c>
      <c r="O36" s="10">
        <v>1057</v>
      </c>
      <c r="P36" s="10">
        <v>3.6</v>
      </c>
      <c r="Q36" s="10" t="s">
        <v>26</v>
      </c>
    </row>
    <row r="37" spans="1:17" x14ac:dyDescent="0.25">
      <c r="A37" s="10" t="s">
        <v>124</v>
      </c>
      <c r="B37" s="10" t="s">
        <v>123</v>
      </c>
      <c r="C37" s="10" t="s">
        <v>91</v>
      </c>
      <c r="D37" s="10" t="s">
        <v>125</v>
      </c>
      <c r="E37" s="10" t="s">
        <v>42</v>
      </c>
      <c r="F37" s="10" t="s">
        <v>83</v>
      </c>
      <c r="G37" s="10" t="s">
        <v>23</v>
      </c>
      <c r="H37" s="10" t="s">
        <v>33</v>
      </c>
      <c r="I37" s="10" t="s">
        <v>98</v>
      </c>
      <c r="J37" s="10">
        <v>2</v>
      </c>
      <c r="K37" s="10">
        <v>1681</v>
      </c>
      <c r="L37" s="10">
        <v>3362</v>
      </c>
      <c r="M37" s="10">
        <v>25</v>
      </c>
      <c r="N37" s="10">
        <v>840</v>
      </c>
      <c r="O37" s="10">
        <v>2522</v>
      </c>
      <c r="P37" s="10">
        <v>4.9000000000000004</v>
      </c>
      <c r="Q37" s="10" t="s">
        <v>75</v>
      </c>
    </row>
    <row r="38" spans="1:17" x14ac:dyDescent="0.25">
      <c r="A38" s="10" t="s">
        <v>126</v>
      </c>
      <c r="B38" s="10" t="s">
        <v>123</v>
      </c>
      <c r="C38" s="10" t="s">
        <v>91</v>
      </c>
      <c r="D38" s="10" t="s">
        <v>125</v>
      </c>
      <c r="E38" s="10" t="s">
        <v>37</v>
      </c>
      <c r="F38" s="10" t="s">
        <v>65</v>
      </c>
      <c r="G38" s="10" t="s">
        <v>32</v>
      </c>
      <c r="H38" s="10" t="s">
        <v>33</v>
      </c>
      <c r="I38" s="10" t="s">
        <v>34</v>
      </c>
      <c r="J38" s="10">
        <v>1</v>
      </c>
      <c r="K38" s="10">
        <v>1250</v>
      </c>
      <c r="L38" s="10">
        <v>1250</v>
      </c>
      <c r="M38" s="10">
        <v>5</v>
      </c>
      <c r="N38" s="10">
        <v>62</v>
      </c>
      <c r="O38" s="10">
        <v>1188</v>
      </c>
      <c r="P38" s="10">
        <v>3.6</v>
      </c>
      <c r="Q38" s="10" t="s">
        <v>26</v>
      </c>
    </row>
    <row r="39" spans="1:17" x14ac:dyDescent="0.25">
      <c r="A39" s="10" t="s">
        <v>127</v>
      </c>
      <c r="B39" s="10" t="s">
        <v>123</v>
      </c>
      <c r="C39" s="10" t="s">
        <v>19</v>
      </c>
      <c r="D39" s="10" t="s">
        <v>128</v>
      </c>
      <c r="E39" s="10" t="s">
        <v>42</v>
      </c>
      <c r="F39" s="10" t="s">
        <v>22</v>
      </c>
      <c r="G39" s="10" t="s">
        <v>23</v>
      </c>
      <c r="H39" s="10" t="s">
        <v>33</v>
      </c>
      <c r="I39" s="10" t="s">
        <v>98</v>
      </c>
      <c r="J39" s="10">
        <v>1</v>
      </c>
      <c r="K39" s="10">
        <v>481</v>
      </c>
      <c r="L39" s="10">
        <v>481</v>
      </c>
      <c r="M39" s="10">
        <v>10</v>
      </c>
      <c r="N39" s="10">
        <v>48</v>
      </c>
      <c r="O39" s="10">
        <v>433</v>
      </c>
      <c r="P39" s="10">
        <v>4</v>
      </c>
      <c r="Q39" s="10" t="s">
        <v>26</v>
      </c>
    </row>
    <row r="40" spans="1:17" x14ac:dyDescent="0.25">
      <c r="A40" s="10" t="s">
        <v>129</v>
      </c>
      <c r="B40" s="10" t="s">
        <v>123</v>
      </c>
      <c r="C40" s="10" t="s">
        <v>51</v>
      </c>
      <c r="D40" s="10" t="s">
        <v>97</v>
      </c>
      <c r="E40" s="10" t="s">
        <v>101</v>
      </c>
      <c r="F40" s="10" t="s">
        <v>130</v>
      </c>
      <c r="G40" s="10" t="s">
        <v>32</v>
      </c>
      <c r="H40" s="10" t="s">
        <v>33</v>
      </c>
      <c r="I40" s="10" t="s">
        <v>25</v>
      </c>
      <c r="J40" s="10">
        <v>5</v>
      </c>
      <c r="K40" s="10">
        <v>462</v>
      </c>
      <c r="L40" s="10">
        <v>2310</v>
      </c>
      <c r="M40" s="10">
        <v>25</v>
      </c>
      <c r="N40" s="10">
        <v>578</v>
      </c>
      <c r="O40" s="10">
        <v>1732</v>
      </c>
      <c r="P40" s="10">
        <v>3.3</v>
      </c>
      <c r="Q40" s="10" t="s">
        <v>26</v>
      </c>
    </row>
    <row r="41" spans="1:17" x14ac:dyDescent="0.25">
      <c r="A41" s="10" t="s">
        <v>131</v>
      </c>
      <c r="B41" s="10" t="s">
        <v>132</v>
      </c>
      <c r="C41" s="10" t="s">
        <v>63</v>
      </c>
      <c r="D41" s="10" t="s">
        <v>64</v>
      </c>
      <c r="E41" s="10" t="s">
        <v>30</v>
      </c>
      <c r="F41" s="10" t="s">
        <v>83</v>
      </c>
      <c r="G41" s="10" t="s">
        <v>23</v>
      </c>
      <c r="H41" s="10" t="s">
        <v>24</v>
      </c>
      <c r="I41" s="10" t="s">
        <v>84</v>
      </c>
      <c r="J41" s="10">
        <v>4</v>
      </c>
      <c r="K41" s="10">
        <v>858</v>
      </c>
      <c r="L41" s="10">
        <v>3432</v>
      </c>
      <c r="M41" s="10">
        <v>15</v>
      </c>
      <c r="N41" s="10">
        <v>515</v>
      </c>
      <c r="O41" s="10">
        <v>2917</v>
      </c>
      <c r="P41" s="10">
        <v>4.8</v>
      </c>
      <c r="Q41" s="10" t="s">
        <v>26</v>
      </c>
    </row>
    <row r="42" spans="1:17" x14ac:dyDescent="0.25">
      <c r="A42" s="10" t="s">
        <v>133</v>
      </c>
      <c r="B42" s="10" t="s">
        <v>132</v>
      </c>
      <c r="C42" s="10" t="s">
        <v>63</v>
      </c>
      <c r="D42" s="10" t="s">
        <v>134</v>
      </c>
      <c r="E42" s="10" t="s">
        <v>71</v>
      </c>
      <c r="F42" s="10" t="s">
        <v>119</v>
      </c>
      <c r="G42" s="10" t="s">
        <v>32</v>
      </c>
      <c r="H42" s="10" t="s">
        <v>24</v>
      </c>
      <c r="I42" s="10" t="s">
        <v>84</v>
      </c>
      <c r="J42" s="10">
        <v>1</v>
      </c>
      <c r="K42" s="10">
        <v>1046</v>
      </c>
      <c r="L42" s="10">
        <v>1046</v>
      </c>
      <c r="M42" s="10">
        <v>30</v>
      </c>
      <c r="N42" s="10">
        <v>314</v>
      </c>
      <c r="O42" s="10">
        <v>732</v>
      </c>
      <c r="P42" s="10">
        <v>4.9000000000000004</v>
      </c>
      <c r="Q42" s="10" t="s">
        <v>26</v>
      </c>
    </row>
    <row r="43" spans="1:17" x14ac:dyDescent="0.25">
      <c r="A43" s="10" t="s">
        <v>135</v>
      </c>
      <c r="B43" s="10" t="s">
        <v>136</v>
      </c>
      <c r="C43" s="10" t="s">
        <v>51</v>
      </c>
      <c r="D43" s="10" t="s">
        <v>52</v>
      </c>
      <c r="E43" s="10" t="s">
        <v>71</v>
      </c>
      <c r="F43" s="10" t="s">
        <v>31</v>
      </c>
      <c r="G43" s="10" t="s">
        <v>23</v>
      </c>
      <c r="H43" s="10" t="s">
        <v>33</v>
      </c>
      <c r="I43" s="10" t="s">
        <v>25</v>
      </c>
      <c r="J43" s="10">
        <v>4</v>
      </c>
      <c r="K43" s="10">
        <v>661</v>
      </c>
      <c r="L43" s="10">
        <v>2644</v>
      </c>
      <c r="M43" s="10">
        <v>5</v>
      </c>
      <c r="N43" s="10">
        <v>132</v>
      </c>
      <c r="O43" s="10">
        <v>2512</v>
      </c>
      <c r="P43" s="10">
        <v>4.9000000000000004</v>
      </c>
      <c r="Q43" s="10" t="s">
        <v>75</v>
      </c>
    </row>
    <row r="44" spans="1:17" x14ac:dyDescent="0.25">
      <c r="A44" s="10" t="s">
        <v>137</v>
      </c>
      <c r="B44" s="10" t="s">
        <v>138</v>
      </c>
      <c r="C44" s="10" t="s">
        <v>51</v>
      </c>
      <c r="D44" s="10" t="s">
        <v>70</v>
      </c>
      <c r="E44" s="10" t="s">
        <v>71</v>
      </c>
      <c r="F44" s="10" t="s">
        <v>61</v>
      </c>
      <c r="G44" s="10" t="s">
        <v>23</v>
      </c>
      <c r="H44" s="10" t="s">
        <v>104</v>
      </c>
      <c r="I44" s="10" t="s">
        <v>25</v>
      </c>
      <c r="J44" s="10">
        <v>2</v>
      </c>
      <c r="K44" s="10">
        <v>343</v>
      </c>
      <c r="L44" s="10">
        <v>686</v>
      </c>
      <c r="M44" s="10">
        <v>0</v>
      </c>
      <c r="N44" s="10">
        <v>0</v>
      </c>
      <c r="O44" s="10">
        <v>686</v>
      </c>
      <c r="P44" s="10">
        <v>4</v>
      </c>
      <c r="Q44" s="10" t="s">
        <v>26</v>
      </c>
    </row>
    <row r="45" spans="1:17" x14ac:dyDescent="0.25">
      <c r="A45" s="10" t="s">
        <v>139</v>
      </c>
      <c r="B45" s="10" t="s">
        <v>138</v>
      </c>
      <c r="C45" s="10" t="s">
        <v>19</v>
      </c>
      <c r="D45" s="10" t="s">
        <v>128</v>
      </c>
      <c r="E45" s="10" t="s">
        <v>71</v>
      </c>
      <c r="F45" s="10" t="s">
        <v>79</v>
      </c>
      <c r="G45" s="10" t="s">
        <v>23</v>
      </c>
      <c r="H45" s="10" t="s">
        <v>24</v>
      </c>
      <c r="I45" s="10" t="s">
        <v>45</v>
      </c>
      <c r="J45" s="10">
        <v>3</v>
      </c>
      <c r="K45" s="10">
        <v>895</v>
      </c>
      <c r="L45" s="10">
        <v>2685</v>
      </c>
      <c r="M45" s="10">
        <v>5</v>
      </c>
      <c r="N45" s="10">
        <v>134</v>
      </c>
      <c r="O45" s="10">
        <v>2551</v>
      </c>
      <c r="P45" s="10">
        <v>3.4</v>
      </c>
      <c r="Q45" s="10" t="s">
        <v>26</v>
      </c>
    </row>
    <row r="46" spans="1:17" x14ac:dyDescent="0.25">
      <c r="A46" s="10" t="s">
        <v>140</v>
      </c>
      <c r="B46" s="10" t="s">
        <v>138</v>
      </c>
      <c r="C46" s="10" t="s">
        <v>51</v>
      </c>
      <c r="D46" s="10" t="s">
        <v>52</v>
      </c>
      <c r="E46" s="10" t="s">
        <v>71</v>
      </c>
      <c r="F46" s="10" t="s">
        <v>83</v>
      </c>
      <c r="G46" s="10" t="s">
        <v>23</v>
      </c>
      <c r="H46" s="10" t="s">
        <v>104</v>
      </c>
      <c r="I46" s="10" t="s">
        <v>98</v>
      </c>
      <c r="J46" s="10">
        <v>4</v>
      </c>
      <c r="K46" s="10">
        <v>325</v>
      </c>
      <c r="L46" s="10">
        <v>1300</v>
      </c>
      <c r="M46" s="10">
        <v>0</v>
      </c>
      <c r="N46" s="10">
        <v>0</v>
      </c>
      <c r="O46" s="10">
        <v>1300</v>
      </c>
      <c r="P46" s="10">
        <v>4.4000000000000004</v>
      </c>
      <c r="Q46" s="10" t="s">
        <v>26</v>
      </c>
    </row>
    <row r="47" spans="1:17" x14ac:dyDescent="0.25">
      <c r="A47" s="10" t="s">
        <v>141</v>
      </c>
      <c r="B47" s="10" t="s">
        <v>142</v>
      </c>
      <c r="C47" s="10" t="s">
        <v>63</v>
      </c>
      <c r="D47" s="10" t="s">
        <v>143</v>
      </c>
      <c r="E47" s="10" t="s">
        <v>82</v>
      </c>
      <c r="F47" s="10" t="s">
        <v>119</v>
      </c>
      <c r="G47" s="10" t="s">
        <v>23</v>
      </c>
      <c r="H47" s="10" t="s">
        <v>33</v>
      </c>
      <c r="I47" s="10" t="s">
        <v>84</v>
      </c>
      <c r="J47" s="10">
        <v>4</v>
      </c>
      <c r="K47" s="10">
        <v>2459</v>
      </c>
      <c r="L47" s="10">
        <v>9836</v>
      </c>
      <c r="M47" s="10">
        <v>15</v>
      </c>
      <c r="N47" s="10">
        <v>1475</v>
      </c>
      <c r="O47" s="10">
        <v>8361</v>
      </c>
      <c r="P47" s="10">
        <v>4.3</v>
      </c>
      <c r="Q47" s="10" t="s">
        <v>26</v>
      </c>
    </row>
    <row r="48" spans="1:17" x14ac:dyDescent="0.25">
      <c r="A48" s="10" t="s">
        <v>144</v>
      </c>
      <c r="B48" s="10" t="s">
        <v>142</v>
      </c>
      <c r="C48" s="10" t="s">
        <v>51</v>
      </c>
      <c r="D48" s="10" t="s">
        <v>97</v>
      </c>
      <c r="E48" s="10" t="s">
        <v>78</v>
      </c>
      <c r="F48" s="10" t="s">
        <v>31</v>
      </c>
      <c r="G48" s="10" t="s">
        <v>23</v>
      </c>
      <c r="H48" s="10" t="s">
        <v>24</v>
      </c>
      <c r="I48" s="10" t="s">
        <v>25</v>
      </c>
      <c r="J48" s="10">
        <v>4</v>
      </c>
      <c r="K48" s="10">
        <v>274</v>
      </c>
      <c r="L48" s="10">
        <v>1096</v>
      </c>
      <c r="M48" s="10">
        <v>0</v>
      </c>
      <c r="N48" s="10">
        <v>0</v>
      </c>
      <c r="O48" s="10">
        <v>1096</v>
      </c>
      <c r="P48" s="10">
        <v>4.2</v>
      </c>
      <c r="Q48" s="10" t="s">
        <v>26</v>
      </c>
    </row>
    <row r="49" spans="1:17" x14ac:dyDescent="0.25">
      <c r="A49" s="10" t="s">
        <v>145</v>
      </c>
      <c r="B49" s="10" t="s">
        <v>146</v>
      </c>
      <c r="C49" s="10" t="s">
        <v>91</v>
      </c>
      <c r="D49" s="10" t="s">
        <v>92</v>
      </c>
      <c r="E49" s="10" t="s">
        <v>42</v>
      </c>
      <c r="F49" s="10" t="s">
        <v>79</v>
      </c>
      <c r="G49" s="10" t="s">
        <v>32</v>
      </c>
      <c r="H49" s="10" t="s">
        <v>104</v>
      </c>
      <c r="I49" s="10" t="s">
        <v>34</v>
      </c>
      <c r="J49" s="10">
        <v>2</v>
      </c>
      <c r="K49" s="10">
        <v>1318</v>
      </c>
      <c r="L49" s="10">
        <v>2636</v>
      </c>
      <c r="M49" s="10">
        <v>0</v>
      </c>
      <c r="N49" s="10">
        <v>0</v>
      </c>
      <c r="O49" s="10">
        <v>2636</v>
      </c>
      <c r="P49" s="10">
        <v>4.3</v>
      </c>
      <c r="Q49" s="10" t="s">
        <v>26</v>
      </c>
    </row>
    <row r="50" spans="1:17" x14ac:dyDescent="0.25">
      <c r="A50" s="10" t="s">
        <v>147</v>
      </c>
      <c r="B50" s="10" t="s">
        <v>146</v>
      </c>
      <c r="C50" s="10" t="s">
        <v>40</v>
      </c>
      <c r="D50" s="10" t="s">
        <v>113</v>
      </c>
      <c r="E50" s="10" t="s">
        <v>53</v>
      </c>
      <c r="F50" s="10" t="s">
        <v>31</v>
      </c>
      <c r="G50" s="10" t="s">
        <v>32</v>
      </c>
      <c r="H50" s="10" t="s">
        <v>24</v>
      </c>
      <c r="I50" s="10" t="s">
        <v>98</v>
      </c>
      <c r="J50" s="10">
        <v>1</v>
      </c>
      <c r="K50" s="10">
        <v>1217</v>
      </c>
      <c r="L50" s="10">
        <v>1217</v>
      </c>
      <c r="M50" s="10">
        <v>25</v>
      </c>
      <c r="N50" s="10">
        <v>304</v>
      </c>
      <c r="O50" s="10">
        <v>913</v>
      </c>
      <c r="P50" s="10">
        <v>3.8</v>
      </c>
      <c r="Q50" s="10" t="s">
        <v>26</v>
      </c>
    </row>
    <row r="51" spans="1:17" x14ac:dyDescent="0.25">
      <c r="A51" s="10" t="s">
        <v>148</v>
      </c>
      <c r="B51" s="10" t="s">
        <v>149</v>
      </c>
      <c r="C51" s="10" t="s">
        <v>19</v>
      </c>
      <c r="D51" s="10" t="s">
        <v>128</v>
      </c>
      <c r="E51" s="10" t="s">
        <v>42</v>
      </c>
      <c r="F51" s="10" t="s">
        <v>65</v>
      </c>
      <c r="G51" s="10" t="s">
        <v>23</v>
      </c>
      <c r="H51" s="10" t="s">
        <v>24</v>
      </c>
      <c r="I51" s="10" t="s">
        <v>25</v>
      </c>
      <c r="J51" s="10">
        <v>5</v>
      </c>
      <c r="K51" s="10">
        <v>958</v>
      </c>
      <c r="L51" s="10">
        <v>4790</v>
      </c>
      <c r="M51" s="10">
        <v>15</v>
      </c>
      <c r="N51" s="10">
        <v>718</v>
      </c>
      <c r="O51" s="10">
        <v>4072</v>
      </c>
      <c r="P51" s="10">
        <v>3.4</v>
      </c>
      <c r="Q51" s="10" t="s">
        <v>26</v>
      </c>
    </row>
    <row r="52" spans="1:17" x14ac:dyDescent="0.25">
      <c r="A52" s="10" t="s">
        <v>150</v>
      </c>
      <c r="B52" s="10" t="s">
        <v>151</v>
      </c>
      <c r="C52" s="10" t="s">
        <v>19</v>
      </c>
      <c r="D52" s="10" t="s">
        <v>128</v>
      </c>
      <c r="E52" s="10" t="s">
        <v>82</v>
      </c>
      <c r="F52" s="10" t="s">
        <v>43</v>
      </c>
      <c r="G52" s="10" t="s">
        <v>44</v>
      </c>
      <c r="H52" s="10" t="s">
        <v>33</v>
      </c>
      <c r="I52" s="10" t="s">
        <v>98</v>
      </c>
      <c r="J52" s="10">
        <v>5</v>
      </c>
      <c r="K52" s="10">
        <v>226</v>
      </c>
      <c r="L52" s="10">
        <v>1130</v>
      </c>
      <c r="M52" s="10">
        <v>15</v>
      </c>
      <c r="N52" s="10">
        <v>170</v>
      </c>
      <c r="O52" s="10">
        <v>960</v>
      </c>
      <c r="P52" s="10">
        <v>3.7</v>
      </c>
      <c r="Q52" s="10" t="s">
        <v>26</v>
      </c>
    </row>
    <row r="53" spans="1:17" x14ac:dyDescent="0.25">
      <c r="A53" s="10" t="s">
        <v>152</v>
      </c>
      <c r="B53" s="10" t="s">
        <v>153</v>
      </c>
      <c r="C53" s="10" t="s">
        <v>51</v>
      </c>
      <c r="D53" s="10" t="s">
        <v>97</v>
      </c>
      <c r="E53" s="10" t="s">
        <v>78</v>
      </c>
      <c r="F53" s="10" t="s">
        <v>31</v>
      </c>
      <c r="G53" s="10" t="s">
        <v>23</v>
      </c>
      <c r="H53" s="10" t="s">
        <v>33</v>
      </c>
      <c r="I53" s="10" t="s">
        <v>25</v>
      </c>
      <c r="J53" s="10">
        <v>3</v>
      </c>
      <c r="K53" s="10">
        <v>437</v>
      </c>
      <c r="L53" s="10">
        <v>1311</v>
      </c>
      <c r="M53" s="10">
        <v>15</v>
      </c>
      <c r="N53" s="10">
        <v>197</v>
      </c>
      <c r="O53" s="10">
        <v>1114</v>
      </c>
      <c r="P53" s="10">
        <v>4.0999999999999996</v>
      </c>
      <c r="Q53" s="10" t="s">
        <v>26</v>
      </c>
    </row>
    <row r="54" spans="1:17" x14ac:dyDescent="0.25">
      <c r="A54" s="10" t="s">
        <v>154</v>
      </c>
      <c r="B54" s="10" t="s">
        <v>153</v>
      </c>
      <c r="C54" s="10" t="s">
        <v>40</v>
      </c>
      <c r="D54" s="10" t="s">
        <v>113</v>
      </c>
      <c r="E54" s="10" t="s">
        <v>155</v>
      </c>
      <c r="F54" s="10" t="s">
        <v>22</v>
      </c>
      <c r="G54" s="10" t="s">
        <v>23</v>
      </c>
      <c r="H54" s="10" t="s">
        <v>33</v>
      </c>
      <c r="I54" s="10" t="s">
        <v>45</v>
      </c>
      <c r="J54" s="10">
        <v>5</v>
      </c>
      <c r="K54" s="10">
        <v>438</v>
      </c>
      <c r="L54" s="10">
        <v>2190</v>
      </c>
      <c r="M54" s="10">
        <v>5</v>
      </c>
      <c r="N54" s="10">
        <v>110</v>
      </c>
      <c r="O54" s="10">
        <v>2080</v>
      </c>
      <c r="P54" s="10">
        <v>4.5</v>
      </c>
      <c r="Q54" s="10" t="s">
        <v>26</v>
      </c>
    </row>
    <row r="55" spans="1:17" x14ac:dyDescent="0.25">
      <c r="A55" s="10" t="s">
        <v>156</v>
      </c>
      <c r="B55" s="10" t="s">
        <v>157</v>
      </c>
      <c r="C55" s="10" t="s">
        <v>63</v>
      </c>
      <c r="D55" s="10" t="s">
        <v>143</v>
      </c>
      <c r="E55" s="10" t="s">
        <v>71</v>
      </c>
      <c r="F55" s="10" t="s">
        <v>130</v>
      </c>
      <c r="G55" s="10" t="s">
        <v>32</v>
      </c>
      <c r="H55" s="10" t="s">
        <v>24</v>
      </c>
      <c r="I55" s="10" t="s">
        <v>45</v>
      </c>
      <c r="J55" s="10">
        <v>2</v>
      </c>
      <c r="K55" s="10">
        <v>2313</v>
      </c>
      <c r="L55" s="10">
        <v>4626</v>
      </c>
      <c r="M55" s="10">
        <v>25</v>
      </c>
      <c r="N55" s="10">
        <v>1156</v>
      </c>
      <c r="O55" s="10">
        <v>3470</v>
      </c>
      <c r="P55" s="10">
        <v>4.5</v>
      </c>
      <c r="Q55" s="10" t="s">
        <v>26</v>
      </c>
    </row>
    <row r="56" spans="1:17" x14ac:dyDescent="0.25">
      <c r="A56" s="10" t="s">
        <v>158</v>
      </c>
      <c r="B56" s="10" t="s">
        <v>157</v>
      </c>
      <c r="C56" s="10" t="s">
        <v>28</v>
      </c>
      <c r="D56" s="10" t="s">
        <v>95</v>
      </c>
      <c r="E56" s="10" t="s">
        <v>78</v>
      </c>
      <c r="F56" s="10" t="s">
        <v>72</v>
      </c>
      <c r="G56" s="10" t="s">
        <v>23</v>
      </c>
      <c r="H56" s="10" t="s">
        <v>24</v>
      </c>
      <c r="I56" s="10" t="s">
        <v>84</v>
      </c>
      <c r="J56" s="10">
        <v>4</v>
      </c>
      <c r="K56" s="10">
        <v>864</v>
      </c>
      <c r="L56" s="10">
        <v>3456</v>
      </c>
      <c r="M56" s="10">
        <v>10</v>
      </c>
      <c r="N56" s="10">
        <v>346</v>
      </c>
      <c r="O56" s="10">
        <v>3110</v>
      </c>
      <c r="P56" s="10">
        <v>3.5</v>
      </c>
      <c r="Q56" s="10" t="s">
        <v>26</v>
      </c>
    </row>
    <row r="57" spans="1:17" x14ac:dyDescent="0.25">
      <c r="A57" s="10" t="s">
        <v>159</v>
      </c>
      <c r="B57" s="10" t="s">
        <v>157</v>
      </c>
      <c r="C57" s="10" t="s">
        <v>91</v>
      </c>
      <c r="D57" s="10" t="s">
        <v>110</v>
      </c>
      <c r="E57" s="10" t="s">
        <v>21</v>
      </c>
      <c r="F57" s="10" t="s">
        <v>79</v>
      </c>
      <c r="G57" s="10" t="s">
        <v>32</v>
      </c>
      <c r="H57" s="10" t="s">
        <v>33</v>
      </c>
      <c r="I57" s="10" t="s">
        <v>45</v>
      </c>
      <c r="J57" s="10">
        <v>2</v>
      </c>
      <c r="K57" s="10">
        <v>1750</v>
      </c>
      <c r="L57" s="10">
        <v>3500</v>
      </c>
      <c r="M57" s="10">
        <v>30</v>
      </c>
      <c r="N57" s="10">
        <v>1050</v>
      </c>
      <c r="O57" s="10">
        <v>2450</v>
      </c>
      <c r="P57" s="10">
        <v>4.4000000000000004</v>
      </c>
      <c r="Q57" s="10" t="s">
        <v>26</v>
      </c>
    </row>
    <row r="58" spans="1:17" x14ac:dyDescent="0.25">
      <c r="A58" s="10" t="s">
        <v>160</v>
      </c>
      <c r="B58" s="10" t="s">
        <v>161</v>
      </c>
      <c r="C58" s="10" t="s">
        <v>51</v>
      </c>
      <c r="D58" s="10" t="s">
        <v>52</v>
      </c>
      <c r="E58" s="10" t="s">
        <v>155</v>
      </c>
      <c r="F58" s="10" t="s">
        <v>119</v>
      </c>
      <c r="G58" s="10" t="s">
        <v>23</v>
      </c>
      <c r="H58" s="10" t="s">
        <v>33</v>
      </c>
      <c r="I58" s="10" t="s">
        <v>25</v>
      </c>
      <c r="J58" s="10">
        <v>1</v>
      </c>
      <c r="K58" s="10">
        <v>641</v>
      </c>
      <c r="L58" s="10">
        <v>641</v>
      </c>
      <c r="M58" s="10">
        <v>0</v>
      </c>
      <c r="N58" s="10">
        <v>0</v>
      </c>
      <c r="O58" s="10">
        <v>641</v>
      </c>
      <c r="P58" s="10">
        <v>4</v>
      </c>
      <c r="Q58" s="10" t="s">
        <v>26</v>
      </c>
    </row>
    <row r="59" spans="1:17" x14ac:dyDescent="0.25">
      <c r="A59" s="10" t="s">
        <v>162</v>
      </c>
      <c r="B59" s="10" t="s">
        <v>161</v>
      </c>
      <c r="C59" s="10" t="s">
        <v>28</v>
      </c>
      <c r="D59" s="10" t="s">
        <v>163</v>
      </c>
      <c r="E59" s="10" t="s">
        <v>37</v>
      </c>
      <c r="F59" s="10" t="s">
        <v>31</v>
      </c>
      <c r="G59" s="10" t="s">
        <v>23</v>
      </c>
      <c r="H59" s="10" t="s">
        <v>33</v>
      </c>
      <c r="I59" s="10" t="s">
        <v>34</v>
      </c>
      <c r="J59" s="10">
        <v>3</v>
      </c>
      <c r="K59" s="10">
        <v>841</v>
      </c>
      <c r="L59" s="10">
        <v>2523</v>
      </c>
      <c r="M59" s="10">
        <v>20</v>
      </c>
      <c r="N59" s="10">
        <v>505</v>
      </c>
      <c r="O59" s="10">
        <v>2018</v>
      </c>
      <c r="P59" s="10">
        <v>4.5999999999999996</v>
      </c>
      <c r="Q59" s="10" t="s">
        <v>26</v>
      </c>
    </row>
    <row r="60" spans="1:17" x14ac:dyDescent="0.25">
      <c r="A60" s="10" t="s">
        <v>164</v>
      </c>
      <c r="B60" s="10" t="s">
        <v>165</v>
      </c>
      <c r="C60" s="10" t="s">
        <v>91</v>
      </c>
      <c r="D60" s="10" t="s">
        <v>92</v>
      </c>
      <c r="E60" s="10" t="s">
        <v>82</v>
      </c>
      <c r="F60" s="10" t="s">
        <v>61</v>
      </c>
      <c r="G60" s="10" t="s">
        <v>23</v>
      </c>
      <c r="H60" s="10" t="s">
        <v>104</v>
      </c>
      <c r="I60" s="10" t="s">
        <v>34</v>
      </c>
      <c r="J60" s="10">
        <v>1</v>
      </c>
      <c r="K60" s="10">
        <v>1760</v>
      </c>
      <c r="L60" s="10">
        <v>1760</v>
      </c>
      <c r="M60" s="10">
        <v>5</v>
      </c>
      <c r="N60" s="10">
        <v>88</v>
      </c>
      <c r="O60" s="10">
        <v>1672</v>
      </c>
      <c r="P60" s="10">
        <v>3.3</v>
      </c>
      <c r="Q60" s="10" t="s">
        <v>26</v>
      </c>
    </row>
    <row r="61" spans="1:17" x14ac:dyDescent="0.25">
      <c r="A61" s="10" t="s">
        <v>166</v>
      </c>
      <c r="B61" s="10" t="s">
        <v>165</v>
      </c>
      <c r="C61" s="10" t="s">
        <v>63</v>
      </c>
      <c r="D61" s="10" t="s">
        <v>143</v>
      </c>
      <c r="E61" s="10" t="s">
        <v>82</v>
      </c>
      <c r="F61" s="10" t="s">
        <v>65</v>
      </c>
      <c r="G61" s="10" t="s">
        <v>23</v>
      </c>
      <c r="H61" s="10" t="s">
        <v>33</v>
      </c>
      <c r="I61" s="10" t="s">
        <v>34</v>
      </c>
      <c r="J61" s="10">
        <v>4</v>
      </c>
      <c r="K61" s="10">
        <v>614</v>
      </c>
      <c r="L61" s="10">
        <v>2456</v>
      </c>
      <c r="M61" s="10">
        <v>30</v>
      </c>
      <c r="N61" s="10">
        <v>737</v>
      </c>
      <c r="O61" s="10">
        <v>1719</v>
      </c>
      <c r="P61" s="10">
        <v>4.4000000000000004</v>
      </c>
      <c r="Q61" s="10" t="s">
        <v>26</v>
      </c>
    </row>
    <row r="62" spans="1:17" x14ac:dyDescent="0.25">
      <c r="A62" s="10" t="s">
        <v>167</v>
      </c>
      <c r="B62" s="10" t="s">
        <v>165</v>
      </c>
      <c r="C62" s="10" t="s">
        <v>28</v>
      </c>
      <c r="D62" s="10" t="s">
        <v>36</v>
      </c>
      <c r="E62" s="10" t="s">
        <v>53</v>
      </c>
      <c r="F62" s="10" t="s">
        <v>31</v>
      </c>
      <c r="G62" s="10" t="s">
        <v>32</v>
      </c>
      <c r="H62" s="10" t="s">
        <v>33</v>
      </c>
      <c r="I62" s="10" t="s">
        <v>25</v>
      </c>
      <c r="J62" s="10">
        <v>3</v>
      </c>
      <c r="K62" s="10">
        <v>1088</v>
      </c>
      <c r="L62" s="10">
        <v>3264</v>
      </c>
      <c r="M62" s="10">
        <v>15</v>
      </c>
      <c r="N62" s="10">
        <v>490</v>
      </c>
      <c r="O62" s="10">
        <v>2774</v>
      </c>
      <c r="P62" s="10">
        <v>4.9000000000000004</v>
      </c>
      <c r="Q62" s="10" t="s">
        <v>26</v>
      </c>
    </row>
    <row r="63" spans="1:17" x14ac:dyDescent="0.25">
      <c r="A63" s="10" t="s">
        <v>168</v>
      </c>
      <c r="B63" s="10" t="s">
        <v>165</v>
      </c>
      <c r="C63" s="10" t="s">
        <v>63</v>
      </c>
      <c r="D63" s="10" t="s">
        <v>143</v>
      </c>
      <c r="E63" s="10" t="s">
        <v>42</v>
      </c>
      <c r="F63" s="10" t="s">
        <v>22</v>
      </c>
      <c r="G63" s="10" t="s">
        <v>23</v>
      </c>
      <c r="H63" s="10" t="s">
        <v>33</v>
      </c>
      <c r="I63" s="10" t="s">
        <v>98</v>
      </c>
      <c r="J63" s="10">
        <v>1</v>
      </c>
      <c r="K63" s="10">
        <v>961</v>
      </c>
      <c r="L63" s="10">
        <v>961</v>
      </c>
      <c r="M63" s="10">
        <v>25</v>
      </c>
      <c r="N63" s="10">
        <v>240</v>
      </c>
      <c r="O63" s="10">
        <v>721</v>
      </c>
      <c r="P63" s="10">
        <v>4</v>
      </c>
      <c r="Q63" s="10" t="s">
        <v>26</v>
      </c>
    </row>
    <row r="64" spans="1:17" x14ac:dyDescent="0.25">
      <c r="A64" s="10" t="s">
        <v>169</v>
      </c>
      <c r="B64" s="10" t="s">
        <v>165</v>
      </c>
      <c r="C64" s="10" t="s">
        <v>40</v>
      </c>
      <c r="D64" s="10" t="s">
        <v>57</v>
      </c>
      <c r="E64" s="10" t="s">
        <v>30</v>
      </c>
      <c r="F64" s="10" t="s">
        <v>119</v>
      </c>
      <c r="G64" s="10" t="s">
        <v>32</v>
      </c>
      <c r="H64" s="10" t="s">
        <v>104</v>
      </c>
      <c r="I64" s="10" t="s">
        <v>45</v>
      </c>
      <c r="J64" s="10">
        <v>3</v>
      </c>
      <c r="K64" s="10">
        <v>1252</v>
      </c>
      <c r="L64" s="10">
        <v>3756</v>
      </c>
      <c r="M64" s="10">
        <v>0</v>
      </c>
      <c r="N64" s="10">
        <v>0</v>
      </c>
      <c r="O64" s="10">
        <v>3756</v>
      </c>
      <c r="P64" s="10">
        <v>4.7</v>
      </c>
      <c r="Q64" s="10" t="s">
        <v>26</v>
      </c>
    </row>
    <row r="65" spans="1:17" x14ac:dyDescent="0.25">
      <c r="A65" s="10" t="s">
        <v>170</v>
      </c>
      <c r="B65" s="10" t="s">
        <v>171</v>
      </c>
      <c r="C65" s="10" t="s">
        <v>91</v>
      </c>
      <c r="D65" s="10" t="s">
        <v>110</v>
      </c>
      <c r="E65" s="10" t="s">
        <v>78</v>
      </c>
      <c r="F65" s="10" t="s">
        <v>61</v>
      </c>
      <c r="G65" s="10" t="s">
        <v>23</v>
      </c>
      <c r="H65" s="10" t="s">
        <v>24</v>
      </c>
      <c r="I65" s="10" t="s">
        <v>45</v>
      </c>
      <c r="J65" s="10">
        <v>5</v>
      </c>
      <c r="K65" s="10">
        <v>2411</v>
      </c>
      <c r="L65" s="10">
        <v>12055</v>
      </c>
      <c r="M65" s="10">
        <v>0</v>
      </c>
      <c r="N65" s="10">
        <v>0</v>
      </c>
      <c r="O65" s="10">
        <v>12055</v>
      </c>
      <c r="P65" s="10">
        <v>3.4</v>
      </c>
      <c r="Q65" s="10" t="s">
        <v>26</v>
      </c>
    </row>
    <row r="66" spans="1:17" x14ac:dyDescent="0.25">
      <c r="A66" s="10" t="s">
        <v>172</v>
      </c>
      <c r="B66" s="10" t="s">
        <v>171</v>
      </c>
      <c r="C66" s="10" t="s">
        <v>63</v>
      </c>
      <c r="D66" s="10" t="s">
        <v>64</v>
      </c>
      <c r="E66" s="10" t="s">
        <v>53</v>
      </c>
      <c r="F66" s="10" t="s">
        <v>79</v>
      </c>
      <c r="G66" s="10" t="s">
        <v>23</v>
      </c>
      <c r="H66" s="10" t="s">
        <v>33</v>
      </c>
      <c r="I66" s="10" t="s">
        <v>34</v>
      </c>
      <c r="J66" s="10">
        <v>5</v>
      </c>
      <c r="K66" s="10">
        <v>622</v>
      </c>
      <c r="L66" s="10">
        <v>3110</v>
      </c>
      <c r="M66" s="10">
        <v>30</v>
      </c>
      <c r="N66" s="10">
        <v>933</v>
      </c>
      <c r="O66" s="10">
        <v>2177</v>
      </c>
      <c r="P66" s="10">
        <v>4.4000000000000004</v>
      </c>
      <c r="Q66" s="10" t="s">
        <v>26</v>
      </c>
    </row>
    <row r="67" spans="1:17" x14ac:dyDescent="0.25">
      <c r="A67" s="10" t="s">
        <v>173</v>
      </c>
      <c r="B67" s="10" t="s">
        <v>171</v>
      </c>
      <c r="C67" s="10" t="s">
        <v>91</v>
      </c>
      <c r="D67" s="10" t="s">
        <v>92</v>
      </c>
      <c r="E67" s="10" t="s">
        <v>78</v>
      </c>
      <c r="F67" s="10" t="s">
        <v>61</v>
      </c>
      <c r="G67" s="10" t="s">
        <v>23</v>
      </c>
      <c r="H67" s="10" t="s">
        <v>24</v>
      </c>
      <c r="I67" s="10" t="s">
        <v>98</v>
      </c>
      <c r="J67" s="10">
        <v>1</v>
      </c>
      <c r="K67" s="10">
        <v>1629</v>
      </c>
      <c r="L67" s="10">
        <v>1629</v>
      </c>
      <c r="M67" s="10">
        <v>5</v>
      </c>
      <c r="N67" s="10">
        <v>81</v>
      </c>
      <c r="O67" s="10">
        <v>1548</v>
      </c>
      <c r="P67" s="10">
        <v>4.9000000000000004</v>
      </c>
      <c r="Q67" s="10" t="s">
        <v>26</v>
      </c>
    </row>
    <row r="68" spans="1:17" x14ac:dyDescent="0.25">
      <c r="A68" s="10" t="s">
        <v>174</v>
      </c>
      <c r="B68" s="10" t="s">
        <v>171</v>
      </c>
      <c r="C68" s="10" t="s">
        <v>28</v>
      </c>
      <c r="D68" s="10" t="s">
        <v>77</v>
      </c>
      <c r="E68" s="10" t="s">
        <v>48</v>
      </c>
      <c r="F68" s="10" t="s">
        <v>22</v>
      </c>
      <c r="G68" s="10" t="s">
        <v>32</v>
      </c>
      <c r="H68" s="10" t="s">
        <v>33</v>
      </c>
      <c r="I68" s="10" t="s">
        <v>45</v>
      </c>
      <c r="J68" s="10">
        <v>1</v>
      </c>
      <c r="K68" s="10">
        <v>240</v>
      </c>
      <c r="L68" s="10">
        <v>240</v>
      </c>
      <c r="M68" s="10">
        <v>0</v>
      </c>
      <c r="N68" s="10">
        <v>0</v>
      </c>
      <c r="O68" s="10">
        <v>240</v>
      </c>
      <c r="P68" s="10">
        <v>3.8</v>
      </c>
      <c r="Q68" s="10" t="s">
        <v>26</v>
      </c>
    </row>
    <row r="69" spans="1:17" x14ac:dyDescent="0.25">
      <c r="A69" s="10" t="s">
        <v>175</v>
      </c>
      <c r="B69" s="10" t="s">
        <v>176</v>
      </c>
      <c r="C69" s="10" t="s">
        <v>91</v>
      </c>
      <c r="D69" s="10" t="s">
        <v>125</v>
      </c>
      <c r="E69" s="10" t="s">
        <v>155</v>
      </c>
      <c r="F69" s="10" t="s">
        <v>31</v>
      </c>
      <c r="G69" s="10" t="s">
        <v>23</v>
      </c>
      <c r="H69" s="10" t="s">
        <v>33</v>
      </c>
      <c r="I69" s="10" t="s">
        <v>25</v>
      </c>
      <c r="J69" s="10">
        <v>3</v>
      </c>
      <c r="K69" s="10">
        <v>2026</v>
      </c>
      <c r="L69" s="10">
        <v>6078</v>
      </c>
      <c r="M69" s="10">
        <v>15</v>
      </c>
      <c r="N69" s="10">
        <v>912</v>
      </c>
      <c r="O69" s="10">
        <v>5166</v>
      </c>
      <c r="P69" s="10">
        <v>3.3</v>
      </c>
      <c r="Q69" s="10" t="s">
        <v>26</v>
      </c>
    </row>
    <row r="70" spans="1:17" x14ac:dyDescent="0.25">
      <c r="A70" s="10" t="s">
        <v>177</v>
      </c>
      <c r="B70" s="10" t="s">
        <v>178</v>
      </c>
      <c r="C70" s="10" t="s">
        <v>28</v>
      </c>
      <c r="D70" s="10" t="s">
        <v>29</v>
      </c>
      <c r="E70" s="10" t="s">
        <v>53</v>
      </c>
      <c r="F70" s="10" t="s">
        <v>72</v>
      </c>
      <c r="G70" s="10" t="s">
        <v>32</v>
      </c>
      <c r="H70" s="10" t="s">
        <v>33</v>
      </c>
      <c r="I70" s="10" t="s">
        <v>98</v>
      </c>
      <c r="J70" s="10">
        <v>2</v>
      </c>
      <c r="K70" s="10">
        <v>986</v>
      </c>
      <c r="L70" s="10">
        <v>1972</v>
      </c>
      <c r="M70" s="10">
        <v>10</v>
      </c>
      <c r="N70" s="10">
        <v>197</v>
      </c>
      <c r="O70" s="10">
        <v>1775</v>
      </c>
      <c r="P70" s="10">
        <v>3.5</v>
      </c>
      <c r="Q70" s="10" t="s">
        <v>26</v>
      </c>
    </row>
    <row r="71" spans="1:17" x14ac:dyDescent="0.25">
      <c r="A71" s="10" t="s">
        <v>179</v>
      </c>
      <c r="B71" s="10" t="s">
        <v>178</v>
      </c>
      <c r="C71" s="10" t="s">
        <v>40</v>
      </c>
      <c r="D71" s="10" t="s">
        <v>47</v>
      </c>
      <c r="E71" s="10" t="s">
        <v>42</v>
      </c>
      <c r="F71" s="10" t="s">
        <v>72</v>
      </c>
      <c r="G71" s="10" t="s">
        <v>32</v>
      </c>
      <c r="H71" s="10" t="s">
        <v>33</v>
      </c>
      <c r="I71" s="10" t="s">
        <v>25</v>
      </c>
      <c r="J71" s="10">
        <v>2</v>
      </c>
      <c r="K71" s="10">
        <v>1188</v>
      </c>
      <c r="L71" s="10">
        <v>2376</v>
      </c>
      <c r="M71" s="10">
        <v>15</v>
      </c>
      <c r="N71" s="10">
        <v>356</v>
      </c>
      <c r="O71" s="10">
        <v>2020</v>
      </c>
      <c r="P71" s="10">
        <v>4</v>
      </c>
      <c r="Q71" s="10" t="s">
        <v>26</v>
      </c>
    </row>
    <row r="72" spans="1:17" x14ac:dyDescent="0.25">
      <c r="A72" s="10" t="s">
        <v>180</v>
      </c>
      <c r="B72" s="10" t="s">
        <v>178</v>
      </c>
      <c r="C72" s="10" t="s">
        <v>40</v>
      </c>
      <c r="D72" s="10" t="s">
        <v>113</v>
      </c>
      <c r="E72" s="10" t="s">
        <v>53</v>
      </c>
      <c r="F72" s="10" t="s">
        <v>130</v>
      </c>
      <c r="G72" s="10" t="s">
        <v>23</v>
      </c>
      <c r="H72" s="10" t="s">
        <v>24</v>
      </c>
      <c r="I72" s="10" t="s">
        <v>25</v>
      </c>
      <c r="J72" s="10">
        <v>4</v>
      </c>
      <c r="K72" s="10">
        <v>907</v>
      </c>
      <c r="L72" s="10">
        <v>3628</v>
      </c>
      <c r="M72" s="10">
        <v>25</v>
      </c>
      <c r="N72" s="10">
        <v>907</v>
      </c>
      <c r="O72" s="10">
        <v>2721</v>
      </c>
      <c r="P72" s="10">
        <v>4.5</v>
      </c>
      <c r="Q72" s="10" t="s">
        <v>26</v>
      </c>
    </row>
    <row r="73" spans="1:17" x14ac:dyDescent="0.25">
      <c r="A73" s="10" t="s">
        <v>181</v>
      </c>
      <c r="B73" s="10" t="s">
        <v>182</v>
      </c>
      <c r="C73" s="10" t="s">
        <v>91</v>
      </c>
      <c r="D73" s="10" t="s">
        <v>92</v>
      </c>
      <c r="E73" s="10" t="s">
        <v>53</v>
      </c>
      <c r="F73" s="10" t="s">
        <v>83</v>
      </c>
      <c r="G73" s="10" t="s">
        <v>23</v>
      </c>
      <c r="H73" s="10" t="s">
        <v>24</v>
      </c>
      <c r="I73" s="10" t="s">
        <v>25</v>
      </c>
      <c r="J73" s="10">
        <v>2</v>
      </c>
      <c r="K73" s="10">
        <v>1806</v>
      </c>
      <c r="L73" s="10">
        <v>3612</v>
      </c>
      <c r="M73" s="10">
        <v>20</v>
      </c>
      <c r="N73" s="10">
        <v>722</v>
      </c>
      <c r="O73" s="10">
        <v>2890</v>
      </c>
      <c r="P73" s="10">
        <v>4.4000000000000004</v>
      </c>
      <c r="Q73" s="10" t="s">
        <v>26</v>
      </c>
    </row>
    <row r="74" spans="1:17" x14ac:dyDescent="0.25">
      <c r="A74" s="10" t="s">
        <v>183</v>
      </c>
      <c r="B74" s="10" t="s">
        <v>184</v>
      </c>
      <c r="C74" s="10" t="s">
        <v>40</v>
      </c>
      <c r="D74" s="10" t="s">
        <v>57</v>
      </c>
      <c r="E74" s="10" t="s">
        <v>21</v>
      </c>
      <c r="F74" s="10" t="s">
        <v>79</v>
      </c>
      <c r="G74" s="10" t="s">
        <v>32</v>
      </c>
      <c r="H74" s="10" t="s">
        <v>24</v>
      </c>
      <c r="I74" s="10" t="s">
        <v>84</v>
      </c>
      <c r="J74" s="10">
        <v>5</v>
      </c>
      <c r="K74" s="10">
        <v>1438</v>
      </c>
      <c r="L74" s="10">
        <v>7190</v>
      </c>
      <c r="M74" s="10">
        <v>0</v>
      </c>
      <c r="N74" s="10">
        <v>0</v>
      </c>
      <c r="O74" s="10">
        <v>7190</v>
      </c>
      <c r="P74" s="10">
        <v>5</v>
      </c>
      <c r="Q74" s="10" t="s">
        <v>26</v>
      </c>
    </row>
    <row r="75" spans="1:17" x14ac:dyDescent="0.25">
      <c r="A75" s="10" t="s">
        <v>185</v>
      </c>
      <c r="B75" s="10" t="s">
        <v>184</v>
      </c>
      <c r="C75" s="10" t="s">
        <v>40</v>
      </c>
      <c r="D75" s="10" t="s">
        <v>41</v>
      </c>
      <c r="E75" s="10" t="s">
        <v>101</v>
      </c>
      <c r="F75" s="10" t="s">
        <v>119</v>
      </c>
      <c r="G75" s="10" t="s">
        <v>32</v>
      </c>
      <c r="H75" s="10" t="s">
        <v>33</v>
      </c>
      <c r="I75" s="10" t="s">
        <v>98</v>
      </c>
      <c r="J75" s="10">
        <v>1</v>
      </c>
      <c r="K75" s="10">
        <v>703</v>
      </c>
      <c r="L75" s="10">
        <v>703</v>
      </c>
      <c r="M75" s="10">
        <v>10</v>
      </c>
      <c r="N75" s="10">
        <v>70</v>
      </c>
      <c r="O75" s="10">
        <v>633</v>
      </c>
      <c r="P75" s="10">
        <v>3.4</v>
      </c>
      <c r="Q75" s="10" t="s">
        <v>26</v>
      </c>
    </row>
    <row r="76" spans="1:17" x14ac:dyDescent="0.25">
      <c r="A76" s="10" t="s">
        <v>186</v>
      </c>
      <c r="B76" s="10" t="s">
        <v>184</v>
      </c>
      <c r="C76" s="10" t="s">
        <v>51</v>
      </c>
      <c r="D76" s="10" t="s">
        <v>70</v>
      </c>
      <c r="E76" s="10" t="s">
        <v>42</v>
      </c>
      <c r="F76" s="10" t="s">
        <v>72</v>
      </c>
      <c r="G76" s="10" t="s">
        <v>23</v>
      </c>
      <c r="H76" s="10" t="s">
        <v>24</v>
      </c>
      <c r="I76" s="10" t="s">
        <v>84</v>
      </c>
      <c r="J76" s="10">
        <v>4</v>
      </c>
      <c r="K76" s="10">
        <v>355</v>
      </c>
      <c r="L76" s="10">
        <v>1420</v>
      </c>
      <c r="M76" s="10">
        <v>0</v>
      </c>
      <c r="N76" s="10">
        <v>0</v>
      </c>
      <c r="O76" s="10">
        <v>1420</v>
      </c>
      <c r="P76" s="10">
        <v>3.4</v>
      </c>
      <c r="Q76" s="10" t="s">
        <v>75</v>
      </c>
    </row>
    <row r="77" spans="1:17" x14ac:dyDescent="0.25">
      <c r="A77" s="10" t="s">
        <v>187</v>
      </c>
      <c r="B77" s="10" t="s">
        <v>188</v>
      </c>
      <c r="C77" s="10" t="s">
        <v>91</v>
      </c>
      <c r="D77" s="10" t="s">
        <v>110</v>
      </c>
      <c r="E77" s="10" t="s">
        <v>155</v>
      </c>
      <c r="F77" s="10" t="s">
        <v>22</v>
      </c>
      <c r="G77" s="10" t="s">
        <v>44</v>
      </c>
      <c r="H77" s="10" t="s">
        <v>104</v>
      </c>
      <c r="I77" s="10" t="s">
        <v>34</v>
      </c>
      <c r="J77" s="10">
        <v>5</v>
      </c>
      <c r="K77" s="10">
        <v>2962</v>
      </c>
      <c r="L77" s="10">
        <v>14810</v>
      </c>
      <c r="M77" s="10">
        <v>15</v>
      </c>
      <c r="N77" s="10">
        <v>2222</v>
      </c>
      <c r="O77" s="10">
        <v>12588</v>
      </c>
      <c r="P77" s="10">
        <v>4.5</v>
      </c>
      <c r="Q77" s="10" t="s">
        <v>26</v>
      </c>
    </row>
    <row r="78" spans="1:17" x14ac:dyDescent="0.25">
      <c r="A78" s="10" t="s">
        <v>189</v>
      </c>
      <c r="B78" s="10" t="s">
        <v>190</v>
      </c>
      <c r="C78" s="10" t="s">
        <v>40</v>
      </c>
      <c r="D78" s="10" t="s">
        <v>113</v>
      </c>
      <c r="E78" s="10" t="s">
        <v>60</v>
      </c>
      <c r="F78" s="10" t="s">
        <v>83</v>
      </c>
      <c r="G78" s="10" t="s">
        <v>44</v>
      </c>
      <c r="H78" s="10" t="s">
        <v>24</v>
      </c>
      <c r="I78" s="10" t="s">
        <v>84</v>
      </c>
      <c r="J78" s="10">
        <v>5</v>
      </c>
      <c r="K78" s="10">
        <v>761</v>
      </c>
      <c r="L78" s="10">
        <v>3805</v>
      </c>
      <c r="M78" s="10">
        <v>5</v>
      </c>
      <c r="N78" s="10">
        <v>190</v>
      </c>
      <c r="O78" s="10">
        <v>3615</v>
      </c>
      <c r="P78" s="10">
        <v>4.0999999999999996</v>
      </c>
      <c r="Q78" s="10" t="s">
        <v>26</v>
      </c>
    </row>
    <row r="79" spans="1:17" x14ac:dyDescent="0.25">
      <c r="A79" s="10" t="s">
        <v>191</v>
      </c>
      <c r="B79" s="10" t="s">
        <v>190</v>
      </c>
      <c r="C79" s="10" t="s">
        <v>28</v>
      </c>
      <c r="D79" s="10" t="s">
        <v>36</v>
      </c>
      <c r="E79" s="10" t="s">
        <v>82</v>
      </c>
      <c r="F79" s="10" t="s">
        <v>22</v>
      </c>
      <c r="G79" s="10" t="s">
        <v>32</v>
      </c>
      <c r="H79" s="10" t="s">
        <v>33</v>
      </c>
      <c r="I79" s="10" t="s">
        <v>84</v>
      </c>
      <c r="J79" s="10">
        <v>3</v>
      </c>
      <c r="K79" s="10">
        <v>585</v>
      </c>
      <c r="L79" s="10">
        <v>1755</v>
      </c>
      <c r="M79" s="10">
        <v>30</v>
      </c>
      <c r="N79" s="10">
        <v>526</v>
      </c>
      <c r="O79" s="10">
        <v>1229</v>
      </c>
      <c r="P79" s="10">
        <v>4.4000000000000004</v>
      </c>
      <c r="Q79" s="10" t="s">
        <v>26</v>
      </c>
    </row>
    <row r="80" spans="1:17" x14ac:dyDescent="0.25">
      <c r="A80" s="10" t="s">
        <v>192</v>
      </c>
      <c r="B80" s="10" t="s">
        <v>190</v>
      </c>
      <c r="C80" s="10" t="s">
        <v>63</v>
      </c>
      <c r="D80" s="10" t="s">
        <v>64</v>
      </c>
      <c r="E80" s="10" t="s">
        <v>30</v>
      </c>
      <c r="F80" s="10" t="s">
        <v>61</v>
      </c>
      <c r="G80" s="10" t="s">
        <v>23</v>
      </c>
      <c r="H80" s="10" t="s">
        <v>24</v>
      </c>
      <c r="I80" s="10" t="s">
        <v>45</v>
      </c>
      <c r="J80" s="10">
        <v>5</v>
      </c>
      <c r="K80" s="10">
        <v>749</v>
      </c>
      <c r="L80" s="10">
        <v>3745</v>
      </c>
      <c r="M80" s="10">
        <v>5</v>
      </c>
      <c r="N80" s="10">
        <v>187</v>
      </c>
      <c r="O80" s="10">
        <v>3558</v>
      </c>
      <c r="P80" s="10">
        <v>3.7</v>
      </c>
      <c r="Q80" s="10" t="s">
        <v>26</v>
      </c>
    </row>
    <row r="81" spans="1:17" x14ac:dyDescent="0.25">
      <c r="A81" s="10" t="s">
        <v>193</v>
      </c>
      <c r="B81" s="10" t="s">
        <v>194</v>
      </c>
      <c r="C81" s="10" t="s">
        <v>28</v>
      </c>
      <c r="D81" s="10" t="s">
        <v>163</v>
      </c>
      <c r="E81" s="10" t="s">
        <v>82</v>
      </c>
      <c r="F81" s="10" t="s">
        <v>79</v>
      </c>
      <c r="G81" s="10" t="s">
        <v>23</v>
      </c>
      <c r="H81" s="10" t="s">
        <v>33</v>
      </c>
      <c r="I81" s="10" t="s">
        <v>45</v>
      </c>
      <c r="J81" s="10">
        <v>5</v>
      </c>
      <c r="K81" s="10">
        <v>219</v>
      </c>
      <c r="L81" s="10">
        <v>1095</v>
      </c>
      <c r="M81" s="10">
        <v>15</v>
      </c>
      <c r="N81" s="10">
        <v>164</v>
      </c>
      <c r="O81" s="10">
        <v>931</v>
      </c>
      <c r="P81" s="10">
        <v>3.4</v>
      </c>
      <c r="Q81" s="10" t="s">
        <v>26</v>
      </c>
    </row>
    <row r="82" spans="1:17" x14ac:dyDescent="0.25">
      <c r="A82" s="10" t="s">
        <v>195</v>
      </c>
      <c r="B82" s="10" t="s">
        <v>196</v>
      </c>
      <c r="C82" s="10" t="s">
        <v>91</v>
      </c>
      <c r="D82" s="10" t="s">
        <v>92</v>
      </c>
      <c r="E82" s="10" t="s">
        <v>53</v>
      </c>
      <c r="F82" s="10" t="s">
        <v>22</v>
      </c>
      <c r="G82" s="10" t="s">
        <v>44</v>
      </c>
      <c r="H82" s="10" t="s">
        <v>104</v>
      </c>
      <c r="I82" s="10" t="s">
        <v>84</v>
      </c>
      <c r="J82" s="10">
        <v>4</v>
      </c>
      <c r="K82" s="10">
        <v>1131</v>
      </c>
      <c r="L82" s="10">
        <v>4524</v>
      </c>
      <c r="M82" s="10">
        <v>10</v>
      </c>
      <c r="N82" s="10">
        <v>452</v>
      </c>
      <c r="O82" s="10">
        <v>4072</v>
      </c>
      <c r="P82" s="10">
        <v>4.0999999999999996</v>
      </c>
      <c r="Q82" s="10" t="s">
        <v>26</v>
      </c>
    </row>
    <row r="83" spans="1:17" x14ac:dyDescent="0.25">
      <c r="A83" s="10" t="s">
        <v>197</v>
      </c>
      <c r="B83" s="10" t="s">
        <v>196</v>
      </c>
      <c r="C83" s="10" t="s">
        <v>51</v>
      </c>
      <c r="D83" s="10" t="s">
        <v>52</v>
      </c>
      <c r="E83" s="10" t="s">
        <v>37</v>
      </c>
      <c r="F83" s="10" t="s">
        <v>130</v>
      </c>
      <c r="G83" s="10" t="s">
        <v>44</v>
      </c>
      <c r="H83" s="10" t="s">
        <v>33</v>
      </c>
      <c r="I83" s="10" t="s">
        <v>34</v>
      </c>
      <c r="J83" s="10">
        <v>2</v>
      </c>
      <c r="K83" s="10">
        <v>648</v>
      </c>
      <c r="L83" s="10">
        <v>1296</v>
      </c>
      <c r="M83" s="10">
        <v>15</v>
      </c>
      <c r="N83" s="10">
        <v>194</v>
      </c>
      <c r="O83" s="10">
        <v>1102</v>
      </c>
      <c r="P83" s="10">
        <v>4.3</v>
      </c>
      <c r="Q83" s="10" t="s">
        <v>26</v>
      </c>
    </row>
    <row r="84" spans="1:17" x14ac:dyDescent="0.25">
      <c r="A84" s="10" t="s">
        <v>198</v>
      </c>
      <c r="B84" s="10" t="s">
        <v>196</v>
      </c>
      <c r="C84" s="10" t="s">
        <v>28</v>
      </c>
      <c r="D84" s="10" t="s">
        <v>77</v>
      </c>
      <c r="E84" s="10" t="s">
        <v>48</v>
      </c>
      <c r="F84" s="10" t="s">
        <v>72</v>
      </c>
      <c r="G84" s="10" t="s">
        <v>23</v>
      </c>
      <c r="H84" s="10" t="s">
        <v>104</v>
      </c>
      <c r="I84" s="10" t="s">
        <v>45</v>
      </c>
      <c r="J84" s="10">
        <v>2</v>
      </c>
      <c r="K84" s="10">
        <v>690</v>
      </c>
      <c r="L84" s="10">
        <v>1380</v>
      </c>
      <c r="M84" s="10">
        <v>10</v>
      </c>
      <c r="N84" s="10">
        <v>138</v>
      </c>
      <c r="O84" s="10">
        <v>1242</v>
      </c>
      <c r="P84" s="10">
        <v>4.4000000000000004</v>
      </c>
      <c r="Q84" s="10" t="s">
        <v>26</v>
      </c>
    </row>
    <row r="85" spans="1:17" x14ac:dyDescent="0.25">
      <c r="A85" s="10" t="s">
        <v>199</v>
      </c>
      <c r="B85" s="10" t="s">
        <v>196</v>
      </c>
      <c r="C85" s="10" t="s">
        <v>91</v>
      </c>
      <c r="D85" s="10" t="s">
        <v>110</v>
      </c>
      <c r="E85" s="10" t="s">
        <v>101</v>
      </c>
      <c r="F85" s="10" t="s">
        <v>79</v>
      </c>
      <c r="G85" s="10" t="s">
        <v>32</v>
      </c>
      <c r="H85" s="10" t="s">
        <v>104</v>
      </c>
      <c r="I85" s="10" t="s">
        <v>84</v>
      </c>
      <c r="J85" s="10">
        <v>4</v>
      </c>
      <c r="K85" s="10">
        <v>2893</v>
      </c>
      <c r="L85" s="10">
        <v>11572</v>
      </c>
      <c r="M85" s="10">
        <v>5</v>
      </c>
      <c r="N85" s="10">
        <v>579</v>
      </c>
      <c r="O85" s="10">
        <v>10993</v>
      </c>
      <c r="P85" s="10">
        <v>3.6</v>
      </c>
      <c r="Q85" s="10" t="s">
        <v>26</v>
      </c>
    </row>
    <row r="86" spans="1:17" x14ac:dyDescent="0.25">
      <c r="A86" s="10" t="s">
        <v>200</v>
      </c>
      <c r="B86" s="10" t="s">
        <v>196</v>
      </c>
      <c r="C86" s="10" t="s">
        <v>19</v>
      </c>
      <c r="D86" s="10" t="s">
        <v>128</v>
      </c>
      <c r="E86" s="10" t="s">
        <v>30</v>
      </c>
      <c r="F86" s="10" t="s">
        <v>79</v>
      </c>
      <c r="G86" s="10" t="s">
        <v>32</v>
      </c>
      <c r="H86" s="10" t="s">
        <v>33</v>
      </c>
      <c r="I86" s="10" t="s">
        <v>25</v>
      </c>
      <c r="J86" s="10">
        <v>5</v>
      </c>
      <c r="K86" s="10">
        <v>953</v>
      </c>
      <c r="L86" s="10">
        <v>4765</v>
      </c>
      <c r="M86" s="10">
        <v>25</v>
      </c>
      <c r="N86" s="10">
        <v>1191</v>
      </c>
      <c r="O86" s="10">
        <v>3574</v>
      </c>
      <c r="P86" s="10">
        <v>3.9</v>
      </c>
      <c r="Q86" s="10" t="s">
        <v>26</v>
      </c>
    </row>
    <row r="87" spans="1:17" x14ac:dyDescent="0.25">
      <c r="A87" s="10" t="s">
        <v>201</v>
      </c>
      <c r="B87" s="10" t="s">
        <v>202</v>
      </c>
      <c r="C87" s="10" t="s">
        <v>91</v>
      </c>
      <c r="D87" s="10" t="s">
        <v>92</v>
      </c>
      <c r="E87" s="10" t="s">
        <v>48</v>
      </c>
      <c r="F87" s="10" t="s">
        <v>22</v>
      </c>
      <c r="G87" s="10" t="s">
        <v>23</v>
      </c>
      <c r="H87" s="10" t="s">
        <v>24</v>
      </c>
      <c r="I87" s="10" t="s">
        <v>25</v>
      </c>
      <c r="J87" s="10">
        <v>3</v>
      </c>
      <c r="K87" s="10">
        <v>697</v>
      </c>
      <c r="L87" s="10">
        <v>2091</v>
      </c>
      <c r="M87" s="10">
        <v>5</v>
      </c>
      <c r="N87" s="10">
        <v>105</v>
      </c>
      <c r="O87" s="10">
        <v>1986</v>
      </c>
      <c r="P87" s="10">
        <v>5</v>
      </c>
      <c r="Q87" s="10" t="s">
        <v>26</v>
      </c>
    </row>
    <row r="88" spans="1:17" x14ac:dyDescent="0.25">
      <c r="A88" s="10" t="s">
        <v>203</v>
      </c>
      <c r="B88" s="10" t="s">
        <v>204</v>
      </c>
      <c r="C88" s="10" t="s">
        <v>19</v>
      </c>
      <c r="D88" s="10" t="s">
        <v>20</v>
      </c>
      <c r="E88" s="10" t="s">
        <v>71</v>
      </c>
      <c r="F88" s="10" t="s">
        <v>31</v>
      </c>
      <c r="G88" s="10" t="s">
        <v>32</v>
      </c>
      <c r="H88" s="10" t="s">
        <v>24</v>
      </c>
      <c r="I88" s="10" t="s">
        <v>98</v>
      </c>
      <c r="J88" s="10">
        <v>3</v>
      </c>
      <c r="K88" s="10">
        <v>345</v>
      </c>
      <c r="L88" s="10">
        <v>1035</v>
      </c>
      <c r="M88" s="10">
        <v>0</v>
      </c>
      <c r="N88" s="10">
        <v>0</v>
      </c>
      <c r="O88" s="10">
        <v>1035</v>
      </c>
      <c r="P88" s="10">
        <v>4</v>
      </c>
      <c r="Q88" s="10" t="s">
        <v>26</v>
      </c>
    </row>
    <row r="89" spans="1:17" x14ac:dyDescent="0.25">
      <c r="A89" s="10" t="s">
        <v>205</v>
      </c>
      <c r="B89" s="10" t="s">
        <v>204</v>
      </c>
      <c r="C89" s="10" t="s">
        <v>63</v>
      </c>
      <c r="D89" s="10" t="s">
        <v>143</v>
      </c>
      <c r="E89" s="10" t="s">
        <v>82</v>
      </c>
      <c r="F89" s="10" t="s">
        <v>31</v>
      </c>
      <c r="G89" s="10" t="s">
        <v>32</v>
      </c>
      <c r="H89" s="10" t="s">
        <v>33</v>
      </c>
      <c r="I89" s="10" t="s">
        <v>45</v>
      </c>
      <c r="J89" s="10">
        <v>5</v>
      </c>
      <c r="K89" s="10">
        <v>2353</v>
      </c>
      <c r="L89" s="10">
        <v>11765</v>
      </c>
      <c r="M89" s="10">
        <v>20</v>
      </c>
      <c r="N89" s="10">
        <v>2353</v>
      </c>
      <c r="O89" s="10">
        <v>9412</v>
      </c>
      <c r="P89" s="10">
        <v>3.5</v>
      </c>
      <c r="Q89" s="10" t="s">
        <v>26</v>
      </c>
    </row>
    <row r="90" spans="1:17" x14ac:dyDescent="0.25">
      <c r="A90" s="10" t="s">
        <v>206</v>
      </c>
      <c r="B90" s="10" t="s">
        <v>204</v>
      </c>
      <c r="C90" s="10" t="s">
        <v>40</v>
      </c>
      <c r="D90" s="10" t="s">
        <v>41</v>
      </c>
      <c r="E90" s="10" t="s">
        <v>78</v>
      </c>
      <c r="F90" s="10" t="s">
        <v>119</v>
      </c>
      <c r="G90" s="10" t="s">
        <v>23</v>
      </c>
      <c r="H90" s="10" t="s">
        <v>104</v>
      </c>
      <c r="I90" s="10" t="s">
        <v>84</v>
      </c>
      <c r="J90" s="10">
        <v>4</v>
      </c>
      <c r="K90" s="10">
        <v>373</v>
      </c>
      <c r="L90" s="10">
        <v>1492</v>
      </c>
      <c r="M90" s="10">
        <v>30</v>
      </c>
      <c r="N90" s="10">
        <v>448</v>
      </c>
      <c r="O90" s="10">
        <v>1044</v>
      </c>
      <c r="P90" s="10">
        <v>3.3</v>
      </c>
      <c r="Q90" s="10" t="s">
        <v>75</v>
      </c>
    </row>
    <row r="91" spans="1:17" x14ac:dyDescent="0.25">
      <c r="A91" s="10" t="s">
        <v>207</v>
      </c>
      <c r="B91" s="10" t="s">
        <v>208</v>
      </c>
      <c r="C91" s="10" t="s">
        <v>63</v>
      </c>
      <c r="D91" s="10" t="s">
        <v>64</v>
      </c>
      <c r="E91" s="10" t="s">
        <v>42</v>
      </c>
      <c r="F91" s="10" t="s">
        <v>65</v>
      </c>
      <c r="G91" s="10" t="s">
        <v>32</v>
      </c>
      <c r="H91" s="10" t="s">
        <v>24</v>
      </c>
      <c r="I91" s="10" t="s">
        <v>45</v>
      </c>
      <c r="J91" s="10">
        <v>1</v>
      </c>
      <c r="K91" s="10">
        <v>644</v>
      </c>
      <c r="L91" s="10">
        <v>644</v>
      </c>
      <c r="M91" s="10">
        <v>5</v>
      </c>
      <c r="N91" s="10">
        <v>32</v>
      </c>
      <c r="O91" s="10">
        <v>612</v>
      </c>
      <c r="P91" s="10">
        <v>4.5</v>
      </c>
      <c r="Q91" s="10" t="s">
        <v>26</v>
      </c>
    </row>
    <row r="92" spans="1:17" x14ac:dyDescent="0.25">
      <c r="A92" s="10" t="s">
        <v>209</v>
      </c>
      <c r="B92" s="10" t="s">
        <v>210</v>
      </c>
      <c r="C92" s="10" t="s">
        <v>91</v>
      </c>
      <c r="D92" s="10" t="s">
        <v>92</v>
      </c>
      <c r="E92" s="10" t="s">
        <v>101</v>
      </c>
      <c r="F92" s="10" t="s">
        <v>43</v>
      </c>
      <c r="G92" s="10" t="s">
        <v>32</v>
      </c>
      <c r="H92" s="10" t="s">
        <v>24</v>
      </c>
      <c r="I92" s="10" t="s">
        <v>98</v>
      </c>
      <c r="J92" s="10">
        <v>4</v>
      </c>
      <c r="K92" s="10">
        <v>1809</v>
      </c>
      <c r="L92" s="10">
        <v>7236</v>
      </c>
      <c r="M92" s="10">
        <v>15</v>
      </c>
      <c r="N92" s="10">
        <v>1085</v>
      </c>
      <c r="O92" s="10">
        <v>6151</v>
      </c>
      <c r="P92" s="10">
        <v>4.8</v>
      </c>
      <c r="Q92" s="10" t="s">
        <v>26</v>
      </c>
    </row>
    <row r="93" spans="1:17" x14ac:dyDescent="0.25">
      <c r="A93" s="10" t="s">
        <v>211</v>
      </c>
      <c r="B93" s="10" t="s">
        <v>210</v>
      </c>
      <c r="C93" s="10" t="s">
        <v>51</v>
      </c>
      <c r="D93" s="10" t="s">
        <v>52</v>
      </c>
      <c r="E93" s="10" t="s">
        <v>60</v>
      </c>
      <c r="F93" s="10" t="s">
        <v>43</v>
      </c>
      <c r="G93" s="10" t="s">
        <v>32</v>
      </c>
      <c r="H93" s="10" t="s">
        <v>33</v>
      </c>
      <c r="I93" s="10" t="s">
        <v>98</v>
      </c>
      <c r="J93" s="10">
        <v>3</v>
      </c>
      <c r="K93" s="10">
        <v>720</v>
      </c>
      <c r="L93" s="10">
        <v>2160</v>
      </c>
      <c r="M93" s="10">
        <v>5</v>
      </c>
      <c r="N93" s="10">
        <v>108</v>
      </c>
      <c r="O93" s="10">
        <v>2052</v>
      </c>
      <c r="P93" s="10">
        <v>4.3</v>
      </c>
      <c r="Q93" s="10" t="s">
        <v>75</v>
      </c>
    </row>
    <row r="94" spans="1:17" x14ac:dyDescent="0.25">
      <c r="A94" s="10" t="s">
        <v>212</v>
      </c>
      <c r="B94" s="10" t="s">
        <v>213</v>
      </c>
      <c r="C94" s="10" t="s">
        <v>28</v>
      </c>
      <c r="D94" s="10" t="s">
        <v>29</v>
      </c>
      <c r="E94" s="10" t="s">
        <v>21</v>
      </c>
      <c r="F94" s="10" t="s">
        <v>130</v>
      </c>
      <c r="G94" s="10" t="s">
        <v>32</v>
      </c>
      <c r="H94" s="10" t="s">
        <v>24</v>
      </c>
      <c r="I94" s="10" t="s">
        <v>84</v>
      </c>
      <c r="J94" s="10">
        <v>4</v>
      </c>
      <c r="K94" s="10">
        <v>855</v>
      </c>
      <c r="L94" s="10">
        <v>3420</v>
      </c>
      <c r="M94" s="10">
        <v>15</v>
      </c>
      <c r="N94" s="10">
        <v>513</v>
      </c>
      <c r="O94" s="10">
        <v>2907</v>
      </c>
      <c r="P94" s="10">
        <v>3.9</v>
      </c>
      <c r="Q94" s="10" t="s">
        <v>75</v>
      </c>
    </row>
    <row r="95" spans="1:17" x14ac:dyDescent="0.25">
      <c r="A95" s="10" t="s">
        <v>214</v>
      </c>
      <c r="B95" s="10" t="s">
        <v>213</v>
      </c>
      <c r="C95" s="10" t="s">
        <v>28</v>
      </c>
      <c r="D95" s="10" t="s">
        <v>163</v>
      </c>
      <c r="E95" s="10" t="s">
        <v>82</v>
      </c>
      <c r="F95" s="10" t="s">
        <v>31</v>
      </c>
      <c r="G95" s="10" t="s">
        <v>32</v>
      </c>
      <c r="H95" s="10" t="s">
        <v>33</v>
      </c>
      <c r="I95" s="10" t="s">
        <v>84</v>
      </c>
      <c r="J95" s="10">
        <v>2</v>
      </c>
      <c r="K95" s="10">
        <v>757</v>
      </c>
      <c r="L95" s="10">
        <v>1514</v>
      </c>
      <c r="M95" s="10">
        <v>15</v>
      </c>
      <c r="N95" s="10">
        <v>227</v>
      </c>
      <c r="O95" s="10">
        <v>1287</v>
      </c>
      <c r="P95" s="10">
        <v>4.5</v>
      </c>
      <c r="Q95" s="10" t="s">
        <v>26</v>
      </c>
    </row>
    <row r="96" spans="1:17" x14ac:dyDescent="0.25">
      <c r="A96" s="10" t="s">
        <v>215</v>
      </c>
      <c r="B96" s="10" t="s">
        <v>213</v>
      </c>
      <c r="C96" s="10" t="s">
        <v>19</v>
      </c>
      <c r="D96" s="10" t="s">
        <v>128</v>
      </c>
      <c r="E96" s="10" t="s">
        <v>155</v>
      </c>
      <c r="F96" s="10" t="s">
        <v>43</v>
      </c>
      <c r="G96" s="10" t="s">
        <v>44</v>
      </c>
      <c r="H96" s="10" t="s">
        <v>33</v>
      </c>
      <c r="I96" s="10" t="s">
        <v>25</v>
      </c>
      <c r="J96" s="10">
        <v>4</v>
      </c>
      <c r="K96" s="10">
        <v>290</v>
      </c>
      <c r="L96" s="10">
        <v>1160</v>
      </c>
      <c r="M96" s="10">
        <v>10</v>
      </c>
      <c r="N96" s="10">
        <v>116</v>
      </c>
      <c r="O96" s="10">
        <v>1044</v>
      </c>
      <c r="P96" s="10">
        <v>4.8</v>
      </c>
      <c r="Q96" s="10" t="s">
        <v>26</v>
      </c>
    </row>
    <row r="97" spans="1:17" x14ac:dyDescent="0.25">
      <c r="A97" s="10" t="s">
        <v>216</v>
      </c>
      <c r="B97" s="10" t="s">
        <v>213</v>
      </c>
      <c r="C97" s="10" t="s">
        <v>63</v>
      </c>
      <c r="D97" s="10" t="s">
        <v>143</v>
      </c>
      <c r="E97" s="10" t="s">
        <v>37</v>
      </c>
      <c r="F97" s="10" t="s">
        <v>31</v>
      </c>
      <c r="G97" s="10" t="s">
        <v>32</v>
      </c>
      <c r="H97" s="10" t="s">
        <v>104</v>
      </c>
      <c r="I97" s="10" t="s">
        <v>98</v>
      </c>
      <c r="J97" s="10">
        <v>3</v>
      </c>
      <c r="K97" s="10">
        <v>1139</v>
      </c>
      <c r="L97" s="10">
        <v>3417</v>
      </c>
      <c r="M97" s="10">
        <v>30</v>
      </c>
      <c r="N97" s="10">
        <v>1025</v>
      </c>
      <c r="O97" s="10">
        <v>2392</v>
      </c>
      <c r="P97" s="10">
        <v>4.0999999999999996</v>
      </c>
      <c r="Q97" s="10" t="s">
        <v>26</v>
      </c>
    </row>
    <row r="98" spans="1:17" x14ac:dyDescent="0.25">
      <c r="A98" s="10" t="s">
        <v>217</v>
      </c>
      <c r="B98" s="10" t="s">
        <v>213</v>
      </c>
      <c r="C98" s="10" t="s">
        <v>91</v>
      </c>
      <c r="D98" s="10" t="s">
        <v>92</v>
      </c>
      <c r="E98" s="10" t="s">
        <v>60</v>
      </c>
      <c r="F98" s="10" t="s">
        <v>22</v>
      </c>
      <c r="G98" s="10" t="s">
        <v>23</v>
      </c>
      <c r="H98" s="10" t="s">
        <v>24</v>
      </c>
      <c r="I98" s="10" t="s">
        <v>45</v>
      </c>
      <c r="J98" s="10">
        <v>3</v>
      </c>
      <c r="K98" s="10">
        <v>965</v>
      </c>
      <c r="L98" s="10">
        <v>2895</v>
      </c>
      <c r="M98" s="10">
        <v>0</v>
      </c>
      <c r="N98" s="10">
        <v>0</v>
      </c>
      <c r="O98" s="10">
        <v>2895</v>
      </c>
      <c r="P98" s="10">
        <v>3.7</v>
      </c>
      <c r="Q98" s="10" t="s">
        <v>26</v>
      </c>
    </row>
    <row r="99" spans="1:17" x14ac:dyDescent="0.25">
      <c r="A99" s="10" t="s">
        <v>218</v>
      </c>
      <c r="B99" s="10" t="s">
        <v>219</v>
      </c>
      <c r="C99" s="10" t="s">
        <v>91</v>
      </c>
      <c r="D99" s="10" t="s">
        <v>92</v>
      </c>
      <c r="E99" s="10" t="s">
        <v>60</v>
      </c>
      <c r="F99" s="10" t="s">
        <v>119</v>
      </c>
      <c r="G99" s="10" t="s">
        <v>32</v>
      </c>
      <c r="H99" s="10" t="s">
        <v>24</v>
      </c>
      <c r="I99" s="10" t="s">
        <v>45</v>
      </c>
      <c r="J99" s="10">
        <v>4</v>
      </c>
      <c r="K99" s="10">
        <v>2905</v>
      </c>
      <c r="L99" s="10">
        <v>11620</v>
      </c>
      <c r="M99" s="10">
        <v>10</v>
      </c>
      <c r="N99" s="10">
        <v>1162</v>
      </c>
      <c r="O99" s="10">
        <v>10458</v>
      </c>
      <c r="P99" s="10">
        <v>4.7</v>
      </c>
      <c r="Q99" s="10" t="s">
        <v>26</v>
      </c>
    </row>
    <row r="100" spans="1:17" x14ac:dyDescent="0.25">
      <c r="A100" s="10" t="s">
        <v>220</v>
      </c>
      <c r="B100" s="10" t="s">
        <v>221</v>
      </c>
      <c r="C100" s="10" t="s">
        <v>63</v>
      </c>
      <c r="D100" s="10" t="s">
        <v>64</v>
      </c>
      <c r="E100" s="10" t="s">
        <v>53</v>
      </c>
      <c r="F100" s="10" t="s">
        <v>43</v>
      </c>
      <c r="G100" s="10" t="s">
        <v>32</v>
      </c>
      <c r="H100" s="10" t="s">
        <v>24</v>
      </c>
      <c r="I100" s="10" t="s">
        <v>34</v>
      </c>
      <c r="J100" s="10">
        <v>4</v>
      </c>
      <c r="K100" s="10">
        <v>711</v>
      </c>
      <c r="L100" s="10">
        <v>2844</v>
      </c>
      <c r="M100" s="10">
        <v>30</v>
      </c>
      <c r="N100" s="10">
        <v>853</v>
      </c>
      <c r="O100" s="10">
        <v>1991</v>
      </c>
      <c r="P100" s="10">
        <v>4.2</v>
      </c>
      <c r="Q100" s="10" t="s">
        <v>75</v>
      </c>
    </row>
    <row r="101" spans="1:17" x14ac:dyDescent="0.25">
      <c r="A101" s="10" t="s">
        <v>222</v>
      </c>
      <c r="B101" s="10" t="s">
        <v>221</v>
      </c>
      <c r="C101" s="10" t="s">
        <v>63</v>
      </c>
      <c r="D101" s="10" t="s">
        <v>64</v>
      </c>
      <c r="E101" s="10" t="s">
        <v>53</v>
      </c>
      <c r="F101" s="10" t="s">
        <v>79</v>
      </c>
      <c r="G101" s="10" t="s">
        <v>32</v>
      </c>
      <c r="H101" s="10" t="s">
        <v>24</v>
      </c>
      <c r="I101" s="10" t="s">
        <v>98</v>
      </c>
      <c r="J101" s="10">
        <v>4</v>
      </c>
      <c r="K101" s="10">
        <v>564</v>
      </c>
      <c r="L101" s="10">
        <v>2256</v>
      </c>
      <c r="M101" s="10">
        <v>0</v>
      </c>
      <c r="N101" s="10">
        <v>0</v>
      </c>
      <c r="O101" s="10">
        <v>2256</v>
      </c>
      <c r="P101" s="10">
        <v>4.9000000000000004</v>
      </c>
      <c r="Q101" s="10" t="s">
        <v>26</v>
      </c>
    </row>
    <row r="102" spans="1:17" x14ac:dyDescent="0.25">
      <c r="A102" s="10" t="s">
        <v>223</v>
      </c>
      <c r="B102" s="10" t="s">
        <v>221</v>
      </c>
      <c r="C102" s="10" t="s">
        <v>91</v>
      </c>
      <c r="D102" s="10" t="s">
        <v>125</v>
      </c>
      <c r="E102" s="10" t="s">
        <v>155</v>
      </c>
      <c r="F102" s="10" t="s">
        <v>119</v>
      </c>
      <c r="G102" s="10" t="s">
        <v>23</v>
      </c>
      <c r="H102" s="10" t="s">
        <v>33</v>
      </c>
      <c r="I102" s="10" t="s">
        <v>34</v>
      </c>
      <c r="J102" s="10">
        <v>2</v>
      </c>
      <c r="K102" s="10">
        <v>2216</v>
      </c>
      <c r="L102" s="10">
        <v>4432</v>
      </c>
      <c r="M102" s="10">
        <v>15</v>
      </c>
      <c r="N102" s="10">
        <v>665</v>
      </c>
      <c r="O102" s="10">
        <v>3767</v>
      </c>
      <c r="P102" s="10">
        <v>3.3</v>
      </c>
      <c r="Q102" s="10" t="s">
        <v>26</v>
      </c>
    </row>
    <row r="103" spans="1:17" x14ac:dyDescent="0.25">
      <c r="A103" s="10" t="s">
        <v>224</v>
      </c>
      <c r="B103" s="10" t="s">
        <v>225</v>
      </c>
      <c r="C103" s="10" t="s">
        <v>63</v>
      </c>
      <c r="D103" s="10" t="s">
        <v>134</v>
      </c>
      <c r="E103" s="10" t="s">
        <v>42</v>
      </c>
      <c r="F103" s="10" t="s">
        <v>31</v>
      </c>
      <c r="G103" s="10" t="s">
        <v>32</v>
      </c>
      <c r="H103" s="10" t="s">
        <v>24</v>
      </c>
      <c r="I103" s="10" t="s">
        <v>98</v>
      </c>
      <c r="J103" s="10">
        <v>1</v>
      </c>
      <c r="K103" s="10">
        <v>2112</v>
      </c>
      <c r="L103" s="10">
        <v>2112</v>
      </c>
      <c r="M103" s="10">
        <v>10</v>
      </c>
      <c r="N103" s="10">
        <v>211</v>
      </c>
      <c r="O103" s="10">
        <v>1901</v>
      </c>
      <c r="P103" s="10">
        <v>4.2</v>
      </c>
      <c r="Q103" s="10" t="s">
        <v>26</v>
      </c>
    </row>
    <row r="104" spans="1:17" x14ac:dyDescent="0.25">
      <c r="A104" s="10" t="s">
        <v>226</v>
      </c>
      <c r="B104" s="10" t="s">
        <v>227</v>
      </c>
      <c r="C104" s="10" t="s">
        <v>51</v>
      </c>
      <c r="D104" s="10" t="s">
        <v>70</v>
      </c>
      <c r="E104" s="10" t="s">
        <v>155</v>
      </c>
      <c r="F104" s="10" t="s">
        <v>31</v>
      </c>
      <c r="G104" s="10" t="s">
        <v>32</v>
      </c>
      <c r="H104" s="10" t="s">
        <v>24</v>
      </c>
      <c r="I104" s="10" t="s">
        <v>84</v>
      </c>
      <c r="J104" s="10">
        <v>1</v>
      </c>
      <c r="K104" s="10">
        <v>701</v>
      </c>
      <c r="L104" s="10">
        <v>701</v>
      </c>
      <c r="M104" s="10">
        <v>15</v>
      </c>
      <c r="N104" s="10">
        <v>105</v>
      </c>
      <c r="O104" s="10">
        <v>596</v>
      </c>
      <c r="P104" s="10">
        <v>4.9000000000000004</v>
      </c>
      <c r="Q104" s="10" t="s">
        <v>26</v>
      </c>
    </row>
    <row r="105" spans="1:17" x14ac:dyDescent="0.25">
      <c r="A105" s="10" t="s">
        <v>228</v>
      </c>
      <c r="B105" s="10" t="s">
        <v>227</v>
      </c>
      <c r="C105" s="10" t="s">
        <v>91</v>
      </c>
      <c r="D105" s="10" t="s">
        <v>92</v>
      </c>
      <c r="E105" s="10" t="s">
        <v>155</v>
      </c>
      <c r="F105" s="10" t="s">
        <v>119</v>
      </c>
      <c r="G105" s="10" t="s">
        <v>23</v>
      </c>
      <c r="H105" s="10" t="s">
        <v>33</v>
      </c>
      <c r="I105" s="10" t="s">
        <v>25</v>
      </c>
      <c r="J105" s="10">
        <v>2</v>
      </c>
      <c r="K105" s="10">
        <v>996</v>
      </c>
      <c r="L105" s="10">
        <v>1992</v>
      </c>
      <c r="M105" s="10">
        <v>15</v>
      </c>
      <c r="N105" s="10">
        <v>299</v>
      </c>
      <c r="O105" s="10">
        <v>1693</v>
      </c>
      <c r="P105" s="10">
        <v>4.2</v>
      </c>
      <c r="Q105" s="10" t="s">
        <v>26</v>
      </c>
    </row>
    <row r="106" spans="1:17" x14ac:dyDescent="0.25">
      <c r="A106" s="10" t="s">
        <v>229</v>
      </c>
      <c r="B106" s="10" t="s">
        <v>227</v>
      </c>
      <c r="C106" s="10" t="s">
        <v>19</v>
      </c>
      <c r="D106" s="10" t="s">
        <v>230</v>
      </c>
      <c r="E106" s="10" t="s">
        <v>21</v>
      </c>
      <c r="F106" s="10" t="s">
        <v>61</v>
      </c>
      <c r="G106" s="10" t="s">
        <v>32</v>
      </c>
      <c r="H106" s="10" t="s">
        <v>24</v>
      </c>
      <c r="I106" s="10" t="s">
        <v>84</v>
      </c>
      <c r="J106" s="10">
        <v>3</v>
      </c>
      <c r="K106" s="10">
        <v>415</v>
      </c>
      <c r="L106" s="10">
        <v>1245</v>
      </c>
      <c r="M106" s="10">
        <v>0</v>
      </c>
      <c r="N106" s="10">
        <v>0</v>
      </c>
      <c r="O106" s="10">
        <v>1245</v>
      </c>
      <c r="P106" s="10">
        <v>4.2</v>
      </c>
      <c r="Q106" s="10" t="s">
        <v>26</v>
      </c>
    </row>
    <row r="107" spans="1:17" x14ac:dyDescent="0.25">
      <c r="A107" s="10" t="s">
        <v>231</v>
      </c>
      <c r="B107" s="10" t="s">
        <v>232</v>
      </c>
      <c r="C107" s="10" t="s">
        <v>91</v>
      </c>
      <c r="D107" s="10" t="s">
        <v>92</v>
      </c>
      <c r="E107" s="10" t="s">
        <v>53</v>
      </c>
      <c r="F107" s="10" t="s">
        <v>119</v>
      </c>
      <c r="G107" s="10" t="s">
        <v>32</v>
      </c>
      <c r="H107" s="10" t="s">
        <v>33</v>
      </c>
      <c r="I107" s="10" t="s">
        <v>25</v>
      </c>
      <c r="J107" s="10">
        <v>4</v>
      </c>
      <c r="K107" s="10">
        <v>1792</v>
      </c>
      <c r="L107" s="10">
        <v>7168</v>
      </c>
      <c r="M107" s="10">
        <v>20</v>
      </c>
      <c r="N107" s="10">
        <v>1434</v>
      </c>
      <c r="O107" s="10">
        <v>5734</v>
      </c>
      <c r="P107" s="10">
        <v>3.5</v>
      </c>
      <c r="Q107" s="10" t="s">
        <v>26</v>
      </c>
    </row>
    <row r="108" spans="1:17" x14ac:dyDescent="0.25">
      <c r="A108" s="10" t="s">
        <v>233</v>
      </c>
      <c r="B108" s="10" t="s">
        <v>232</v>
      </c>
      <c r="C108" s="10" t="s">
        <v>19</v>
      </c>
      <c r="D108" s="10" t="s">
        <v>121</v>
      </c>
      <c r="E108" s="10" t="s">
        <v>42</v>
      </c>
      <c r="F108" s="10" t="s">
        <v>43</v>
      </c>
      <c r="G108" s="10" t="s">
        <v>23</v>
      </c>
      <c r="H108" s="10" t="s">
        <v>33</v>
      </c>
      <c r="I108" s="10" t="s">
        <v>34</v>
      </c>
      <c r="J108" s="10">
        <v>2</v>
      </c>
      <c r="K108" s="10">
        <v>464</v>
      </c>
      <c r="L108" s="10">
        <v>928</v>
      </c>
      <c r="M108" s="10">
        <v>5</v>
      </c>
      <c r="N108" s="10">
        <v>46</v>
      </c>
      <c r="O108" s="10">
        <v>882</v>
      </c>
      <c r="P108" s="10">
        <v>4.4000000000000004</v>
      </c>
      <c r="Q108" s="10" t="s">
        <v>26</v>
      </c>
    </row>
    <row r="109" spans="1:17" x14ac:dyDescent="0.25">
      <c r="A109" s="10" t="s">
        <v>234</v>
      </c>
      <c r="B109" s="10" t="s">
        <v>232</v>
      </c>
      <c r="C109" s="10" t="s">
        <v>51</v>
      </c>
      <c r="D109" s="10" t="s">
        <v>52</v>
      </c>
      <c r="E109" s="10" t="s">
        <v>82</v>
      </c>
      <c r="F109" s="10" t="s">
        <v>79</v>
      </c>
      <c r="G109" s="10" t="s">
        <v>23</v>
      </c>
      <c r="H109" s="10" t="s">
        <v>24</v>
      </c>
      <c r="I109" s="10" t="s">
        <v>45</v>
      </c>
      <c r="J109" s="10">
        <v>1</v>
      </c>
      <c r="K109" s="10">
        <v>153</v>
      </c>
      <c r="L109" s="10">
        <v>153</v>
      </c>
      <c r="M109" s="10">
        <v>5</v>
      </c>
      <c r="N109" s="10">
        <v>8</v>
      </c>
      <c r="O109" s="10">
        <v>145</v>
      </c>
      <c r="P109" s="10">
        <v>4.9000000000000004</v>
      </c>
      <c r="Q109" s="10" t="s">
        <v>26</v>
      </c>
    </row>
    <row r="110" spans="1:17" x14ac:dyDescent="0.25">
      <c r="A110" s="10" t="s">
        <v>235</v>
      </c>
      <c r="B110" s="10" t="s">
        <v>236</v>
      </c>
      <c r="C110" s="10" t="s">
        <v>91</v>
      </c>
      <c r="D110" s="10" t="s">
        <v>92</v>
      </c>
      <c r="E110" s="10" t="s">
        <v>60</v>
      </c>
      <c r="F110" s="10" t="s">
        <v>130</v>
      </c>
      <c r="G110" s="10" t="s">
        <v>23</v>
      </c>
      <c r="H110" s="10" t="s">
        <v>33</v>
      </c>
      <c r="I110" s="10" t="s">
        <v>34</v>
      </c>
      <c r="J110" s="10">
        <v>4</v>
      </c>
      <c r="K110" s="10">
        <v>546</v>
      </c>
      <c r="L110" s="10">
        <v>2184</v>
      </c>
      <c r="M110" s="10">
        <v>15</v>
      </c>
      <c r="N110" s="10">
        <v>328</v>
      </c>
      <c r="O110" s="10">
        <v>1856</v>
      </c>
      <c r="P110" s="10">
        <v>3.5</v>
      </c>
      <c r="Q110" s="10" t="s">
        <v>26</v>
      </c>
    </row>
    <row r="111" spans="1:17" x14ac:dyDescent="0.25">
      <c r="A111" s="10" t="s">
        <v>237</v>
      </c>
      <c r="B111" s="10" t="s">
        <v>236</v>
      </c>
      <c r="C111" s="10" t="s">
        <v>91</v>
      </c>
      <c r="D111" s="10" t="s">
        <v>125</v>
      </c>
      <c r="E111" s="10" t="s">
        <v>60</v>
      </c>
      <c r="F111" s="10" t="s">
        <v>31</v>
      </c>
      <c r="G111" s="10" t="s">
        <v>23</v>
      </c>
      <c r="H111" s="10" t="s">
        <v>33</v>
      </c>
      <c r="I111" s="10" t="s">
        <v>98</v>
      </c>
      <c r="J111" s="10">
        <v>5</v>
      </c>
      <c r="K111" s="10">
        <v>1780</v>
      </c>
      <c r="L111" s="10">
        <v>8900</v>
      </c>
      <c r="M111" s="10">
        <v>0</v>
      </c>
      <c r="N111" s="10">
        <v>0</v>
      </c>
      <c r="O111" s="10">
        <v>8900</v>
      </c>
      <c r="P111" s="10">
        <v>3.2</v>
      </c>
      <c r="Q111" s="10" t="s">
        <v>26</v>
      </c>
    </row>
    <row r="112" spans="1:17" x14ac:dyDescent="0.25">
      <c r="A112" s="10" t="s">
        <v>238</v>
      </c>
      <c r="B112" s="10" t="s">
        <v>236</v>
      </c>
      <c r="C112" s="10" t="s">
        <v>28</v>
      </c>
      <c r="D112" s="10" t="s">
        <v>95</v>
      </c>
      <c r="E112" s="10" t="s">
        <v>21</v>
      </c>
      <c r="F112" s="10" t="s">
        <v>31</v>
      </c>
      <c r="G112" s="10" t="s">
        <v>23</v>
      </c>
      <c r="H112" s="10" t="s">
        <v>24</v>
      </c>
      <c r="I112" s="10" t="s">
        <v>84</v>
      </c>
      <c r="J112" s="10">
        <v>2</v>
      </c>
      <c r="K112" s="10">
        <v>417</v>
      </c>
      <c r="L112" s="10">
        <v>834</v>
      </c>
      <c r="M112" s="10">
        <v>15</v>
      </c>
      <c r="N112" s="10">
        <v>125</v>
      </c>
      <c r="O112" s="10">
        <v>709</v>
      </c>
      <c r="P112" s="10">
        <v>3.9</v>
      </c>
      <c r="Q112" s="10" t="s">
        <v>26</v>
      </c>
    </row>
    <row r="113" spans="1:17" x14ac:dyDescent="0.25">
      <c r="A113" s="10" t="s">
        <v>239</v>
      </c>
      <c r="B113" s="10" t="s">
        <v>236</v>
      </c>
      <c r="C113" s="10" t="s">
        <v>28</v>
      </c>
      <c r="D113" s="10" t="s">
        <v>77</v>
      </c>
      <c r="E113" s="10" t="s">
        <v>78</v>
      </c>
      <c r="F113" s="10" t="s">
        <v>72</v>
      </c>
      <c r="G113" s="10" t="s">
        <v>23</v>
      </c>
      <c r="H113" s="10" t="s">
        <v>104</v>
      </c>
      <c r="I113" s="10" t="s">
        <v>84</v>
      </c>
      <c r="J113" s="10">
        <v>4</v>
      </c>
      <c r="K113" s="10">
        <v>1050</v>
      </c>
      <c r="L113" s="10">
        <v>4200</v>
      </c>
      <c r="M113" s="10">
        <v>30</v>
      </c>
      <c r="N113" s="10">
        <v>1260</v>
      </c>
      <c r="O113" s="10">
        <v>2940</v>
      </c>
      <c r="P113" s="10">
        <v>4.8</v>
      </c>
      <c r="Q113" s="10" t="s">
        <v>26</v>
      </c>
    </row>
    <row r="114" spans="1:17" x14ac:dyDescent="0.25">
      <c r="A114" s="10" t="s">
        <v>240</v>
      </c>
      <c r="B114" s="10" t="s">
        <v>241</v>
      </c>
      <c r="C114" s="10" t="s">
        <v>19</v>
      </c>
      <c r="D114" s="10" t="s">
        <v>121</v>
      </c>
      <c r="E114" s="10" t="s">
        <v>82</v>
      </c>
      <c r="F114" s="10" t="s">
        <v>22</v>
      </c>
      <c r="G114" s="10" t="s">
        <v>23</v>
      </c>
      <c r="H114" s="10" t="s">
        <v>33</v>
      </c>
      <c r="I114" s="10" t="s">
        <v>98</v>
      </c>
      <c r="J114" s="10">
        <v>4</v>
      </c>
      <c r="K114" s="10">
        <v>172</v>
      </c>
      <c r="L114" s="10">
        <v>688</v>
      </c>
      <c r="M114" s="10">
        <v>5</v>
      </c>
      <c r="N114" s="10">
        <v>34</v>
      </c>
      <c r="O114" s="10">
        <v>654</v>
      </c>
      <c r="P114" s="10">
        <v>3.3</v>
      </c>
      <c r="Q114" s="10" t="s">
        <v>75</v>
      </c>
    </row>
    <row r="115" spans="1:17" x14ac:dyDescent="0.25">
      <c r="A115" s="10" t="s">
        <v>242</v>
      </c>
      <c r="B115" s="10" t="s">
        <v>243</v>
      </c>
      <c r="C115" s="10" t="s">
        <v>51</v>
      </c>
      <c r="D115" s="10" t="s">
        <v>70</v>
      </c>
      <c r="E115" s="10" t="s">
        <v>37</v>
      </c>
      <c r="F115" s="10" t="s">
        <v>79</v>
      </c>
      <c r="G115" s="10" t="s">
        <v>23</v>
      </c>
      <c r="H115" s="10" t="s">
        <v>33</v>
      </c>
      <c r="I115" s="10" t="s">
        <v>34</v>
      </c>
      <c r="J115" s="10">
        <v>4</v>
      </c>
      <c r="K115" s="10">
        <v>543</v>
      </c>
      <c r="L115" s="10">
        <v>2172</v>
      </c>
      <c r="M115" s="10">
        <v>20</v>
      </c>
      <c r="N115" s="10">
        <v>434</v>
      </c>
      <c r="O115" s="10">
        <v>1738</v>
      </c>
      <c r="P115" s="10">
        <v>3.4</v>
      </c>
      <c r="Q115" s="10" t="s">
        <v>26</v>
      </c>
    </row>
    <row r="116" spans="1:17" x14ac:dyDescent="0.25">
      <c r="A116" s="10" t="s">
        <v>244</v>
      </c>
      <c r="B116" s="10" t="s">
        <v>245</v>
      </c>
      <c r="C116" s="10" t="s">
        <v>51</v>
      </c>
      <c r="D116" s="10" t="s">
        <v>97</v>
      </c>
      <c r="E116" s="10" t="s">
        <v>48</v>
      </c>
      <c r="F116" s="10" t="s">
        <v>43</v>
      </c>
      <c r="G116" s="10" t="s">
        <v>23</v>
      </c>
      <c r="H116" s="10" t="s">
        <v>33</v>
      </c>
      <c r="I116" s="10" t="s">
        <v>98</v>
      </c>
      <c r="J116" s="10">
        <v>1</v>
      </c>
      <c r="K116" s="10">
        <v>750</v>
      </c>
      <c r="L116" s="10">
        <v>750</v>
      </c>
      <c r="M116" s="10">
        <v>20</v>
      </c>
      <c r="N116" s="10">
        <v>150</v>
      </c>
      <c r="O116" s="10">
        <v>600</v>
      </c>
      <c r="P116" s="10">
        <v>4.5999999999999996</v>
      </c>
      <c r="Q116" s="10" t="s">
        <v>26</v>
      </c>
    </row>
    <row r="117" spans="1:17" x14ac:dyDescent="0.25">
      <c r="A117" s="10" t="s">
        <v>246</v>
      </c>
      <c r="B117" s="10" t="s">
        <v>245</v>
      </c>
      <c r="C117" s="10" t="s">
        <v>51</v>
      </c>
      <c r="D117" s="10" t="s">
        <v>52</v>
      </c>
      <c r="E117" s="10" t="s">
        <v>48</v>
      </c>
      <c r="F117" s="10" t="s">
        <v>119</v>
      </c>
      <c r="G117" s="10" t="s">
        <v>23</v>
      </c>
      <c r="H117" s="10" t="s">
        <v>24</v>
      </c>
      <c r="I117" s="10" t="s">
        <v>84</v>
      </c>
      <c r="J117" s="10">
        <v>4</v>
      </c>
      <c r="K117" s="10">
        <v>644</v>
      </c>
      <c r="L117" s="10">
        <v>2576</v>
      </c>
      <c r="M117" s="10">
        <v>25</v>
      </c>
      <c r="N117" s="10">
        <v>644</v>
      </c>
      <c r="O117" s="10">
        <v>1932</v>
      </c>
      <c r="P117" s="10">
        <v>3.7</v>
      </c>
      <c r="Q117" s="10" t="s">
        <v>26</v>
      </c>
    </row>
    <row r="118" spans="1:17" x14ac:dyDescent="0.25">
      <c r="A118" s="10" t="s">
        <v>247</v>
      </c>
      <c r="B118" s="10" t="s">
        <v>245</v>
      </c>
      <c r="C118" s="10" t="s">
        <v>40</v>
      </c>
      <c r="D118" s="10" t="s">
        <v>47</v>
      </c>
      <c r="E118" s="10" t="s">
        <v>60</v>
      </c>
      <c r="F118" s="10" t="s">
        <v>31</v>
      </c>
      <c r="G118" s="10" t="s">
        <v>23</v>
      </c>
      <c r="H118" s="10" t="s">
        <v>104</v>
      </c>
      <c r="I118" s="10" t="s">
        <v>98</v>
      </c>
      <c r="J118" s="10">
        <v>1</v>
      </c>
      <c r="K118" s="10">
        <v>651</v>
      </c>
      <c r="L118" s="10">
        <v>651</v>
      </c>
      <c r="M118" s="10">
        <v>25</v>
      </c>
      <c r="N118" s="10">
        <v>163</v>
      </c>
      <c r="O118" s="10">
        <v>488</v>
      </c>
      <c r="P118" s="10">
        <v>4.2</v>
      </c>
      <c r="Q118" s="10" t="s">
        <v>26</v>
      </c>
    </row>
    <row r="119" spans="1:17" x14ac:dyDescent="0.25">
      <c r="A119" s="10" t="s">
        <v>248</v>
      </c>
      <c r="B119" s="10" t="s">
        <v>245</v>
      </c>
      <c r="C119" s="10" t="s">
        <v>19</v>
      </c>
      <c r="D119" s="10" t="s">
        <v>20</v>
      </c>
      <c r="E119" s="10" t="s">
        <v>37</v>
      </c>
      <c r="F119" s="10" t="s">
        <v>79</v>
      </c>
      <c r="G119" s="10" t="s">
        <v>23</v>
      </c>
      <c r="H119" s="10" t="s">
        <v>33</v>
      </c>
      <c r="I119" s="10" t="s">
        <v>84</v>
      </c>
      <c r="J119" s="10">
        <v>4</v>
      </c>
      <c r="K119" s="10">
        <v>463</v>
      </c>
      <c r="L119" s="10">
        <v>1852</v>
      </c>
      <c r="M119" s="10">
        <v>5</v>
      </c>
      <c r="N119" s="10">
        <v>93</v>
      </c>
      <c r="O119" s="10">
        <v>1759</v>
      </c>
      <c r="P119" s="10">
        <v>3.7</v>
      </c>
      <c r="Q119" s="10" t="s">
        <v>26</v>
      </c>
    </row>
    <row r="120" spans="1:17" x14ac:dyDescent="0.25">
      <c r="A120" s="10" t="s">
        <v>249</v>
      </c>
      <c r="B120" s="10" t="s">
        <v>250</v>
      </c>
      <c r="C120" s="10" t="s">
        <v>28</v>
      </c>
      <c r="D120" s="10" t="s">
        <v>95</v>
      </c>
      <c r="E120" s="10" t="s">
        <v>78</v>
      </c>
      <c r="F120" s="10" t="s">
        <v>61</v>
      </c>
      <c r="G120" s="10" t="s">
        <v>32</v>
      </c>
      <c r="H120" s="10" t="s">
        <v>24</v>
      </c>
      <c r="I120" s="10" t="s">
        <v>45</v>
      </c>
      <c r="J120" s="10">
        <v>5</v>
      </c>
      <c r="K120" s="10">
        <v>872</v>
      </c>
      <c r="L120" s="10">
        <v>4360</v>
      </c>
      <c r="M120" s="10">
        <v>5</v>
      </c>
      <c r="N120" s="10">
        <v>218</v>
      </c>
      <c r="O120" s="10">
        <v>4142</v>
      </c>
      <c r="P120" s="10">
        <v>3.9</v>
      </c>
      <c r="Q120" s="10" t="s">
        <v>26</v>
      </c>
    </row>
    <row r="121" spans="1:17" x14ac:dyDescent="0.25">
      <c r="A121" s="10" t="s">
        <v>251</v>
      </c>
      <c r="B121" s="10" t="s">
        <v>250</v>
      </c>
      <c r="C121" s="10" t="s">
        <v>91</v>
      </c>
      <c r="D121" s="10" t="s">
        <v>125</v>
      </c>
      <c r="E121" s="10" t="s">
        <v>78</v>
      </c>
      <c r="F121" s="10" t="s">
        <v>72</v>
      </c>
      <c r="G121" s="10" t="s">
        <v>23</v>
      </c>
      <c r="H121" s="10" t="s">
        <v>24</v>
      </c>
      <c r="I121" s="10" t="s">
        <v>84</v>
      </c>
      <c r="J121" s="10">
        <v>3</v>
      </c>
      <c r="K121" s="10">
        <v>2420</v>
      </c>
      <c r="L121" s="10">
        <v>7260</v>
      </c>
      <c r="M121" s="10">
        <v>5</v>
      </c>
      <c r="N121" s="10">
        <v>363</v>
      </c>
      <c r="O121" s="10">
        <v>6897</v>
      </c>
      <c r="P121" s="10">
        <v>3.8</v>
      </c>
      <c r="Q121" s="10" t="s">
        <v>26</v>
      </c>
    </row>
    <row r="122" spans="1:17" x14ac:dyDescent="0.25">
      <c r="A122" s="10" t="s">
        <v>252</v>
      </c>
      <c r="B122" s="10" t="s">
        <v>250</v>
      </c>
      <c r="C122" s="10" t="s">
        <v>19</v>
      </c>
      <c r="D122" s="10" t="s">
        <v>128</v>
      </c>
      <c r="E122" s="10" t="s">
        <v>71</v>
      </c>
      <c r="F122" s="10" t="s">
        <v>119</v>
      </c>
      <c r="G122" s="10" t="s">
        <v>23</v>
      </c>
      <c r="H122" s="10" t="s">
        <v>24</v>
      </c>
      <c r="I122" s="10" t="s">
        <v>98</v>
      </c>
      <c r="J122" s="10">
        <v>4</v>
      </c>
      <c r="K122" s="10">
        <v>597</v>
      </c>
      <c r="L122" s="10">
        <v>2388</v>
      </c>
      <c r="M122" s="10">
        <v>10</v>
      </c>
      <c r="N122" s="10">
        <v>239</v>
      </c>
      <c r="O122" s="10">
        <v>2149</v>
      </c>
      <c r="P122" s="10">
        <v>3.3</v>
      </c>
      <c r="Q122" s="10" t="s">
        <v>26</v>
      </c>
    </row>
    <row r="123" spans="1:17" x14ac:dyDescent="0.25">
      <c r="A123" s="10" t="s">
        <v>253</v>
      </c>
      <c r="B123" s="10" t="s">
        <v>250</v>
      </c>
      <c r="C123" s="10" t="s">
        <v>63</v>
      </c>
      <c r="D123" s="10" t="s">
        <v>134</v>
      </c>
      <c r="E123" s="10" t="s">
        <v>48</v>
      </c>
      <c r="F123" s="10" t="s">
        <v>22</v>
      </c>
      <c r="G123" s="10" t="s">
        <v>23</v>
      </c>
      <c r="H123" s="10" t="s">
        <v>24</v>
      </c>
      <c r="I123" s="10" t="s">
        <v>34</v>
      </c>
      <c r="J123" s="10">
        <v>2</v>
      </c>
      <c r="K123" s="10">
        <v>549</v>
      </c>
      <c r="L123" s="10">
        <v>1098</v>
      </c>
      <c r="M123" s="10">
        <v>5</v>
      </c>
      <c r="N123" s="10">
        <v>55</v>
      </c>
      <c r="O123" s="10">
        <v>1043</v>
      </c>
      <c r="P123" s="10">
        <v>4.5999999999999996</v>
      </c>
      <c r="Q123" s="10" t="s">
        <v>26</v>
      </c>
    </row>
    <row r="124" spans="1:17" x14ac:dyDescent="0.25">
      <c r="A124" s="10" t="s">
        <v>254</v>
      </c>
      <c r="B124" s="10" t="s">
        <v>255</v>
      </c>
      <c r="C124" s="10" t="s">
        <v>40</v>
      </c>
      <c r="D124" s="10" t="s">
        <v>68</v>
      </c>
      <c r="E124" s="10" t="s">
        <v>21</v>
      </c>
      <c r="F124" s="10" t="s">
        <v>43</v>
      </c>
      <c r="G124" s="10" t="s">
        <v>23</v>
      </c>
      <c r="H124" s="10" t="s">
        <v>33</v>
      </c>
      <c r="I124" s="10" t="s">
        <v>34</v>
      </c>
      <c r="J124" s="10">
        <v>4</v>
      </c>
      <c r="K124" s="10">
        <v>570</v>
      </c>
      <c r="L124" s="10">
        <v>2280</v>
      </c>
      <c r="M124" s="10">
        <v>15</v>
      </c>
      <c r="N124" s="10">
        <v>342</v>
      </c>
      <c r="O124" s="10">
        <v>1938</v>
      </c>
      <c r="P124" s="10">
        <v>3.7</v>
      </c>
      <c r="Q124" s="10" t="s">
        <v>26</v>
      </c>
    </row>
    <row r="125" spans="1:17" x14ac:dyDescent="0.25">
      <c r="A125" s="10" t="s">
        <v>256</v>
      </c>
      <c r="B125" s="10" t="s">
        <v>255</v>
      </c>
      <c r="C125" s="10" t="s">
        <v>91</v>
      </c>
      <c r="D125" s="10" t="s">
        <v>110</v>
      </c>
      <c r="E125" s="10" t="s">
        <v>60</v>
      </c>
      <c r="F125" s="10" t="s">
        <v>119</v>
      </c>
      <c r="G125" s="10" t="s">
        <v>23</v>
      </c>
      <c r="H125" s="10" t="s">
        <v>24</v>
      </c>
      <c r="I125" s="10" t="s">
        <v>34</v>
      </c>
      <c r="J125" s="10">
        <v>3</v>
      </c>
      <c r="K125" s="10">
        <v>2815</v>
      </c>
      <c r="L125" s="10">
        <v>8445</v>
      </c>
      <c r="M125" s="10">
        <v>10</v>
      </c>
      <c r="N125" s="10">
        <v>844</v>
      </c>
      <c r="O125" s="10">
        <v>7601</v>
      </c>
      <c r="P125" s="10">
        <v>4.8</v>
      </c>
      <c r="Q125" s="10" t="s">
        <v>26</v>
      </c>
    </row>
    <row r="126" spans="1:17" x14ac:dyDescent="0.25">
      <c r="A126" s="10" t="s">
        <v>257</v>
      </c>
      <c r="B126" s="10" t="s">
        <v>255</v>
      </c>
      <c r="C126" s="10" t="s">
        <v>51</v>
      </c>
      <c r="D126" s="10" t="s">
        <v>97</v>
      </c>
      <c r="E126" s="10" t="s">
        <v>155</v>
      </c>
      <c r="F126" s="10" t="s">
        <v>83</v>
      </c>
      <c r="G126" s="10" t="s">
        <v>32</v>
      </c>
      <c r="H126" s="10" t="s">
        <v>24</v>
      </c>
      <c r="I126" s="10" t="s">
        <v>25</v>
      </c>
      <c r="J126" s="10">
        <v>2</v>
      </c>
      <c r="K126" s="10">
        <v>179</v>
      </c>
      <c r="L126" s="10">
        <v>358</v>
      </c>
      <c r="M126" s="10">
        <v>10</v>
      </c>
      <c r="N126" s="10">
        <v>36</v>
      </c>
      <c r="O126" s="10">
        <v>322</v>
      </c>
      <c r="P126" s="10">
        <v>3.9</v>
      </c>
      <c r="Q126" s="10" t="s">
        <v>26</v>
      </c>
    </row>
    <row r="127" spans="1:17" x14ac:dyDescent="0.25">
      <c r="A127" s="10" t="s">
        <v>258</v>
      </c>
      <c r="B127" s="10" t="s">
        <v>259</v>
      </c>
      <c r="C127" s="10" t="s">
        <v>19</v>
      </c>
      <c r="D127" s="10" t="s">
        <v>128</v>
      </c>
      <c r="E127" s="10" t="s">
        <v>53</v>
      </c>
      <c r="F127" s="10" t="s">
        <v>130</v>
      </c>
      <c r="G127" s="10" t="s">
        <v>32</v>
      </c>
      <c r="H127" s="10" t="s">
        <v>33</v>
      </c>
      <c r="I127" s="10" t="s">
        <v>45</v>
      </c>
      <c r="J127" s="10">
        <v>4</v>
      </c>
      <c r="K127" s="10">
        <v>250</v>
      </c>
      <c r="L127" s="10">
        <v>1000</v>
      </c>
      <c r="M127" s="10">
        <v>25</v>
      </c>
      <c r="N127" s="10">
        <v>250</v>
      </c>
      <c r="O127" s="10">
        <v>750</v>
      </c>
      <c r="P127" s="10">
        <v>3.6</v>
      </c>
      <c r="Q127" s="10" t="s">
        <v>75</v>
      </c>
    </row>
    <row r="128" spans="1:17" x14ac:dyDescent="0.25">
      <c r="A128" s="10" t="s">
        <v>260</v>
      </c>
      <c r="B128" s="10" t="s">
        <v>261</v>
      </c>
      <c r="C128" s="10" t="s">
        <v>63</v>
      </c>
      <c r="D128" s="10" t="s">
        <v>134</v>
      </c>
      <c r="E128" s="10" t="s">
        <v>21</v>
      </c>
      <c r="F128" s="10" t="s">
        <v>22</v>
      </c>
      <c r="G128" s="10" t="s">
        <v>23</v>
      </c>
      <c r="H128" s="10" t="s">
        <v>33</v>
      </c>
      <c r="I128" s="10" t="s">
        <v>25</v>
      </c>
      <c r="J128" s="10">
        <v>2</v>
      </c>
      <c r="K128" s="10">
        <v>1196</v>
      </c>
      <c r="L128" s="10">
        <v>2392</v>
      </c>
      <c r="M128" s="10">
        <v>0</v>
      </c>
      <c r="N128" s="10">
        <v>0</v>
      </c>
      <c r="O128" s="10">
        <v>2392</v>
      </c>
      <c r="P128" s="10">
        <v>3.8</v>
      </c>
      <c r="Q128" s="10" t="s">
        <v>26</v>
      </c>
    </row>
    <row r="129" spans="1:17" x14ac:dyDescent="0.25">
      <c r="A129" s="10" t="s">
        <v>262</v>
      </c>
      <c r="B129" s="10" t="s">
        <v>261</v>
      </c>
      <c r="C129" s="10" t="s">
        <v>91</v>
      </c>
      <c r="D129" s="10" t="s">
        <v>92</v>
      </c>
      <c r="E129" s="10" t="s">
        <v>37</v>
      </c>
      <c r="F129" s="10" t="s">
        <v>22</v>
      </c>
      <c r="G129" s="10" t="s">
        <v>23</v>
      </c>
      <c r="H129" s="10" t="s">
        <v>24</v>
      </c>
      <c r="I129" s="10" t="s">
        <v>84</v>
      </c>
      <c r="J129" s="10">
        <v>2</v>
      </c>
      <c r="K129" s="10">
        <v>2573</v>
      </c>
      <c r="L129" s="10">
        <v>5146</v>
      </c>
      <c r="M129" s="10">
        <v>30</v>
      </c>
      <c r="N129" s="10">
        <v>1544</v>
      </c>
      <c r="O129" s="10">
        <v>3602</v>
      </c>
      <c r="P129" s="10">
        <v>4.8</v>
      </c>
      <c r="Q129" s="10" t="s">
        <v>26</v>
      </c>
    </row>
    <row r="130" spans="1:17" x14ac:dyDescent="0.25">
      <c r="A130" s="10" t="s">
        <v>263</v>
      </c>
      <c r="B130" s="10" t="s">
        <v>264</v>
      </c>
      <c r="C130" s="10" t="s">
        <v>19</v>
      </c>
      <c r="D130" s="10" t="s">
        <v>230</v>
      </c>
      <c r="E130" s="10" t="s">
        <v>42</v>
      </c>
      <c r="F130" s="10" t="s">
        <v>31</v>
      </c>
      <c r="G130" s="10" t="s">
        <v>32</v>
      </c>
      <c r="H130" s="10" t="s">
        <v>33</v>
      </c>
      <c r="I130" s="10" t="s">
        <v>45</v>
      </c>
      <c r="J130" s="10">
        <v>1</v>
      </c>
      <c r="K130" s="10">
        <v>838</v>
      </c>
      <c r="L130" s="10">
        <v>838</v>
      </c>
      <c r="M130" s="10">
        <v>30</v>
      </c>
      <c r="N130" s="10">
        <v>251</v>
      </c>
      <c r="O130" s="10">
        <v>587</v>
      </c>
      <c r="P130" s="10">
        <v>5</v>
      </c>
      <c r="Q130" s="10" t="s">
        <v>26</v>
      </c>
    </row>
    <row r="131" spans="1:17" x14ac:dyDescent="0.25">
      <c r="A131" s="10" t="s">
        <v>265</v>
      </c>
      <c r="B131" s="10" t="s">
        <v>266</v>
      </c>
      <c r="C131" s="10" t="s">
        <v>40</v>
      </c>
      <c r="D131" s="10" t="s">
        <v>57</v>
      </c>
      <c r="E131" s="10" t="s">
        <v>71</v>
      </c>
      <c r="F131" s="10" t="s">
        <v>43</v>
      </c>
      <c r="G131" s="10" t="s">
        <v>23</v>
      </c>
      <c r="H131" s="10" t="s">
        <v>24</v>
      </c>
      <c r="I131" s="10" t="s">
        <v>98</v>
      </c>
      <c r="J131" s="10">
        <v>3</v>
      </c>
      <c r="K131" s="10">
        <v>992</v>
      </c>
      <c r="L131" s="10">
        <v>2976</v>
      </c>
      <c r="M131" s="10">
        <v>25</v>
      </c>
      <c r="N131" s="10">
        <v>744</v>
      </c>
      <c r="O131" s="10">
        <v>2232</v>
      </c>
      <c r="P131" s="10">
        <v>3.3</v>
      </c>
      <c r="Q131" s="10" t="s">
        <v>26</v>
      </c>
    </row>
    <row r="132" spans="1:17" x14ac:dyDescent="0.25">
      <c r="A132" s="10" t="s">
        <v>267</v>
      </c>
      <c r="B132" s="10" t="s">
        <v>266</v>
      </c>
      <c r="C132" s="10" t="s">
        <v>51</v>
      </c>
      <c r="D132" s="10" t="s">
        <v>70</v>
      </c>
      <c r="E132" s="10" t="s">
        <v>21</v>
      </c>
      <c r="F132" s="10" t="s">
        <v>61</v>
      </c>
      <c r="G132" s="10" t="s">
        <v>32</v>
      </c>
      <c r="H132" s="10" t="s">
        <v>33</v>
      </c>
      <c r="I132" s="10" t="s">
        <v>34</v>
      </c>
      <c r="J132" s="10">
        <v>5</v>
      </c>
      <c r="K132" s="10">
        <v>500</v>
      </c>
      <c r="L132" s="10">
        <v>2500</v>
      </c>
      <c r="M132" s="10">
        <v>15</v>
      </c>
      <c r="N132" s="10">
        <v>375</v>
      </c>
      <c r="O132" s="10">
        <v>2125</v>
      </c>
      <c r="P132" s="10">
        <v>3.3</v>
      </c>
      <c r="Q132" s="10" t="s">
        <v>26</v>
      </c>
    </row>
    <row r="133" spans="1:17" x14ac:dyDescent="0.25">
      <c r="A133" s="10" t="s">
        <v>268</v>
      </c>
      <c r="B133" s="10" t="s">
        <v>266</v>
      </c>
      <c r="C133" s="10" t="s">
        <v>51</v>
      </c>
      <c r="D133" s="10" t="s">
        <v>70</v>
      </c>
      <c r="E133" s="10" t="s">
        <v>30</v>
      </c>
      <c r="F133" s="10" t="s">
        <v>65</v>
      </c>
      <c r="G133" s="10" t="s">
        <v>23</v>
      </c>
      <c r="H133" s="10" t="s">
        <v>33</v>
      </c>
      <c r="I133" s="10" t="s">
        <v>34</v>
      </c>
      <c r="J133" s="10">
        <v>4</v>
      </c>
      <c r="K133" s="10">
        <v>602</v>
      </c>
      <c r="L133" s="10">
        <v>2408</v>
      </c>
      <c r="M133" s="10">
        <v>20</v>
      </c>
      <c r="N133" s="10">
        <v>482</v>
      </c>
      <c r="O133" s="10">
        <v>1926</v>
      </c>
      <c r="P133" s="10">
        <v>3.4</v>
      </c>
      <c r="Q133" s="10" t="s">
        <v>26</v>
      </c>
    </row>
    <row r="134" spans="1:17" x14ac:dyDescent="0.25">
      <c r="A134" s="10" t="s">
        <v>269</v>
      </c>
      <c r="B134" s="10" t="s">
        <v>270</v>
      </c>
      <c r="C134" s="10" t="s">
        <v>28</v>
      </c>
      <c r="D134" s="10" t="s">
        <v>163</v>
      </c>
      <c r="E134" s="10" t="s">
        <v>42</v>
      </c>
      <c r="F134" s="10" t="s">
        <v>130</v>
      </c>
      <c r="G134" s="10" t="s">
        <v>23</v>
      </c>
      <c r="H134" s="10" t="s">
        <v>104</v>
      </c>
      <c r="I134" s="10" t="s">
        <v>45</v>
      </c>
      <c r="J134" s="10">
        <v>2</v>
      </c>
      <c r="K134" s="10">
        <v>1296</v>
      </c>
      <c r="L134" s="10">
        <v>2592</v>
      </c>
      <c r="M134" s="10">
        <v>25</v>
      </c>
      <c r="N134" s="10">
        <v>648</v>
      </c>
      <c r="O134" s="10">
        <v>1944</v>
      </c>
      <c r="P134" s="10">
        <v>3.5</v>
      </c>
      <c r="Q134" s="10" t="s">
        <v>26</v>
      </c>
    </row>
    <row r="135" spans="1:17" x14ac:dyDescent="0.25">
      <c r="A135" s="10" t="s">
        <v>271</v>
      </c>
      <c r="B135" s="10" t="s">
        <v>270</v>
      </c>
      <c r="C135" s="10" t="s">
        <v>91</v>
      </c>
      <c r="D135" s="10" t="s">
        <v>110</v>
      </c>
      <c r="E135" s="10" t="s">
        <v>71</v>
      </c>
      <c r="F135" s="10" t="s">
        <v>31</v>
      </c>
      <c r="G135" s="10" t="s">
        <v>32</v>
      </c>
      <c r="H135" s="10" t="s">
        <v>104</v>
      </c>
      <c r="I135" s="10" t="s">
        <v>84</v>
      </c>
      <c r="J135" s="10">
        <v>3</v>
      </c>
      <c r="K135" s="10">
        <v>1818</v>
      </c>
      <c r="L135" s="10">
        <v>5454</v>
      </c>
      <c r="M135" s="10">
        <v>20</v>
      </c>
      <c r="N135" s="10">
        <v>1091</v>
      </c>
      <c r="O135" s="10">
        <v>4363</v>
      </c>
      <c r="P135" s="10">
        <v>4</v>
      </c>
      <c r="Q135" s="10" t="s">
        <v>26</v>
      </c>
    </row>
    <row r="136" spans="1:17" x14ac:dyDescent="0.25">
      <c r="A136" s="10" t="s">
        <v>272</v>
      </c>
      <c r="B136" s="10" t="s">
        <v>273</v>
      </c>
      <c r="C136" s="10" t="s">
        <v>63</v>
      </c>
      <c r="D136" s="10" t="s">
        <v>64</v>
      </c>
      <c r="E136" s="10" t="s">
        <v>60</v>
      </c>
      <c r="F136" s="10" t="s">
        <v>31</v>
      </c>
      <c r="G136" s="10" t="s">
        <v>32</v>
      </c>
      <c r="H136" s="10" t="s">
        <v>104</v>
      </c>
      <c r="I136" s="10" t="s">
        <v>98</v>
      </c>
      <c r="J136" s="10">
        <v>4</v>
      </c>
      <c r="K136" s="10">
        <v>2186</v>
      </c>
      <c r="L136" s="10">
        <v>8744</v>
      </c>
      <c r="M136" s="10">
        <v>30</v>
      </c>
      <c r="N136" s="10">
        <v>2623</v>
      </c>
      <c r="O136" s="10">
        <v>6121</v>
      </c>
      <c r="P136" s="10">
        <v>4.9000000000000004</v>
      </c>
      <c r="Q136" s="10" t="s">
        <v>26</v>
      </c>
    </row>
    <row r="137" spans="1:17" x14ac:dyDescent="0.25">
      <c r="A137" s="10" t="s">
        <v>274</v>
      </c>
      <c r="B137" s="10" t="s">
        <v>273</v>
      </c>
      <c r="C137" s="10" t="s">
        <v>63</v>
      </c>
      <c r="D137" s="10" t="s">
        <v>64</v>
      </c>
      <c r="E137" s="10" t="s">
        <v>82</v>
      </c>
      <c r="F137" s="10" t="s">
        <v>72</v>
      </c>
      <c r="G137" s="10" t="s">
        <v>23</v>
      </c>
      <c r="H137" s="10" t="s">
        <v>33</v>
      </c>
      <c r="I137" s="10" t="s">
        <v>34</v>
      </c>
      <c r="J137" s="10">
        <v>5</v>
      </c>
      <c r="K137" s="10">
        <v>2250</v>
      </c>
      <c r="L137" s="10">
        <v>11250</v>
      </c>
      <c r="M137" s="10">
        <v>15</v>
      </c>
      <c r="N137" s="10">
        <v>1688</v>
      </c>
      <c r="O137" s="10">
        <v>9562</v>
      </c>
      <c r="P137" s="10">
        <v>5</v>
      </c>
      <c r="Q137" s="10" t="s">
        <v>26</v>
      </c>
    </row>
    <row r="138" spans="1:17" x14ac:dyDescent="0.25">
      <c r="A138" s="10" t="s">
        <v>275</v>
      </c>
      <c r="B138" s="10" t="s">
        <v>276</v>
      </c>
      <c r="C138" s="10" t="s">
        <v>19</v>
      </c>
      <c r="D138" s="10" t="s">
        <v>230</v>
      </c>
      <c r="E138" s="10" t="s">
        <v>37</v>
      </c>
      <c r="F138" s="10" t="s">
        <v>130</v>
      </c>
      <c r="G138" s="10" t="s">
        <v>23</v>
      </c>
      <c r="H138" s="10" t="s">
        <v>33</v>
      </c>
      <c r="I138" s="10" t="s">
        <v>25</v>
      </c>
      <c r="J138" s="10">
        <v>4</v>
      </c>
      <c r="K138" s="10">
        <v>195</v>
      </c>
      <c r="L138" s="10">
        <v>780</v>
      </c>
      <c r="M138" s="10">
        <v>15</v>
      </c>
      <c r="N138" s="10">
        <v>117</v>
      </c>
      <c r="O138" s="10">
        <v>663</v>
      </c>
      <c r="P138" s="10">
        <v>3.9</v>
      </c>
      <c r="Q138" s="10" t="s">
        <v>26</v>
      </c>
    </row>
    <row r="139" spans="1:17" x14ac:dyDescent="0.25">
      <c r="A139" s="10" t="s">
        <v>277</v>
      </c>
      <c r="B139" s="10" t="s">
        <v>278</v>
      </c>
      <c r="C139" s="10" t="s">
        <v>63</v>
      </c>
      <c r="D139" s="10" t="s">
        <v>143</v>
      </c>
      <c r="E139" s="10" t="s">
        <v>53</v>
      </c>
      <c r="F139" s="10" t="s">
        <v>79</v>
      </c>
      <c r="G139" s="10" t="s">
        <v>23</v>
      </c>
      <c r="H139" s="10" t="s">
        <v>24</v>
      </c>
      <c r="I139" s="10" t="s">
        <v>98</v>
      </c>
      <c r="J139" s="10">
        <v>2</v>
      </c>
      <c r="K139" s="10">
        <v>1913</v>
      </c>
      <c r="L139" s="10">
        <v>3826</v>
      </c>
      <c r="M139" s="10">
        <v>0</v>
      </c>
      <c r="N139" s="10">
        <v>0</v>
      </c>
      <c r="O139" s="10">
        <v>3826</v>
      </c>
      <c r="P139" s="10">
        <v>3.9</v>
      </c>
      <c r="Q139" s="10" t="s">
        <v>26</v>
      </c>
    </row>
    <row r="140" spans="1:17" x14ac:dyDescent="0.25">
      <c r="A140" s="10" t="s">
        <v>279</v>
      </c>
      <c r="B140" s="10" t="s">
        <v>278</v>
      </c>
      <c r="C140" s="10" t="s">
        <v>63</v>
      </c>
      <c r="D140" s="10" t="s">
        <v>134</v>
      </c>
      <c r="E140" s="10" t="s">
        <v>78</v>
      </c>
      <c r="F140" s="10" t="s">
        <v>83</v>
      </c>
      <c r="G140" s="10" t="s">
        <v>23</v>
      </c>
      <c r="H140" s="10" t="s">
        <v>33</v>
      </c>
      <c r="I140" s="10" t="s">
        <v>25</v>
      </c>
      <c r="J140" s="10">
        <v>4</v>
      </c>
      <c r="K140" s="10">
        <v>1444</v>
      </c>
      <c r="L140" s="10">
        <v>5776</v>
      </c>
      <c r="M140" s="10">
        <v>15</v>
      </c>
      <c r="N140" s="10">
        <v>866</v>
      </c>
      <c r="O140" s="10">
        <v>4910</v>
      </c>
      <c r="P140" s="10">
        <v>4.2</v>
      </c>
      <c r="Q140" s="10" t="s">
        <v>26</v>
      </c>
    </row>
    <row r="141" spans="1:17" x14ac:dyDescent="0.25">
      <c r="A141" s="10" t="s">
        <v>280</v>
      </c>
      <c r="B141" s="10" t="s">
        <v>278</v>
      </c>
      <c r="C141" s="10" t="s">
        <v>28</v>
      </c>
      <c r="D141" s="10" t="s">
        <v>29</v>
      </c>
      <c r="E141" s="10" t="s">
        <v>60</v>
      </c>
      <c r="F141" s="10" t="s">
        <v>119</v>
      </c>
      <c r="G141" s="10" t="s">
        <v>32</v>
      </c>
      <c r="H141" s="10" t="s">
        <v>104</v>
      </c>
      <c r="I141" s="10" t="s">
        <v>34</v>
      </c>
      <c r="J141" s="10">
        <v>3</v>
      </c>
      <c r="K141" s="10">
        <v>373</v>
      </c>
      <c r="L141" s="10">
        <v>1119</v>
      </c>
      <c r="M141" s="10">
        <v>30</v>
      </c>
      <c r="N141" s="10">
        <v>336</v>
      </c>
      <c r="O141" s="10">
        <v>783</v>
      </c>
      <c r="P141" s="10">
        <v>4.2</v>
      </c>
      <c r="Q141" s="10" t="s">
        <v>26</v>
      </c>
    </row>
    <row r="142" spans="1:17" x14ac:dyDescent="0.25">
      <c r="A142" s="10" t="s">
        <v>281</v>
      </c>
      <c r="B142" s="10" t="s">
        <v>282</v>
      </c>
      <c r="C142" s="10" t="s">
        <v>51</v>
      </c>
      <c r="D142" s="10" t="s">
        <v>52</v>
      </c>
      <c r="E142" s="10" t="s">
        <v>42</v>
      </c>
      <c r="F142" s="10" t="s">
        <v>61</v>
      </c>
      <c r="G142" s="10" t="s">
        <v>23</v>
      </c>
      <c r="H142" s="10" t="s">
        <v>33</v>
      </c>
      <c r="I142" s="10" t="s">
        <v>98</v>
      </c>
      <c r="J142" s="10">
        <v>3</v>
      </c>
      <c r="K142" s="10">
        <v>419</v>
      </c>
      <c r="L142" s="10">
        <v>1257</v>
      </c>
      <c r="M142" s="10">
        <v>20</v>
      </c>
      <c r="N142" s="10">
        <v>251</v>
      </c>
      <c r="O142" s="10">
        <v>1006</v>
      </c>
      <c r="P142" s="10">
        <v>4.8</v>
      </c>
      <c r="Q142" s="10" t="s">
        <v>26</v>
      </c>
    </row>
    <row r="143" spans="1:17" x14ac:dyDescent="0.25">
      <c r="A143" s="10" t="s">
        <v>283</v>
      </c>
      <c r="B143" s="10" t="s">
        <v>282</v>
      </c>
      <c r="C143" s="10" t="s">
        <v>51</v>
      </c>
      <c r="D143" s="10" t="s">
        <v>97</v>
      </c>
      <c r="E143" s="10" t="s">
        <v>60</v>
      </c>
      <c r="F143" s="10" t="s">
        <v>61</v>
      </c>
      <c r="G143" s="10" t="s">
        <v>23</v>
      </c>
      <c r="H143" s="10" t="s">
        <v>24</v>
      </c>
      <c r="I143" s="10" t="s">
        <v>34</v>
      </c>
      <c r="J143" s="10">
        <v>5</v>
      </c>
      <c r="K143" s="10">
        <v>156</v>
      </c>
      <c r="L143" s="10">
        <v>780</v>
      </c>
      <c r="M143" s="10">
        <v>5</v>
      </c>
      <c r="N143" s="10">
        <v>39</v>
      </c>
      <c r="O143" s="10">
        <v>741</v>
      </c>
      <c r="P143" s="10">
        <v>4.7</v>
      </c>
      <c r="Q143" s="10" t="s">
        <v>26</v>
      </c>
    </row>
    <row r="144" spans="1:17" x14ac:dyDescent="0.25">
      <c r="A144" s="10" t="s">
        <v>284</v>
      </c>
      <c r="B144" s="10" t="s">
        <v>282</v>
      </c>
      <c r="C144" s="10" t="s">
        <v>19</v>
      </c>
      <c r="D144" s="10" t="s">
        <v>121</v>
      </c>
      <c r="E144" s="10" t="s">
        <v>48</v>
      </c>
      <c r="F144" s="10" t="s">
        <v>65</v>
      </c>
      <c r="G144" s="10" t="s">
        <v>23</v>
      </c>
      <c r="H144" s="10" t="s">
        <v>24</v>
      </c>
      <c r="I144" s="10" t="s">
        <v>25</v>
      </c>
      <c r="J144" s="10">
        <v>3</v>
      </c>
      <c r="K144" s="10">
        <v>658</v>
      </c>
      <c r="L144" s="10">
        <v>1974</v>
      </c>
      <c r="M144" s="10">
        <v>20</v>
      </c>
      <c r="N144" s="10">
        <v>395</v>
      </c>
      <c r="O144" s="10">
        <v>1579</v>
      </c>
      <c r="P144" s="10">
        <v>3.9</v>
      </c>
      <c r="Q144" s="10" t="s">
        <v>26</v>
      </c>
    </row>
    <row r="145" spans="1:17" x14ac:dyDescent="0.25">
      <c r="A145" s="10" t="s">
        <v>285</v>
      </c>
      <c r="B145" s="10" t="s">
        <v>282</v>
      </c>
      <c r="C145" s="10" t="s">
        <v>19</v>
      </c>
      <c r="D145" s="10" t="s">
        <v>128</v>
      </c>
      <c r="E145" s="10" t="s">
        <v>155</v>
      </c>
      <c r="F145" s="10" t="s">
        <v>83</v>
      </c>
      <c r="G145" s="10" t="s">
        <v>23</v>
      </c>
      <c r="H145" s="10" t="s">
        <v>33</v>
      </c>
      <c r="I145" s="10" t="s">
        <v>25</v>
      </c>
      <c r="J145" s="10">
        <v>4</v>
      </c>
      <c r="K145" s="10">
        <v>631</v>
      </c>
      <c r="L145" s="10">
        <v>2524</v>
      </c>
      <c r="M145" s="10">
        <v>5</v>
      </c>
      <c r="N145" s="10">
        <v>126</v>
      </c>
      <c r="O145" s="10">
        <v>2398</v>
      </c>
      <c r="P145" s="10">
        <v>3.5</v>
      </c>
      <c r="Q145" s="10" t="s">
        <v>26</v>
      </c>
    </row>
    <row r="146" spans="1:17" x14ac:dyDescent="0.25">
      <c r="A146" s="10" t="s">
        <v>286</v>
      </c>
      <c r="B146" s="10" t="s">
        <v>287</v>
      </c>
      <c r="C146" s="10" t="s">
        <v>51</v>
      </c>
      <c r="D146" s="10" t="s">
        <v>97</v>
      </c>
      <c r="E146" s="10" t="s">
        <v>155</v>
      </c>
      <c r="F146" s="10" t="s">
        <v>72</v>
      </c>
      <c r="G146" s="10" t="s">
        <v>23</v>
      </c>
      <c r="H146" s="10" t="s">
        <v>33</v>
      </c>
      <c r="I146" s="10" t="s">
        <v>45</v>
      </c>
      <c r="J146" s="10">
        <v>3</v>
      </c>
      <c r="K146" s="10">
        <v>756</v>
      </c>
      <c r="L146" s="10">
        <v>2268</v>
      </c>
      <c r="M146" s="10">
        <v>20</v>
      </c>
      <c r="N146" s="10">
        <v>454</v>
      </c>
      <c r="O146" s="10">
        <v>1814</v>
      </c>
      <c r="P146" s="10">
        <v>3.7</v>
      </c>
      <c r="Q146" s="10" t="s">
        <v>26</v>
      </c>
    </row>
    <row r="147" spans="1:17" x14ac:dyDescent="0.25">
      <c r="A147" s="10" t="s">
        <v>288</v>
      </c>
      <c r="B147" s="10" t="s">
        <v>287</v>
      </c>
      <c r="C147" s="10" t="s">
        <v>91</v>
      </c>
      <c r="D147" s="10" t="s">
        <v>110</v>
      </c>
      <c r="E147" s="10" t="s">
        <v>30</v>
      </c>
      <c r="F147" s="10" t="s">
        <v>61</v>
      </c>
      <c r="G147" s="10" t="s">
        <v>23</v>
      </c>
      <c r="H147" s="10" t="s">
        <v>33</v>
      </c>
      <c r="I147" s="10" t="s">
        <v>98</v>
      </c>
      <c r="J147" s="10">
        <v>3</v>
      </c>
      <c r="K147" s="10">
        <v>1655</v>
      </c>
      <c r="L147" s="10">
        <v>4965</v>
      </c>
      <c r="M147" s="10">
        <v>30</v>
      </c>
      <c r="N147" s="10">
        <v>1490</v>
      </c>
      <c r="O147" s="10">
        <v>3475</v>
      </c>
      <c r="P147" s="10">
        <v>3.9</v>
      </c>
      <c r="Q147" s="10" t="s">
        <v>26</v>
      </c>
    </row>
    <row r="148" spans="1:17" x14ac:dyDescent="0.25">
      <c r="A148" s="10" t="s">
        <v>289</v>
      </c>
      <c r="B148" s="10" t="s">
        <v>287</v>
      </c>
      <c r="C148" s="10" t="s">
        <v>28</v>
      </c>
      <c r="D148" s="10" t="s">
        <v>95</v>
      </c>
      <c r="E148" s="10" t="s">
        <v>42</v>
      </c>
      <c r="F148" s="10" t="s">
        <v>79</v>
      </c>
      <c r="G148" s="10" t="s">
        <v>23</v>
      </c>
      <c r="H148" s="10" t="s">
        <v>24</v>
      </c>
      <c r="I148" s="10" t="s">
        <v>45</v>
      </c>
      <c r="J148" s="10">
        <v>4</v>
      </c>
      <c r="K148" s="10">
        <v>544</v>
      </c>
      <c r="L148" s="10">
        <v>2176</v>
      </c>
      <c r="M148" s="10">
        <v>0</v>
      </c>
      <c r="N148" s="10">
        <v>0</v>
      </c>
      <c r="O148" s="10">
        <v>2176</v>
      </c>
      <c r="P148" s="10">
        <v>4.2</v>
      </c>
      <c r="Q148" s="10" t="s">
        <v>75</v>
      </c>
    </row>
    <row r="149" spans="1:17" x14ac:dyDescent="0.25">
      <c r="A149" s="10" t="s">
        <v>290</v>
      </c>
      <c r="B149" s="10" t="s">
        <v>287</v>
      </c>
      <c r="C149" s="10" t="s">
        <v>19</v>
      </c>
      <c r="D149" s="10" t="s">
        <v>230</v>
      </c>
      <c r="E149" s="10" t="s">
        <v>82</v>
      </c>
      <c r="F149" s="10" t="s">
        <v>43</v>
      </c>
      <c r="G149" s="10" t="s">
        <v>23</v>
      </c>
      <c r="H149" s="10" t="s">
        <v>104</v>
      </c>
      <c r="I149" s="10" t="s">
        <v>45</v>
      </c>
      <c r="J149" s="10">
        <v>4</v>
      </c>
      <c r="K149" s="10">
        <v>468</v>
      </c>
      <c r="L149" s="10">
        <v>1872</v>
      </c>
      <c r="M149" s="10">
        <v>25</v>
      </c>
      <c r="N149" s="10">
        <v>468</v>
      </c>
      <c r="O149" s="10">
        <v>1404</v>
      </c>
      <c r="P149" s="10">
        <v>4.9000000000000004</v>
      </c>
      <c r="Q149" s="10" t="s">
        <v>26</v>
      </c>
    </row>
    <row r="150" spans="1:17" x14ac:dyDescent="0.25">
      <c r="A150" s="10" t="s">
        <v>291</v>
      </c>
      <c r="B150" s="10" t="s">
        <v>292</v>
      </c>
      <c r="C150" s="10" t="s">
        <v>91</v>
      </c>
      <c r="D150" s="10" t="s">
        <v>110</v>
      </c>
      <c r="E150" s="10" t="s">
        <v>82</v>
      </c>
      <c r="F150" s="10" t="s">
        <v>83</v>
      </c>
      <c r="G150" s="10" t="s">
        <v>23</v>
      </c>
      <c r="H150" s="10" t="s">
        <v>104</v>
      </c>
      <c r="I150" s="10" t="s">
        <v>45</v>
      </c>
      <c r="J150" s="10">
        <v>2</v>
      </c>
      <c r="K150" s="10">
        <v>1290</v>
      </c>
      <c r="L150" s="10">
        <v>2580</v>
      </c>
      <c r="M150" s="10">
        <v>25</v>
      </c>
      <c r="N150" s="10">
        <v>645</v>
      </c>
      <c r="O150" s="10">
        <v>1935</v>
      </c>
      <c r="P150" s="10">
        <v>3.5</v>
      </c>
      <c r="Q150" s="10" t="s">
        <v>26</v>
      </c>
    </row>
    <row r="151" spans="1:17" x14ac:dyDescent="0.25">
      <c r="A151" s="10" t="s">
        <v>293</v>
      </c>
      <c r="B151" s="10" t="s">
        <v>292</v>
      </c>
      <c r="C151" s="10" t="s">
        <v>40</v>
      </c>
      <c r="D151" s="10" t="s">
        <v>113</v>
      </c>
      <c r="E151" s="10" t="s">
        <v>30</v>
      </c>
      <c r="F151" s="10" t="s">
        <v>43</v>
      </c>
      <c r="G151" s="10" t="s">
        <v>32</v>
      </c>
      <c r="H151" s="10" t="s">
        <v>104</v>
      </c>
      <c r="I151" s="10" t="s">
        <v>34</v>
      </c>
      <c r="J151" s="10">
        <v>2</v>
      </c>
      <c r="K151" s="10">
        <v>665</v>
      </c>
      <c r="L151" s="10">
        <v>1330</v>
      </c>
      <c r="M151" s="10">
        <v>5</v>
      </c>
      <c r="N151" s="10">
        <v>66</v>
      </c>
      <c r="O151" s="10">
        <v>1264</v>
      </c>
      <c r="P151" s="10">
        <v>3.9</v>
      </c>
      <c r="Q151" s="10" t="s">
        <v>26</v>
      </c>
    </row>
    <row r="152" spans="1:17" x14ac:dyDescent="0.25">
      <c r="A152" s="10" t="s">
        <v>294</v>
      </c>
      <c r="B152" s="10" t="s">
        <v>292</v>
      </c>
      <c r="C152" s="10" t="s">
        <v>63</v>
      </c>
      <c r="D152" s="10" t="s">
        <v>64</v>
      </c>
      <c r="E152" s="10" t="s">
        <v>82</v>
      </c>
      <c r="F152" s="10" t="s">
        <v>22</v>
      </c>
      <c r="G152" s="10" t="s">
        <v>32</v>
      </c>
      <c r="H152" s="10" t="s">
        <v>33</v>
      </c>
      <c r="I152" s="10" t="s">
        <v>45</v>
      </c>
      <c r="J152" s="10">
        <v>2</v>
      </c>
      <c r="K152" s="10">
        <v>2218</v>
      </c>
      <c r="L152" s="10">
        <v>4436</v>
      </c>
      <c r="M152" s="10">
        <v>10</v>
      </c>
      <c r="N152" s="10">
        <v>444</v>
      </c>
      <c r="O152" s="10">
        <v>3992</v>
      </c>
      <c r="P152" s="10">
        <v>3.4</v>
      </c>
      <c r="Q152" s="10" t="s">
        <v>26</v>
      </c>
    </row>
    <row r="153" spans="1:17" x14ac:dyDescent="0.25">
      <c r="A153" s="10" t="s">
        <v>295</v>
      </c>
      <c r="B153" s="10" t="s">
        <v>292</v>
      </c>
      <c r="C153" s="10" t="s">
        <v>51</v>
      </c>
      <c r="D153" s="10" t="s">
        <v>70</v>
      </c>
      <c r="E153" s="10" t="s">
        <v>42</v>
      </c>
      <c r="F153" s="10" t="s">
        <v>43</v>
      </c>
      <c r="G153" s="10" t="s">
        <v>23</v>
      </c>
      <c r="H153" s="10" t="s">
        <v>33</v>
      </c>
      <c r="I153" s="10" t="s">
        <v>45</v>
      </c>
      <c r="J153" s="10">
        <v>5</v>
      </c>
      <c r="K153" s="10">
        <v>665</v>
      </c>
      <c r="L153" s="10">
        <v>3325</v>
      </c>
      <c r="M153" s="10">
        <v>10</v>
      </c>
      <c r="N153" s="10">
        <v>332</v>
      </c>
      <c r="O153" s="10">
        <v>2993</v>
      </c>
      <c r="P153" s="10">
        <v>4.9000000000000004</v>
      </c>
      <c r="Q153" s="10" t="s">
        <v>26</v>
      </c>
    </row>
    <row r="154" spans="1:17" x14ac:dyDescent="0.25">
      <c r="A154" s="10" t="s">
        <v>296</v>
      </c>
      <c r="B154" s="10" t="s">
        <v>292</v>
      </c>
      <c r="C154" s="10" t="s">
        <v>40</v>
      </c>
      <c r="D154" s="10" t="s">
        <v>68</v>
      </c>
      <c r="E154" s="10" t="s">
        <v>82</v>
      </c>
      <c r="F154" s="10" t="s">
        <v>130</v>
      </c>
      <c r="G154" s="10" t="s">
        <v>23</v>
      </c>
      <c r="H154" s="10" t="s">
        <v>33</v>
      </c>
      <c r="I154" s="10" t="s">
        <v>84</v>
      </c>
      <c r="J154" s="10">
        <v>4</v>
      </c>
      <c r="K154" s="10">
        <v>837</v>
      </c>
      <c r="L154" s="10">
        <v>3348</v>
      </c>
      <c r="M154" s="10">
        <v>0</v>
      </c>
      <c r="N154" s="10">
        <v>0</v>
      </c>
      <c r="O154" s="10">
        <v>3348</v>
      </c>
      <c r="P154" s="10">
        <v>4.8</v>
      </c>
      <c r="Q154" s="10" t="s">
        <v>26</v>
      </c>
    </row>
    <row r="155" spans="1:17" x14ac:dyDescent="0.25">
      <c r="A155" s="10" t="s">
        <v>297</v>
      </c>
      <c r="B155" s="10" t="s">
        <v>292</v>
      </c>
      <c r="C155" s="10" t="s">
        <v>91</v>
      </c>
      <c r="D155" s="10" t="s">
        <v>110</v>
      </c>
      <c r="E155" s="10" t="s">
        <v>42</v>
      </c>
      <c r="F155" s="10" t="s">
        <v>31</v>
      </c>
      <c r="G155" s="10" t="s">
        <v>23</v>
      </c>
      <c r="H155" s="10" t="s">
        <v>33</v>
      </c>
      <c r="I155" s="10" t="s">
        <v>25</v>
      </c>
      <c r="J155" s="10">
        <v>5</v>
      </c>
      <c r="K155" s="10">
        <v>2426</v>
      </c>
      <c r="L155" s="10">
        <v>12130</v>
      </c>
      <c r="M155" s="10">
        <v>30</v>
      </c>
      <c r="N155" s="10">
        <v>3639</v>
      </c>
      <c r="O155" s="10">
        <v>8491</v>
      </c>
      <c r="P155" s="10">
        <v>4.5</v>
      </c>
      <c r="Q155" s="10" t="s">
        <v>26</v>
      </c>
    </row>
    <row r="156" spans="1:17" x14ac:dyDescent="0.25">
      <c r="A156" s="10" t="s">
        <v>298</v>
      </c>
      <c r="B156" s="10" t="s">
        <v>299</v>
      </c>
      <c r="C156" s="10" t="s">
        <v>51</v>
      </c>
      <c r="D156" s="10" t="s">
        <v>52</v>
      </c>
      <c r="E156" s="10" t="s">
        <v>71</v>
      </c>
      <c r="F156" s="10" t="s">
        <v>61</v>
      </c>
      <c r="G156" s="10" t="s">
        <v>23</v>
      </c>
      <c r="H156" s="10" t="s">
        <v>24</v>
      </c>
      <c r="I156" s="10" t="s">
        <v>34</v>
      </c>
      <c r="J156" s="10">
        <v>2</v>
      </c>
      <c r="K156" s="10">
        <v>247</v>
      </c>
      <c r="L156" s="10">
        <v>494</v>
      </c>
      <c r="M156" s="10">
        <v>5</v>
      </c>
      <c r="N156" s="10">
        <v>25</v>
      </c>
      <c r="O156" s="10">
        <v>469</v>
      </c>
      <c r="P156" s="10">
        <v>3.9</v>
      </c>
      <c r="Q156" s="10" t="s">
        <v>26</v>
      </c>
    </row>
    <row r="157" spans="1:17" x14ac:dyDescent="0.25">
      <c r="A157" s="10" t="s">
        <v>300</v>
      </c>
      <c r="B157" s="10" t="s">
        <v>299</v>
      </c>
      <c r="C157" s="10" t="s">
        <v>28</v>
      </c>
      <c r="D157" s="10" t="s">
        <v>29</v>
      </c>
      <c r="E157" s="10" t="s">
        <v>71</v>
      </c>
      <c r="F157" s="10" t="s">
        <v>119</v>
      </c>
      <c r="G157" s="10" t="s">
        <v>44</v>
      </c>
      <c r="H157" s="10" t="s">
        <v>24</v>
      </c>
      <c r="I157" s="10" t="s">
        <v>45</v>
      </c>
      <c r="J157" s="10">
        <v>5</v>
      </c>
      <c r="K157" s="10">
        <v>1012</v>
      </c>
      <c r="L157" s="10">
        <v>5060</v>
      </c>
      <c r="M157" s="10">
        <v>10</v>
      </c>
      <c r="N157" s="10">
        <v>506</v>
      </c>
      <c r="O157" s="10">
        <v>4554</v>
      </c>
      <c r="P157" s="10">
        <v>4.3</v>
      </c>
      <c r="Q157" s="10" t="s">
        <v>26</v>
      </c>
    </row>
    <row r="158" spans="1:17" x14ac:dyDescent="0.25">
      <c r="A158" s="10" t="s">
        <v>301</v>
      </c>
      <c r="B158" s="10" t="s">
        <v>299</v>
      </c>
      <c r="C158" s="10" t="s">
        <v>91</v>
      </c>
      <c r="D158" s="10" t="s">
        <v>110</v>
      </c>
      <c r="E158" s="10" t="s">
        <v>60</v>
      </c>
      <c r="F158" s="10" t="s">
        <v>83</v>
      </c>
      <c r="G158" s="10" t="s">
        <v>32</v>
      </c>
      <c r="H158" s="10" t="s">
        <v>33</v>
      </c>
      <c r="I158" s="10" t="s">
        <v>98</v>
      </c>
      <c r="J158" s="10">
        <v>4</v>
      </c>
      <c r="K158" s="10">
        <v>2744</v>
      </c>
      <c r="L158" s="10">
        <v>10976</v>
      </c>
      <c r="M158" s="10">
        <v>15</v>
      </c>
      <c r="N158" s="10">
        <v>1646</v>
      </c>
      <c r="O158" s="10">
        <v>9330</v>
      </c>
      <c r="P158" s="10">
        <v>3.9</v>
      </c>
      <c r="Q158" s="10" t="s">
        <v>75</v>
      </c>
    </row>
    <row r="159" spans="1:17" x14ac:dyDescent="0.25">
      <c r="A159" s="10" t="s">
        <v>302</v>
      </c>
      <c r="B159" s="10" t="s">
        <v>299</v>
      </c>
      <c r="C159" s="10" t="s">
        <v>63</v>
      </c>
      <c r="D159" s="10" t="s">
        <v>143</v>
      </c>
      <c r="E159" s="10" t="s">
        <v>155</v>
      </c>
      <c r="F159" s="10" t="s">
        <v>130</v>
      </c>
      <c r="G159" s="10" t="s">
        <v>32</v>
      </c>
      <c r="H159" s="10" t="s">
        <v>104</v>
      </c>
      <c r="I159" s="10" t="s">
        <v>34</v>
      </c>
      <c r="J159" s="10">
        <v>2</v>
      </c>
      <c r="K159" s="10">
        <v>1173</v>
      </c>
      <c r="L159" s="10">
        <v>2346</v>
      </c>
      <c r="M159" s="10">
        <v>20</v>
      </c>
      <c r="N159" s="10">
        <v>469</v>
      </c>
      <c r="O159" s="10">
        <v>1877</v>
      </c>
      <c r="P159" s="10">
        <v>4.4000000000000004</v>
      </c>
      <c r="Q159" s="10" t="s">
        <v>26</v>
      </c>
    </row>
    <row r="160" spans="1:17" x14ac:dyDescent="0.25">
      <c r="A160" s="10" t="s">
        <v>303</v>
      </c>
      <c r="B160" s="10" t="s">
        <v>299</v>
      </c>
      <c r="C160" s="10" t="s">
        <v>63</v>
      </c>
      <c r="D160" s="10" t="s">
        <v>64</v>
      </c>
      <c r="E160" s="10" t="s">
        <v>30</v>
      </c>
      <c r="F160" s="10" t="s">
        <v>43</v>
      </c>
      <c r="G160" s="10" t="s">
        <v>23</v>
      </c>
      <c r="H160" s="10" t="s">
        <v>24</v>
      </c>
      <c r="I160" s="10" t="s">
        <v>34</v>
      </c>
      <c r="J160" s="10">
        <v>5</v>
      </c>
      <c r="K160" s="10">
        <v>1622</v>
      </c>
      <c r="L160" s="10">
        <v>8110</v>
      </c>
      <c r="M160" s="10">
        <v>30</v>
      </c>
      <c r="N160" s="10">
        <v>2433</v>
      </c>
      <c r="O160" s="10">
        <v>5677</v>
      </c>
      <c r="P160" s="10">
        <v>4.5999999999999996</v>
      </c>
      <c r="Q160" s="10" t="s">
        <v>26</v>
      </c>
    </row>
    <row r="161" spans="1:17" x14ac:dyDescent="0.25">
      <c r="A161" s="10" t="s">
        <v>304</v>
      </c>
      <c r="B161" s="10" t="s">
        <v>305</v>
      </c>
      <c r="C161" s="10" t="s">
        <v>63</v>
      </c>
      <c r="D161" s="10" t="s">
        <v>143</v>
      </c>
      <c r="E161" s="10" t="s">
        <v>21</v>
      </c>
      <c r="F161" s="10" t="s">
        <v>79</v>
      </c>
      <c r="G161" s="10" t="s">
        <v>32</v>
      </c>
      <c r="H161" s="10" t="s">
        <v>33</v>
      </c>
      <c r="I161" s="10" t="s">
        <v>45</v>
      </c>
      <c r="J161" s="10">
        <v>4</v>
      </c>
      <c r="K161" s="10">
        <v>558</v>
      </c>
      <c r="L161" s="10">
        <v>2232</v>
      </c>
      <c r="M161" s="10">
        <v>30</v>
      </c>
      <c r="N161" s="10">
        <v>670</v>
      </c>
      <c r="O161" s="10">
        <v>1562</v>
      </c>
      <c r="P161" s="10">
        <v>4.8</v>
      </c>
      <c r="Q161" s="10" t="s">
        <v>26</v>
      </c>
    </row>
    <row r="162" spans="1:17" x14ac:dyDescent="0.25">
      <c r="A162" s="10" t="s">
        <v>306</v>
      </c>
      <c r="B162" s="10" t="s">
        <v>305</v>
      </c>
      <c r="C162" s="10" t="s">
        <v>40</v>
      </c>
      <c r="D162" s="10" t="s">
        <v>113</v>
      </c>
      <c r="E162" s="10" t="s">
        <v>155</v>
      </c>
      <c r="F162" s="10" t="s">
        <v>119</v>
      </c>
      <c r="G162" s="10" t="s">
        <v>23</v>
      </c>
      <c r="H162" s="10" t="s">
        <v>33</v>
      </c>
      <c r="I162" s="10" t="s">
        <v>84</v>
      </c>
      <c r="J162" s="10">
        <v>5</v>
      </c>
      <c r="K162" s="10">
        <v>879</v>
      </c>
      <c r="L162" s="10">
        <v>4395</v>
      </c>
      <c r="M162" s="10">
        <v>15</v>
      </c>
      <c r="N162" s="10">
        <v>659</v>
      </c>
      <c r="O162" s="10">
        <v>3736</v>
      </c>
      <c r="P162" s="10">
        <v>3.4</v>
      </c>
      <c r="Q162" s="10" t="s">
        <v>26</v>
      </c>
    </row>
    <row r="163" spans="1:17" x14ac:dyDescent="0.25">
      <c r="A163" s="10" t="s">
        <v>307</v>
      </c>
      <c r="B163" s="10" t="s">
        <v>308</v>
      </c>
      <c r="C163" s="10" t="s">
        <v>63</v>
      </c>
      <c r="D163" s="10" t="s">
        <v>134</v>
      </c>
      <c r="E163" s="10" t="s">
        <v>37</v>
      </c>
      <c r="F163" s="10" t="s">
        <v>79</v>
      </c>
      <c r="G163" s="10" t="s">
        <v>32</v>
      </c>
      <c r="H163" s="10" t="s">
        <v>33</v>
      </c>
      <c r="I163" s="10" t="s">
        <v>84</v>
      </c>
      <c r="J163" s="10">
        <v>1</v>
      </c>
      <c r="K163" s="10">
        <v>895</v>
      </c>
      <c r="L163" s="10">
        <v>895</v>
      </c>
      <c r="M163" s="10">
        <v>25</v>
      </c>
      <c r="N163" s="10">
        <v>224</v>
      </c>
      <c r="O163" s="10">
        <v>671</v>
      </c>
      <c r="P163" s="10">
        <v>3.9</v>
      </c>
      <c r="Q163" s="10" t="s">
        <v>26</v>
      </c>
    </row>
    <row r="164" spans="1:17" x14ac:dyDescent="0.25">
      <c r="A164" s="10" t="s">
        <v>309</v>
      </c>
      <c r="B164" s="10" t="s">
        <v>308</v>
      </c>
      <c r="C164" s="10" t="s">
        <v>91</v>
      </c>
      <c r="D164" s="10" t="s">
        <v>110</v>
      </c>
      <c r="E164" s="10" t="s">
        <v>155</v>
      </c>
      <c r="F164" s="10" t="s">
        <v>43</v>
      </c>
      <c r="G164" s="10" t="s">
        <v>32</v>
      </c>
      <c r="H164" s="10" t="s">
        <v>104</v>
      </c>
      <c r="I164" s="10" t="s">
        <v>25</v>
      </c>
      <c r="J164" s="10">
        <v>4</v>
      </c>
      <c r="K164" s="10">
        <v>2453</v>
      </c>
      <c r="L164" s="10">
        <v>9812</v>
      </c>
      <c r="M164" s="10">
        <v>10</v>
      </c>
      <c r="N164" s="10">
        <v>981</v>
      </c>
      <c r="O164" s="10">
        <v>8831</v>
      </c>
      <c r="P164" s="10">
        <v>3.8</v>
      </c>
      <c r="Q164" s="10" t="s">
        <v>26</v>
      </c>
    </row>
    <row r="165" spans="1:17" x14ac:dyDescent="0.25">
      <c r="A165" s="10" t="s">
        <v>310</v>
      </c>
      <c r="B165" s="10" t="s">
        <v>311</v>
      </c>
      <c r="C165" s="10" t="s">
        <v>28</v>
      </c>
      <c r="D165" s="10" t="s">
        <v>29</v>
      </c>
      <c r="E165" s="10" t="s">
        <v>37</v>
      </c>
      <c r="F165" s="10" t="s">
        <v>119</v>
      </c>
      <c r="G165" s="10" t="s">
        <v>23</v>
      </c>
      <c r="H165" s="10" t="s">
        <v>33</v>
      </c>
      <c r="I165" s="10" t="s">
        <v>34</v>
      </c>
      <c r="J165" s="10">
        <v>2</v>
      </c>
      <c r="K165" s="10">
        <v>257</v>
      </c>
      <c r="L165" s="10">
        <v>514</v>
      </c>
      <c r="M165" s="10">
        <v>10</v>
      </c>
      <c r="N165" s="10">
        <v>51</v>
      </c>
      <c r="O165" s="10">
        <v>463</v>
      </c>
      <c r="P165" s="10">
        <v>4</v>
      </c>
      <c r="Q165" s="10" t="s">
        <v>26</v>
      </c>
    </row>
    <row r="166" spans="1:17" x14ac:dyDescent="0.25">
      <c r="A166" s="10" t="s">
        <v>312</v>
      </c>
      <c r="B166" s="10" t="s">
        <v>311</v>
      </c>
      <c r="C166" s="10" t="s">
        <v>91</v>
      </c>
      <c r="D166" s="10" t="s">
        <v>125</v>
      </c>
      <c r="E166" s="10" t="s">
        <v>42</v>
      </c>
      <c r="F166" s="10" t="s">
        <v>31</v>
      </c>
      <c r="G166" s="10" t="s">
        <v>23</v>
      </c>
      <c r="H166" s="10" t="s">
        <v>24</v>
      </c>
      <c r="I166" s="10" t="s">
        <v>45</v>
      </c>
      <c r="J166" s="10">
        <v>4</v>
      </c>
      <c r="K166" s="10">
        <v>835</v>
      </c>
      <c r="L166" s="10">
        <v>3340</v>
      </c>
      <c r="M166" s="10">
        <v>30</v>
      </c>
      <c r="N166" s="10">
        <v>1002</v>
      </c>
      <c r="O166" s="10">
        <v>2338</v>
      </c>
      <c r="P166" s="10">
        <v>4.3</v>
      </c>
      <c r="Q166" s="10" t="s">
        <v>26</v>
      </c>
    </row>
    <row r="167" spans="1:17" x14ac:dyDescent="0.25">
      <c r="A167" s="10" t="s">
        <v>313</v>
      </c>
      <c r="B167" s="10" t="s">
        <v>311</v>
      </c>
      <c r="C167" s="10" t="s">
        <v>63</v>
      </c>
      <c r="D167" s="10" t="s">
        <v>134</v>
      </c>
      <c r="E167" s="10" t="s">
        <v>78</v>
      </c>
      <c r="F167" s="10" t="s">
        <v>61</v>
      </c>
      <c r="G167" s="10" t="s">
        <v>44</v>
      </c>
      <c r="H167" s="10" t="s">
        <v>33</v>
      </c>
      <c r="I167" s="10" t="s">
        <v>25</v>
      </c>
      <c r="J167" s="10">
        <v>3</v>
      </c>
      <c r="K167" s="10">
        <v>865</v>
      </c>
      <c r="L167" s="10">
        <v>2595</v>
      </c>
      <c r="M167" s="10">
        <v>0</v>
      </c>
      <c r="N167" s="10">
        <v>0</v>
      </c>
      <c r="O167" s="10">
        <v>2595</v>
      </c>
      <c r="P167" s="10">
        <v>4.3</v>
      </c>
      <c r="Q167" s="10" t="s">
        <v>26</v>
      </c>
    </row>
    <row r="168" spans="1:17" x14ac:dyDescent="0.25">
      <c r="A168" s="10" t="s">
        <v>314</v>
      </c>
      <c r="B168" s="10" t="s">
        <v>315</v>
      </c>
      <c r="C168" s="10" t="s">
        <v>63</v>
      </c>
      <c r="D168" s="10" t="s">
        <v>143</v>
      </c>
      <c r="E168" s="10" t="s">
        <v>101</v>
      </c>
      <c r="F168" s="10" t="s">
        <v>119</v>
      </c>
      <c r="G168" s="10" t="s">
        <v>23</v>
      </c>
      <c r="H168" s="10" t="s">
        <v>104</v>
      </c>
      <c r="I168" s="10" t="s">
        <v>98</v>
      </c>
      <c r="J168" s="10">
        <v>3</v>
      </c>
      <c r="K168" s="10">
        <v>654</v>
      </c>
      <c r="L168" s="10">
        <v>1962</v>
      </c>
      <c r="M168" s="10">
        <v>0</v>
      </c>
      <c r="N168" s="10">
        <v>0</v>
      </c>
      <c r="O168" s="10">
        <v>1962</v>
      </c>
      <c r="P168" s="10">
        <v>3.9</v>
      </c>
      <c r="Q168" s="10" t="s">
        <v>26</v>
      </c>
    </row>
    <row r="169" spans="1:17" x14ac:dyDescent="0.25">
      <c r="A169" s="10" t="s">
        <v>316</v>
      </c>
      <c r="B169" s="10" t="s">
        <v>315</v>
      </c>
      <c r="C169" s="10" t="s">
        <v>40</v>
      </c>
      <c r="D169" s="10" t="s">
        <v>68</v>
      </c>
      <c r="E169" s="10" t="s">
        <v>53</v>
      </c>
      <c r="F169" s="10" t="s">
        <v>72</v>
      </c>
      <c r="G169" s="10" t="s">
        <v>23</v>
      </c>
      <c r="H169" s="10" t="s">
        <v>33</v>
      </c>
      <c r="I169" s="10" t="s">
        <v>98</v>
      </c>
      <c r="J169" s="10">
        <v>5</v>
      </c>
      <c r="K169" s="10">
        <v>1154</v>
      </c>
      <c r="L169" s="10">
        <v>5770</v>
      </c>
      <c r="M169" s="10">
        <v>15</v>
      </c>
      <c r="N169" s="10">
        <v>866</v>
      </c>
      <c r="O169" s="10">
        <v>4904</v>
      </c>
      <c r="P169" s="10">
        <v>5</v>
      </c>
      <c r="Q169" s="10" t="s">
        <v>26</v>
      </c>
    </row>
    <row r="170" spans="1:17" x14ac:dyDescent="0.25">
      <c r="A170" s="10" t="s">
        <v>317</v>
      </c>
      <c r="B170" s="10" t="s">
        <v>315</v>
      </c>
      <c r="C170" s="10" t="s">
        <v>28</v>
      </c>
      <c r="D170" s="10" t="s">
        <v>95</v>
      </c>
      <c r="E170" s="10" t="s">
        <v>82</v>
      </c>
      <c r="F170" s="10" t="s">
        <v>130</v>
      </c>
      <c r="G170" s="10" t="s">
        <v>32</v>
      </c>
      <c r="H170" s="10" t="s">
        <v>24</v>
      </c>
      <c r="I170" s="10" t="s">
        <v>25</v>
      </c>
      <c r="J170" s="10">
        <v>5</v>
      </c>
      <c r="K170" s="10">
        <v>1121</v>
      </c>
      <c r="L170" s="10">
        <v>5605</v>
      </c>
      <c r="M170" s="10">
        <v>10</v>
      </c>
      <c r="N170" s="10">
        <v>560</v>
      </c>
      <c r="O170" s="10">
        <v>5045</v>
      </c>
      <c r="P170" s="10">
        <v>3.8</v>
      </c>
      <c r="Q170" s="10" t="s">
        <v>26</v>
      </c>
    </row>
    <row r="171" spans="1:17" x14ac:dyDescent="0.25">
      <c r="A171" s="10" t="s">
        <v>318</v>
      </c>
      <c r="B171" s="10" t="s">
        <v>319</v>
      </c>
      <c r="C171" s="10" t="s">
        <v>63</v>
      </c>
      <c r="D171" s="10" t="s">
        <v>143</v>
      </c>
      <c r="E171" s="10" t="s">
        <v>42</v>
      </c>
      <c r="F171" s="10" t="s">
        <v>22</v>
      </c>
      <c r="G171" s="10" t="s">
        <v>32</v>
      </c>
      <c r="H171" s="10" t="s">
        <v>104</v>
      </c>
      <c r="I171" s="10" t="s">
        <v>98</v>
      </c>
      <c r="J171" s="10">
        <v>4</v>
      </c>
      <c r="K171" s="10">
        <v>1786</v>
      </c>
      <c r="L171" s="10">
        <v>7144</v>
      </c>
      <c r="M171" s="10">
        <v>25</v>
      </c>
      <c r="N171" s="10">
        <v>1786</v>
      </c>
      <c r="O171" s="10">
        <v>5358</v>
      </c>
      <c r="P171" s="10">
        <v>3.5</v>
      </c>
      <c r="Q171" s="10" t="s">
        <v>26</v>
      </c>
    </row>
    <row r="172" spans="1:17" x14ac:dyDescent="0.25">
      <c r="A172" s="10" t="s">
        <v>320</v>
      </c>
      <c r="B172" s="10" t="s">
        <v>321</v>
      </c>
      <c r="C172" s="10" t="s">
        <v>63</v>
      </c>
      <c r="D172" s="10" t="s">
        <v>64</v>
      </c>
      <c r="E172" s="10" t="s">
        <v>42</v>
      </c>
      <c r="F172" s="10" t="s">
        <v>130</v>
      </c>
      <c r="G172" s="10" t="s">
        <v>44</v>
      </c>
      <c r="H172" s="10" t="s">
        <v>24</v>
      </c>
      <c r="I172" s="10" t="s">
        <v>98</v>
      </c>
      <c r="J172" s="10">
        <v>3</v>
      </c>
      <c r="K172" s="10">
        <v>1734</v>
      </c>
      <c r="L172" s="10">
        <v>5202</v>
      </c>
      <c r="M172" s="10">
        <v>25</v>
      </c>
      <c r="N172" s="10">
        <v>1300</v>
      </c>
      <c r="O172" s="10">
        <v>3902</v>
      </c>
      <c r="P172" s="10">
        <v>4.8</v>
      </c>
      <c r="Q172" s="10" t="s">
        <v>75</v>
      </c>
    </row>
    <row r="173" spans="1:17" x14ac:dyDescent="0.25">
      <c r="A173" s="10" t="s">
        <v>322</v>
      </c>
      <c r="B173" s="10" t="s">
        <v>321</v>
      </c>
      <c r="C173" s="10" t="s">
        <v>40</v>
      </c>
      <c r="D173" s="10" t="s">
        <v>57</v>
      </c>
      <c r="E173" s="10" t="s">
        <v>60</v>
      </c>
      <c r="F173" s="10" t="s">
        <v>119</v>
      </c>
      <c r="G173" s="10" t="s">
        <v>44</v>
      </c>
      <c r="H173" s="10" t="s">
        <v>33</v>
      </c>
      <c r="I173" s="10" t="s">
        <v>98</v>
      </c>
      <c r="J173" s="10">
        <v>4</v>
      </c>
      <c r="K173" s="10">
        <v>873</v>
      </c>
      <c r="L173" s="10">
        <v>3492</v>
      </c>
      <c r="M173" s="10">
        <v>15</v>
      </c>
      <c r="N173" s="10">
        <v>524</v>
      </c>
      <c r="O173" s="10">
        <v>2968</v>
      </c>
      <c r="P173" s="10">
        <v>4.7</v>
      </c>
      <c r="Q173" s="10" t="s">
        <v>26</v>
      </c>
    </row>
    <row r="174" spans="1:17" x14ac:dyDescent="0.25">
      <c r="A174" s="10" t="s">
        <v>323</v>
      </c>
      <c r="B174" s="10" t="s">
        <v>321</v>
      </c>
      <c r="C174" s="10" t="s">
        <v>91</v>
      </c>
      <c r="D174" s="10" t="s">
        <v>92</v>
      </c>
      <c r="E174" s="10" t="s">
        <v>30</v>
      </c>
      <c r="F174" s="10" t="s">
        <v>61</v>
      </c>
      <c r="G174" s="10" t="s">
        <v>44</v>
      </c>
      <c r="H174" s="10" t="s">
        <v>24</v>
      </c>
      <c r="I174" s="10" t="s">
        <v>98</v>
      </c>
      <c r="J174" s="10">
        <v>3</v>
      </c>
      <c r="K174" s="10">
        <v>2673</v>
      </c>
      <c r="L174" s="10">
        <v>8019</v>
      </c>
      <c r="M174" s="10">
        <v>30</v>
      </c>
      <c r="N174" s="10">
        <v>2406</v>
      </c>
      <c r="O174" s="10">
        <v>5613</v>
      </c>
      <c r="P174" s="10">
        <v>4.7</v>
      </c>
      <c r="Q174" s="10" t="s">
        <v>26</v>
      </c>
    </row>
    <row r="175" spans="1:17" x14ac:dyDescent="0.25">
      <c r="A175" s="10" t="s">
        <v>324</v>
      </c>
      <c r="B175" s="10" t="s">
        <v>325</v>
      </c>
      <c r="C175" s="10" t="s">
        <v>51</v>
      </c>
      <c r="D175" s="10" t="s">
        <v>52</v>
      </c>
      <c r="E175" s="10" t="s">
        <v>53</v>
      </c>
      <c r="F175" s="10" t="s">
        <v>61</v>
      </c>
      <c r="G175" s="10" t="s">
        <v>44</v>
      </c>
      <c r="H175" s="10" t="s">
        <v>24</v>
      </c>
      <c r="I175" s="10" t="s">
        <v>25</v>
      </c>
      <c r="J175" s="10">
        <v>5</v>
      </c>
      <c r="K175" s="10">
        <v>239</v>
      </c>
      <c r="L175" s="10">
        <v>1195</v>
      </c>
      <c r="M175" s="10">
        <v>10</v>
      </c>
      <c r="N175" s="10">
        <v>120</v>
      </c>
      <c r="O175" s="10">
        <v>1075</v>
      </c>
      <c r="P175" s="10">
        <v>3.9</v>
      </c>
      <c r="Q175" s="10" t="s">
        <v>26</v>
      </c>
    </row>
    <row r="176" spans="1:17" x14ac:dyDescent="0.25">
      <c r="A176" s="10" t="s">
        <v>326</v>
      </c>
      <c r="B176" s="10" t="s">
        <v>325</v>
      </c>
      <c r="C176" s="10" t="s">
        <v>91</v>
      </c>
      <c r="D176" s="10" t="s">
        <v>125</v>
      </c>
      <c r="E176" s="10" t="s">
        <v>48</v>
      </c>
      <c r="F176" s="10" t="s">
        <v>65</v>
      </c>
      <c r="G176" s="10" t="s">
        <v>44</v>
      </c>
      <c r="H176" s="10" t="s">
        <v>33</v>
      </c>
      <c r="I176" s="10" t="s">
        <v>84</v>
      </c>
      <c r="J176" s="10">
        <v>1</v>
      </c>
      <c r="K176" s="10">
        <v>678</v>
      </c>
      <c r="L176" s="10">
        <v>678</v>
      </c>
      <c r="M176" s="10">
        <v>0</v>
      </c>
      <c r="N176" s="10">
        <v>0</v>
      </c>
      <c r="O176" s="10">
        <v>678</v>
      </c>
      <c r="P176" s="10">
        <v>3.5</v>
      </c>
      <c r="Q176" s="10" t="s">
        <v>26</v>
      </c>
    </row>
    <row r="177" spans="1:17" x14ac:dyDescent="0.25">
      <c r="A177" s="10" t="s">
        <v>327</v>
      </c>
      <c r="B177" s="10" t="s">
        <v>328</v>
      </c>
      <c r="C177" s="10" t="s">
        <v>28</v>
      </c>
      <c r="D177" s="10" t="s">
        <v>77</v>
      </c>
      <c r="E177" s="10" t="s">
        <v>101</v>
      </c>
      <c r="F177" s="10" t="s">
        <v>130</v>
      </c>
      <c r="G177" s="10" t="s">
        <v>44</v>
      </c>
      <c r="H177" s="10" t="s">
        <v>33</v>
      </c>
      <c r="I177" s="10" t="s">
        <v>98</v>
      </c>
      <c r="J177" s="10">
        <v>3</v>
      </c>
      <c r="K177" s="10">
        <v>911</v>
      </c>
      <c r="L177" s="10">
        <v>2733</v>
      </c>
      <c r="M177" s="10">
        <v>10</v>
      </c>
      <c r="N177" s="10">
        <v>273</v>
      </c>
      <c r="O177" s="10">
        <v>2460</v>
      </c>
      <c r="P177" s="10">
        <v>4.0999999999999996</v>
      </c>
      <c r="Q177" s="10" t="s">
        <v>26</v>
      </c>
    </row>
    <row r="178" spans="1:17" x14ac:dyDescent="0.25">
      <c r="A178" s="10" t="s">
        <v>329</v>
      </c>
      <c r="B178" s="10" t="s">
        <v>328</v>
      </c>
      <c r="C178" s="10" t="s">
        <v>51</v>
      </c>
      <c r="D178" s="10" t="s">
        <v>70</v>
      </c>
      <c r="E178" s="10" t="s">
        <v>53</v>
      </c>
      <c r="F178" s="10" t="s">
        <v>43</v>
      </c>
      <c r="G178" s="10" t="s">
        <v>32</v>
      </c>
      <c r="H178" s="10" t="s">
        <v>33</v>
      </c>
      <c r="I178" s="10" t="s">
        <v>98</v>
      </c>
      <c r="J178" s="10">
        <v>4</v>
      </c>
      <c r="K178" s="10">
        <v>759</v>
      </c>
      <c r="L178" s="10">
        <v>3036</v>
      </c>
      <c r="M178" s="10">
        <v>10</v>
      </c>
      <c r="N178" s="10">
        <v>304</v>
      </c>
      <c r="O178" s="10">
        <v>2732</v>
      </c>
      <c r="P178" s="10">
        <v>3.3</v>
      </c>
      <c r="Q178" s="10" t="s">
        <v>26</v>
      </c>
    </row>
    <row r="179" spans="1:17" x14ac:dyDescent="0.25">
      <c r="A179" s="10" t="s">
        <v>330</v>
      </c>
      <c r="B179" s="10" t="s">
        <v>331</v>
      </c>
      <c r="C179" s="10" t="s">
        <v>91</v>
      </c>
      <c r="D179" s="10" t="s">
        <v>125</v>
      </c>
      <c r="E179" s="10" t="s">
        <v>71</v>
      </c>
      <c r="F179" s="10" t="s">
        <v>22</v>
      </c>
      <c r="G179" s="10" t="s">
        <v>23</v>
      </c>
      <c r="H179" s="10" t="s">
        <v>24</v>
      </c>
      <c r="I179" s="10" t="s">
        <v>98</v>
      </c>
      <c r="J179" s="10">
        <v>4</v>
      </c>
      <c r="K179" s="10">
        <v>2041</v>
      </c>
      <c r="L179" s="10">
        <v>8164</v>
      </c>
      <c r="M179" s="10">
        <v>10</v>
      </c>
      <c r="N179" s="10">
        <v>816</v>
      </c>
      <c r="O179" s="10">
        <v>7348</v>
      </c>
      <c r="P179" s="10">
        <v>4.5999999999999996</v>
      </c>
      <c r="Q179" s="10" t="s">
        <v>26</v>
      </c>
    </row>
    <row r="180" spans="1:17" x14ac:dyDescent="0.25">
      <c r="A180" s="10" t="s">
        <v>332</v>
      </c>
      <c r="B180" s="10" t="s">
        <v>331</v>
      </c>
      <c r="C180" s="10" t="s">
        <v>40</v>
      </c>
      <c r="D180" s="10" t="s">
        <v>113</v>
      </c>
      <c r="E180" s="10" t="s">
        <v>30</v>
      </c>
      <c r="F180" s="10" t="s">
        <v>22</v>
      </c>
      <c r="G180" s="10" t="s">
        <v>32</v>
      </c>
      <c r="H180" s="10" t="s">
        <v>104</v>
      </c>
      <c r="I180" s="10" t="s">
        <v>84</v>
      </c>
      <c r="J180" s="10">
        <v>1</v>
      </c>
      <c r="K180" s="10">
        <v>1201</v>
      </c>
      <c r="L180" s="10">
        <v>1201</v>
      </c>
      <c r="M180" s="10">
        <v>10</v>
      </c>
      <c r="N180" s="10">
        <v>120</v>
      </c>
      <c r="O180" s="10">
        <v>1081</v>
      </c>
      <c r="P180" s="10">
        <v>3.6</v>
      </c>
      <c r="Q180" s="10" t="s">
        <v>75</v>
      </c>
    </row>
    <row r="181" spans="1:17" x14ac:dyDescent="0.25">
      <c r="A181" s="10" t="s">
        <v>333</v>
      </c>
      <c r="B181" s="10" t="s">
        <v>334</v>
      </c>
      <c r="C181" s="10" t="s">
        <v>51</v>
      </c>
      <c r="D181" s="10" t="s">
        <v>52</v>
      </c>
      <c r="E181" s="10" t="s">
        <v>71</v>
      </c>
      <c r="F181" s="10" t="s">
        <v>119</v>
      </c>
      <c r="G181" s="10" t="s">
        <v>32</v>
      </c>
      <c r="H181" s="10" t="s">
        <v>104</v>
      </c>
      <c r="I181" s="10" t="s">
        <v>84</v>
      </c>
      <c r="J181" s="10">
        <v>4</v>
      </c>
      <c r="K181" s="10">
        <v>558</v>
      </c>
      <c r="L181" s="10">
        <v>2232</v>
      </c>
      <c r="M181" s="10">
        <v>5</v>
      </c>
      <c r="N181" s="10">
        <v>112</v>
      </c>
      <c r="O181" s="10">
        <v>2120</v>
      </c>
      <c r="P181" s="10">
        <v>4.4000000000000004</v>
      </c>
      <c r="Q181" s="10" t="s">
        <v>26</v>
      </c>
    </row>
    <row r="182" spans="1:17" x14ac:dyDescent="0.25">
      <c r="A182" s="10" t="s">
        <v>335</v>
      </c>
      <c r="B182" s="10" t="s">
        <v>334</v>
      </c>
      <c r="C182" s="10" t="s">
        <v>19</v>
      </c>
      <c r="D182" s="10" t="s">
        <v>20</v>
      </c>
      <c r="E182" s="10" t="s">
        <v>30</v>
      </c>
      <c r="F182" s="10" t="s">
        <v>130</v>
      </c>
      <c r="G182" s="10" t="s">
        <v>23</v>
      </c>
      <c r="H182" s="10" t="s">
        <v>33</v>
      </c>
      <c r="I182" s="10" t="s">
        <v>98</v>
      </c>
      <c r="J182" s="10">
        <v>3</v>
      </c>
      <c r="K182" s="10">
        <v>354</v>
      </c>
      <c r="L182" s="10">
        <v>1062</v>
      </c>
      <c r="M182" s="10">
        <v>30</v>
      </c>
      <c r="N182" s="10">
        <v>319</v>
      </c>
      <c r="O182" s="10">
        <v>743</v>
      </c>
      <c r="P182" s="10">
        <v>3.7</v>
      </c>
      <c r="Q182" s="10" t="s">
        <v>26</v>
      </c>
    </row>
    <row r="183" spans="1:17" x14ac:dyDescent="0.25">
      <c r="A183" s="10" t="s">
        <v>336</v>
      </c>
      <c r="B183" s="10" t="s">
        <v>334</v>
      </c>
      <c r="C183" s="10" t="s">
        <v>91</v>
      </c>
      <c r="D183" s="10" t="s">
        <v>125</v>
      </c>
      <c r="E183" s="10" t="s">
        <v>82</v>
      </c>
      <c r="F183" s="10" t="s">
        <v>130</v>
      </c>
      <c r="G183" s="10" t="s">
        <v>23</v>
      </c>
      <c r="H183" s="10" t="s">
        <v>24</v>
      </c>
      <c r="I183" s="10" t="s">
        <v>84</v>
      </c>
      <c r="J183" s="10">
        <v>4</v>
      </c>
      <c r="K183" s="10">
        <v>1127</v>
      </c>
      <c r="L183" s="10">
        <v>4508</v>
      </c>
      <c r="M183" s="10">
        <v>20</v>
      </c>
      <c r="N183" s="10">
        <v>902</v>
      </c>
      <c r="O183" s="10">
        <v>3606</v>
      </c>
      <c r="P183" s="10">
        <v>4.5999999999999996</v>
      </c>
      <c r="Q183" s="10" t="s">
        <v>26</v>
      </c>
    </row>
    <row r="184" spans="1:17" x14ac:dyDescent="0.25">
      <c r="A184" s="10" t="s">
        <v>337</v>
      </c>
      <c r="B184" s="10" t="s">
        <v>338</v>
      </c>
      <c r="C184" s="10" t="s">
        <v>28</v>
      </c>
      <c r="D184" s="10" t="s">
        <v>29</v>
      </c>
      <c r="E184" s="10" t="s">
        <v>53</v>
      </c>
      <c r="F184" s="10" t="s">
        <v>31</v>
      </c>
      <c r="G184" s="10" t="s">
        <v>32</v>
      </c>
      <c r="H184" s="10" t="s">
        <v>24</v>
      </c>
      <c r="I184" s="10" t="s">
        <v>98</v>
      </c>
      <c r="J184" s="10">
        <v>2</v>
      </c>
      <c r="K184" s="10">
        <v>261</v>
      </c>
      <c r="L184" s="10">
        <v>522</v>
      </c>
      <c r="M184" s="10">
        <v>10</v>
      </c>
      <c r="N184" s="10">
        <v>52</v>
      </c>
      <c r="O184" s="10">
        <v>470</v>
      </c>
      <c r="P184" s="10">
        <v>4.9000000000000004</v>
      </c>
      <c r="Q184" s="10" t="s">
        <v>26</v>
      </c>
    </row>
    <row r="185" spans="1:17" x14ac:dyDescent="0.25">
      <c r="A185" s="10" t="s">
        <v>339</v>
      </c>
      <c r="B185" s="10" t="s">
        <v>338</v>
      </c>
      <c r="C185" s="10" t="s">
        <v>63</v>
      </c>
      <c r="D185" s="10" t="s">
        <v>143</v>
      </c>
      <c r="E185" s="10" t="s">
        <v>60</v>
      </c>
      <c r="F185" s="10" t="s">
        <v>72</v>
      </c>
      <c r="G185" s="10" t="s">
        <v>23</v>
      </c>
      <c r="H185" s="10" t="s">
        <v>24</v>
      </c>
      <c r="I185" s="10" t="s">
        <v>45</v>
      </c>
      <c r="J185" s="10">
        <v>3</v>
      </c>
      <c r="K185" s="10">
        <v>2491</v>
      </c>
      <c r="L185" s="10">
        <v>7473</v>
      </c>
      <c r="M185" s="10">
        <v>10</v>
      </c>
      <c r="N185" s="10">
        <v>747</v>
      </c>
      <c r="O185" s="10">
        <v>6726</v>
      </c>
      <c r="P185" s="10">
        <v>4.9000000000000004</v>
      </c>
      <c r="Q185" s="10" t="s">
        <v>26</v>
      </c>
    </row>
    <row r="186" spans="1:17" x14ac:dyDescent="0.25">
      <c r="A186" s="10" t="s">
        <v>340</v>
      </c>
      <c r="B186" s="10" t="s">
        <v>338</v>
      </c>
      <c r="C186" s="10" t="s">
        <v>40</v>
      </c>
      <c r="D186" s="10" t="s">
        <v>57</v>
      </c>
      <c r="E186" s="10" t="s">
        <v>82</v>
      </c>
      <c r="F186" s="10" t="s">
        <v>65</v>
      </c>
      <c r="G186" s="10" t="s">
        <v>32</v>
      </c>
      <c r="H186" s="10" t="s">
        <v>33</v>
      </c>
      <c r="I186" s="10" t="s">
        <v>98</v>
      </c>
      <c r="J186" s="10">
        <v>5</v>
      </c>
      <c r="K186" s="10">
        <v>1244</v>
      </c>
      <c r="L186" s="10">
        <v>6220</v>
      </c>
      <c r="M186" s="10">
        <v>5</v>
      </c>
      <c r="N186" s="10">
        <v>311</v>
      </c>
      <c r="O186" s="10">
        <v>5909</v>
      </c>
      <c r="P186" s="10">
        <v>4.9000000000000004</v>
      </c>
      <c r="Q186" s="10" t="s">
        <v>26</v>
      </c>
    </row>
    <row r="187" spans="1:17" x14ac:dyDescent="0.25">
      <c r="A187" s="10" t="s">
        <v>341</v>
      </c>
      <c r="B187" s="10" t="s">
        <v>342</v>
      </c>
      <c r="C187" s="10" t="s">
        <v>19</v>
      </c>
      <c r="D187" s="10" t="s">
        <v>20</v>
      </c>
      <c r="E187" s="10" t="s">
        <v>48</v>
      </c>
      <c r="F187" s="10" t="s">
        <v>119</v>
      </c>
      <c r="G187" s="10" t="s">
        <v>32</v>
      </c>
      <c r="H187" s="10" t="s">
        <v>33</v>
      </c>
      <c r="I187" s="10" t="s">
        <v>84</v>
      </c>
      <c r="J187" s="10">
        <v>5</v>
      </c>
      <c r="K187" s="10">
        <v>874</v>
      </c>
      <c r="L187" s="10">
        <v>4370</v>
      </c>
      <c r="M187" s="10">
        <v>25</v>
      </c>
      <c r="N187" s="10">
        <v>1092</v>
      </c>
      <c r="O187" s="10">
        <v>3278</v>
      </c>
      <c r="P187" s="10">
        <v>4.3</v>
      </c>
      <c r="Q187" s="10" t="s">
        <v>26</v>
      </c>
    </row>
    <row r="188" spans="1:17" x14ac:dyDescent="0.25">
      <c r="A188" s="10" t="s">
        <v>343</v>
      </c>
      <c r="B188" s="10" t="s">
        <v>344</v>
      </c>
      <c r="C188" s="10" t="s">
        <v>51</v>
      </c>
      <c r="D188" s="10" t="s">
        <v>52</v>
      </c>
      <c r="E188" s="10" t="s">
        <v>78</v>
      </c>
      <c r="F188" s="10" t="s">
        <v>22</v>
      </c>
      <c r="G188" s="10" t="s">
        <v>23</v>
      </c>
      <c r="H188" s="10" t="s">
        <v>33</v>
      </c>
      <c r="I188" s="10" t="s">
        <v>84</v>
      </c>
      <c r="J188" s="10">
        <v>2</v>
      </c>
      <c r="K188" s="10">
        <v>711</v>
      </c>
      <c r="L188" s="10">
        <v>1422</v>
      </c>
      <c r="M188" s="10">
        <v>15</v>
      </c>
      <c r="N188" s="10">
        <v>213</v>
      </c>
      <c r="O188" s="10">
        <v>1209</v>
      </c>
      <c r="P188" s="10">
        <v>4.7</v>
      </c>
      <c r="Q188" s="10" t="s">
        <v>26</v>
      </c>
    </row>
    <row r="189" spans="1:17" x14ac:dyDescent="0.25">
      <c r="A189" s="10" t="s">
        <v>345</v>
      </c>
      <c r="B189" s="10" t="s">
        <v>344</v>
      </c>
      <c r="C189" s="10" t="s">
        <v>91</v>
      </c>
      <c r="D189" s="10" t="s">
        <v>125</v>
      </c>
      <c r="E189" s="10" t="s">
        <v>30</v>
      </c>
      <c r="F189" s="10" t="s">
        <v>72</v>
      </c>
      <c r="G189" s="10" t="s">
        <v>23</v>
      </c>
      <c r="H189" s="10" t="s">
        <v>33</v>
      </c>
      <c r="I189" s="10" t="s">
        <v>84</v>
      </c>
      <c r="J189" s="10">
        <v>1</v>
      </c>
      <c r="K189" s="10">
        <v>1539</v>
      </c>
      <c r="L189" s="10">
        <v>1539</v>
      </c>
      <c r="M189" s="10">
        <v>20</v>
      </c>
      <c r="N189" s="10">
        <v>308</v>
      </c>
      <c r="O189" s="10">
        <v>1231</v>
      </c>
      <c r="P189" s="10">
        <v>4.0999999999999996</v>
      </c>
      <c r="Q189" s="10" t="s">
        <v>26</v>
      </c>
    </row>
    <row r="190" spans="1:17" x14ac:dyDescent="0.25">
      <c r="A190" s="10" t="s">
        <v>346</v>
      </c>
      <c r="B190" s="10" t="s">
        <v>344</v>
      </c>
      <c r="C190" s="10" t="s">
        <v>63</v>
      </c>
      <c r="D190" s="10" t="s">
        <v>134</v>
      </c>
      <c r="E190" s="10" t="s">
        <v>71</v>
      </c>
      <c r="F190" s="10" t="s">
        <v>61</v>
      </c>
      <c r="G190" s="10" t="s">
        <v>23</v>
      </c>
      <c r="H190" s="10" t="s">
        <v>24</v>
      </c>
      <c r="I190" s="10" t="s">
        <v>45</v>
      </c>
      <c r="J190" s="10">
        <v>5</v>
      </c>
      <c r="K190" s="10">
        <v>512</v>
      </c>
      <c r="L190" s="10">
        <v>2560</v>
      </c>
      <c r="M190" s="10">
        <v>10</v>
      </c>
      <c r="N190" s="10">
        <v>256</v>
      </c>
      <c r="O190" s="10">
        <v>2304</v>
      </c>
      <c r="P190" s="10">
        <v>4.9000000000000004</v>
      </c>
      <c r="Q190" s="10" t="s">
        <v>26</v>
      </c>
    </row>
    <row r="191" spans="1:17" x14ac:dyDescent="0.25">
      <c r="A191" s="10" t="s">
        <v>347</v>
      </c>
      <c r="B191" s="10" t="s">
        <v>344</v>
      </c>
      <c r="C191" s="10" t="s">
        <v>19</v>
      </c>
      <c r="D191" s="10" t="s">
        <v>230</v>
      </c>
      <c r="E191" s="10" t="s">
        <v>48</v>
      </c>
      <c r="F191" s="10" t="s">
        <v>31</v>
      </c>
      <c r="G191" s="10" t="s">
        <v>32</v>
      </c>
      <c r="H191" s="10" t="s">
        <v>24</v>
      </c>
      <c r="I191" s="10" t="s">
        <v>84</v>
      </c>
      <c r="J191" s="10">
        <v>3</v>
      </c>
      <c r="K191" s="10">
        <v>948</v>
      </c>
      <c r="L191" s="10">
        <v>2844</v>
      </c>
      <c r="M191" s="10">
        <v>25</v>
      </c>
      <c r="N191" s="10">
        <v>711</v>
      </c>
      <c r="O191" s="10">
        <v>2133</v>
      </c>
      <c r="P191" s="10">
        <v>4.5</v>
      </c>
      <c r="Q191" s="10" t="s">
        <v>26</v>
      </c>
    </row>
    <row r="192" spans="1:17" x14ac:dyDescent="0.25">
      <c r="A192" s="10" t="s">
        <v>348</v>
      </c>
      <c r="B192" s="10" t="s">
        <v>344</v>
      </c>
      <c r="C192" s="10" t="s">
        <v>19</v>
      </c>
      <c r="D192" s="10" t="s">
        <v>20</v>
      </c>
      <c r="E192" s="10" t="s">
        <v>60</v>
      </c>
      <c r="F192" s="10" t="s">
        <v>130</v>
      </c>
      <c r="G192" s="10" t="s">
        <v>32</v>
      </c>
      <c r="H192" s="10" t="s">
        <v>33</v>
      </c>
      <c r="I192" s="10" t="s">
        <v>34</v>
      </c>
      <c r="J192" s="10">
        <v>5</v>
      </c>
      <c r="K192" s="10">
        <v>370</v>
      </c>
      <c r="L192" s="10">
        <v>1850</v>
      </c>
      <c r="M192" s="10">
        <v>25</v>
      </c>
      <c r="N192" s="10">
        <v>462</v>
      </c>
      <c r="O192" s="10">
        <v>1388</v>
      </c>
      <c r="P192" s="10">
        <v>4.0999999999999996</v>
      </c>
      <c r="Q192" s="10" t="s">
        <v>26</v>
      </c>
    </row>
    <row r="193" spans="1:17" x14ac:dyDescent="0.25">
      <c r="A193" s="10" t="s">
        <v>349</v>
      </c>
      <c r="B193" s="10" t="s">
        <v>350</v>
      </c>
      <c r="C193" s="10" t="s">
        <v>40</v>
      </c>
      <c r="D193" s="10" t="s">
        <v>41</v>
      </c>
      <c r="E193" s="10" t="s">
        <v>53</v>
      </c>
      <c r="F193" s="10" t="s">
        <v>65</v>
      </c>
      <c r="G193" s="10" t="s">
        <v>44</v>
      </c>
      <c r="H193" s="10" t="s">
        <v>33</v>
      </c>
      <c r="I193" s="10" t="s">
        <v>45</v>
      </c>
      <c r="J193" s="10">
        <v>2</v>
      </c>
      <c r="K193" s="10">
        <v>697</v>
      </c>
      <c r="L193" s="10">
        <v>1394</v>
      </c>
      <c r="M193" s="10">
        <v>25</v>
      </c>
      <c r="N193" s="10">
        <v>348</v>
      </c>
      <c r="O193" s="10">
        <v>1046</v>
      </c>
      <c r="P193" s="10">
        <v>4.5999999999999996</v>
      </c>
      <c r="Q193" s="10" t="s">
        <v>26</v>
      </c>
    </row>
    <row r="194" spans="1:17" x14ac:dyDescent="0.25">
      <c r="A194" s="10" t="s">
        <v>351</v>
      </c>
      <c r="B194" s="10" t="s">
        <v>350</v>
      </c>
      <c r="C194" s="10" t="s">
        <v>40</v>
      </c>
      <c r="D194" s="10" t="s">
        <v>57</v>
      </c>
      <c r="E194" s="10" t="s">
        <v>53</v>
      </c>
      <c r="F194" s="10" t="s">
        <v>79</v>
      </c>
      <c r="G194" s="10" t="s">
        <v>23</v>
      </c>
      <c r="H194" s="10" t="s">
        <v>33</v>
      </c>
      <c r="I194" s="10" t="s">
        <v>25</v>
      </c>
      <c r="J194" s="10">
        <v>4</v>
      </c>
      <c r="K194" s="10">
        <v>1013</v>
      </c>
      <c r="L194" s="10">
        <v>4052</v>
      </c>
      <c r="M194" s="10">
        <v>20</v>
      </c>
      <c r="N194" s="10">
        <v>810</v>
      </c>
      <c r="O194" s="10">
        <v>3242</v>
      </c>
      <c r="P194" s="10">
        <v>3.6</v>
      </c>
      <c r="Q194" s="10" t="s">
        <v>26</v>
      </c>
    </row>
    <row r="195" spans="1:17" x14ac:dyDescent="0.25">
      <c r="A195" s="10" t="s">
        <v>352</v>
      </c>
      <c r="B195" s="10" t="s">
        <v>353</v>
      </c>
      <c r="C195" s="10" t="s">
        <v>51</v>
      </c>
      <c r="D195" s="10" t="s">
        <v>97</v>
      </c>
      <c r="E195" s="10" t="s">
        <v>101</v>
      </c>
      <c r="F195" s="10" t="s">
        <v>65</v>
      </c>
      <c r="G195" s="10" t="s">
        <v>23</v>
      </c>
      <c r="H195" s="10" t="s">
        <v>33</v>
      </c>
      <c r="I195" s="10" t="s">
        <v>84</v>
      </c>
      <c r="J195" s="10">
        <v>2</v>
      </c>
      <c r="K195" s="10">
        <v>706</v>
      </c>
      <c r="L195" s="10">
        <v>1412</v>
      </c>
      <c r="M195" s="10">
        <v>5</v>
      </c>
      <c r="N195" s="10">
        <v>71</v>
      </c>
      <c r="O195" s="10">
        <v>1341</v>
      </c>
      <c r="P195" s="10">
        <v>4.4000000000000004</v>
      </c>
      <c r="Q195" s="10" t="s">
        <v>26</v>
      </c>
    </row>
    <row r="196" spans="1:17" x14ac:dyDescent="0.25">
      <c r="A196" s="10" t="s">
        <v>354</v>
      </c>
      <c r="B196" s="10" t="s">
        <v>353</v>
      </c>
      <c r="C196" s="10" t="s">
        <v>51</v>
      </c>
      <c r="D196" s="10" t="s">
        <v>70</v>
      </c>
      <c r="E196" s="10" t="s">
        <v>101</v>
      </c>
      <c r="F196" s="10" t="s">
        <v>61</v>
      </c>
      <c r="G196" s="10" t="s">
        <v>44</v>
      </c>
      <c r="H196" s="10" t="s">
        <v>24</v>
      </c>
      <c r="I196" s="10" t="s">
        <v>34</v>
      </c>
      <c r="J196" s="10">
        <v>3</v>
      </c>
      <c r="K196" s="10">
        <v>546</v>
      </c>
      <c r="L196" s="10">
        <v>1638</v>
      </c>
      <c r="M196" s="10">
        <v>5</v>
      </c>
      <c r="N196" s="10">
        <v>82</v>
      </c>
      <c r="O196" s="10">
        <v>1556</v>
      </c>
      <c r="P196" s="10">
        <v>4.9000000000000004</v>
      </c>
      <c r="Q196" s="10" t="s">
        <v>26</v>
      </c>
    </row>
    <row r="197" spans="1:17" x14ac:dyDescent="0.25">
      <c r="A197" s="10" t="s">
        <v>355</v>
      </c>
      <c r="B197" s="10" t="s">
        <v>356</v>
      </c>
      <c r="C197" s="10" t="s">
        <v>91</v>
      </c>
      <c r="D197" s="10" t="s">
        <v>92</v>
      </c>
      <c r="E197" s="10" t="s">
        <v>155</v>
      </c>
      <c r="F197" s="10" t="s">
        <v>79</v>
      </c>
      <c r="G197" s="10" t="s">
        <v>32</v>
      </c>
      <c r="H197" s="10" t="s">
        <v>33</v>
      </c>
      <c r="I197" s="10" t="s">
        <v>25</v>
      </c>
      <c r="J197" s="10">
        <v>3</v>
      </c>
      <c r="K197" s="10">
        <v>1216</v>
      </c>
      <c r="L197" s="10">
        <v>3648</v>
      </c>
      <c r="M197" s="10">
        <v>15</v>
      </c>
      <c r="N197" s="10">
        <v>547</v>
      </c>
      <c r="O197" s="10">
        <v>3101</v>
      </c>
      <c r="P197" s="10">
        <v>4.5999999999999996</v>
      </c>
      <c r="Q197" s="10" t="s">
        <v>26</v>
      </c>
    </row>
    <row r="198" spans="1:17" x14ac:dyDescent="0.25">
      <c r="A198" s="10" t="s">
        <v>357</v>
      </c>
      <c r="B198" s="10" t="s">
        <v>356</v>
      </c>
      <c r="C198" s="10" t="s">
        <v>51</v>
      </c>
      <c r="D198" s="10" t="s">
        <v>97</v>
      </c>
      <c r="E198" s="10" t="s">
        <v>42</v>
      </c>
      <c r="F198" s="10" t="s">
        <v>79</v>
      </c>
      <c r="G198" s="10" t="s">
        <v>32</v>
      </c>
      <c r="H198" s="10" t="s">
        <v>104</v>
      </c>
      <c r="I198" s="10" t="s">
        <v>45</v>
      </c>
      <c r="J198" s="10">
        <v>5</v>
      </c>
      <c r="K198" s="10">
        <v>362</v>
      </c>
      <c r="L198" s="10">
        <v>1810</v>
      </c>
      <c r="M198" s="10">
        <v>15</v>
      </c>
      <c r="N198" s="10">
        <v>272</v>
      </c>
      <c r="O198" s="10">
        <v>1538</v>
      </c>
      <c r="P198" s="10">
        <v>4.4000000000000004</v>
      </c>
      <c r="Q198" s="10" t="s">
        <v>26</v>
      </c>
    </row>
    <row r="199" spans="1:17" x14ac:dyDescent="0.25">
      <c r="A199" s="10" t="s">
        <v>358</v>
      </c>
      <c r="B199" s="10" t="s">
        <v>359</v>
      </c>
      <c r="C199" s="10" t="s">
        <v>40</v>
      </c>
      <c r="D199" s="10" t="s">
        <v>41</v>
      </c>
      <c r="E199" s="10" t="s">
        <v>78</v>
      </c>
      <c r="F199" s="10" t="s">
        <v>65</v>
      </c>
      <c r="G199" s="10" t="s">
        <v>23</v>
      </c>
      <c r="H199" s="10" t="s">
        <v>33</v>
      </c>
      <c r="I199" s="10" t="s">
        <v>84</v>
      </c>
      <c r="J199" s="10">
        <v>1</v>
      </c>
      <c r="K199" s="10">
        <v>1105</v>
      </c>
      <c r="L199" s="10">
        <v>1105</v>
      </c>
      <c r="M199" s="10">
        <v>0</v>
      </c>
      <c r="N199" s="10">
        <v>0</v>
      </c>
      <c r="O199" s="10">
        <v>1105</v>
      </c>
      <c r="P199" s="10">
        <v>4.4000000000000004</v>
      </c>
      <c r="Q199" s="10" t="s">
        <v>26</v>
      </c>
    </row>
    <row r="200" spans="1:17" x14ac:dyDescent="0.25">
      <c r="A200" s="10" t="s">
        <v>360</v>
      </c>
      <c r="B200" s="10" t="s">
        <v>359</v>
      </c>
      <c r="C200" s="10" t="s">
        <v>91</v>
      </c>
      <c r="D200" s="10" t="s">
        <v>92</v>
      </c>
      <c r="E200" s="10" t="s">
        <v>21</v>
      </c>
      <c r="F200" s="10" t="s">
        <v>61</v>
      </c>
      <c r="G200" s="10" t="s">
        <v>32</v>
      </c>
      <c r="H200" s="10" t="s">
        <v>24</v>
      </c>
      <c r="I200" s="10" t="s">
        <v>84</v>
      </c>
      <c r="J200" s="10">
        <v>3</v>
      </c>
      <c r="K200" s="10">
        <v>2371</v>
      </c>
      <c r="L200" s="10">
        <v>7113</v>
      </c>
      <c r="M200" s="10">
        <v>25</v>
      </c>
      <c r="N200" s="10">
        <v>1778</v>
      </c>
      <c r="O200" s="10">
        <v>5335</v>
      </c>
      <c r="P200" s="10">
        <v>3.4</v>
      </c>
      <c r="Q200" s="10" t="s">
        <v>26</v>
      </c>
    </row>
    <row r="201" spans="1:17" x14ac:dyDescent="0.25">
      <c r="A201" s="10" t="s">
        <v>361</v>
      </c>
      <c r="B201" s="10" t="s">
        <v>362</v>
      </c>
      <c r="C201" s="10" t="s">
        <v>28</v>
      </c>
      <c r="D201" s="10" t="s">
        <v>77</v>
      </c>
      <c r="E201" s="10" t="s">
        <v>37</v>
      </c>
      <c r="F201" s="10" t="s">
        <v>119</v>
      </c>
      <c r="G201" s="10" t="s">
        <v>32</v>
      </c>
      <c r="H201" s="10" t="s">
        <v>33</v>
      </c>
      <c r="I201" s="10" t="s">
        <v>84</v>
      </c>
      <c r="J201" s="10">
        <v>3</v>
      </c>
      <c r="K201" s="10">
        <v>374</v>
      </c>
      <c r="L201" s="10">
        <v>1122</v>
      </c>
      <c r="M201" s="10">
        <v>25</v>
      </c>
      <c r="N201" s="10">
        <v>280</v>
      </c>
      <c r="O201" s="10">
        <v>842</v>
      </c>
      <c r="P201" s="10">
        <v>3.4</v>
      </c>
      <c r="Q201" s="10" t="s">
        <v>26</v>
      </c>
    </row>
    <row r="202" spans="1:17" x14ac:dyDescent="0.25">
      <c r="A202" s="10" t="s">
        <v>363</v>
      </c>
      <c r="B202" s="10" t="s">
        <v>362</v>
      </c>
      <c r="C202" s="10" t="s">
        <v>28</v>
      </c>
      <c r="D202" s="10" t="s">
        <v>36</v>
      </c>
      <c r="E202" s="10" t="s">
        <v>78</v>
      </c>
      <c r="F202" s="10" t="s">
        <v>22</v>
      </c>
      <c r="G202" s="10" t="s">
        <v>23</v>
      </c>
      <c r="H202" s="10" t="s">
        <v>24</v>
      </c>
      <c r="I202" s="10" t="s">
        <v>84</v>
      </c>
      <c r="J202" s="10">
        <v>1</v>
      </c>
      <c r="K202" s="10">
        <v>1031</v>
      </c>
      <c r="L202" s="10">
        <v>1031</v>
      </c>
      <c r="M202" s="10">
        <v>10</v>
      </c>
      <c r="N202" s="10">
        <v>103</v>
      </c>
      <c r="O202" s="10">
        <v>928</v>
      </c>
      <c r="P202" s="10">
        <v>4</v>
      </c>
      <c r="Q202" s="10" t="s">
        <v>26</v>
      </c>
    </row>
    <row r="203" spans="1:17" x14ac:dyDescent="0.25">
      <c r="A203" s="10" t="s">
        <v>364</v>
      </c>
      <c r="B203" s="10" t="s">
        <v>362</v>
      </c>
      <c r="C203" s="10" t="s">
        <v>19</v>
      </c>
      <c r="D203" s="10" t="s">
        <v>121</v>
      </c>
      <c r="E203" s="10" t="s">
        <v>71</v>
      </c>
      <c r="F203" s="10" t="s">
        <v>61</v>
      </c>
      <c r="G203" s="10" t="s">
        <v>23</v>
      </c>
      <c r="H203" s="10" t="s">
        <v>24</v>
      </c>
      <c r="I203" s="10" t="s">
        <v>98</v>
      </c>
      <c r="J203" s="10">
        <v>3</v>
      </c>
      <c r="K203" s="10">
        <v>304</v>
      </c>
      <c r="L203" s="10">
        <v>912</v>
      </c>
      <c r="M203" s="10">
        <v>25</v>
      </c>
      <c r="N203" s="10">
        <v>228</v>
      </c>
      <c r="O203" s="10">
        <v>684</v>
      </c>
      <c r="P203" s="10">
        <v>4.4000000000000004</v>
      </c>
      <c r="Q203" s="10" t="s">
        <v>26</v>
      </c>
    </row>
    <row r="204" spans="1:17" x14ac:dyDescent="0.25">
      <c r="A204" s="10" t="s">
        <v>365</v>
      </c>
      <c r="B204" s="10" t="s">
        <v>362</v>
      </c>
      <c r="C204" s="10" t="s">
        <v>63</v>
      </c>
      <c r="D204" s="10" t="s">
        <v>143</v>
      </c>
      <c r="E204" s="10" t="s">
        <v>48</v>
      </c>
      <c r="F204" s="10" t="s">
        <v>61</v>
      </c>
      <c r="G204" s="10" t="s">
        <v>44</v>
      </c>
      <c r="H204" s="10" t="s">
        <v>33</v>
      </c>
      <c r="I204" s="10" t="s">
        <v>25</v>
      </c>
      <c r="J204" s="10">
        <v>1</v>
      </c>
      <c r="K204" s="10">
        <v>2005</v>
      </c>
      <c r="L204" s="10">
        <v>2005</v>
      </c>
      <c r="M204" s="10">
        <v>15</v>
      </c>
      <c r="N204" s="10">
        <v>301</v>
      </c>
      <c r="O204" s="10">
        <v>1704</v>
      </c>
      <c r="P204" s="10">
        <v>5</v>
      </c>
      <c r="Q204" s="10" t="s">
        <v>26</v>
      </c>
    </row>
    <row r="205" spans="1:17" x14ac:dyDescent="0.25">
      <c r="A205" s="10" t="s">
        <v>366</v>
      </c>
      <c r="B205" s="10" t="s">
        <v>362</v>
      </c>
      <c r="C205" s="10" t="s">
        <v>19</v>
      </c>
      <c r="D205" s="10" t="s">
        <v>230</v>
      </c>
      <c r="E205" s="10" t="s">
        <v>37</v>
      </c>
      <c r="F205" s="10" t="s">
        <v>61</v>
      </c>
      <c r="G205" s="10" t="s">
        <v>32</v>
      </c>
      <c r="H205" s="10" t="s">
        <v>33</v>
      </c>
      <c r="I205" s="10" t="s">
        <v>84</v>
      </c>
      <c r="J205" s="10">
        <v>4</v>
      </c>
      <c r="K205" s="10">
        <v>226</v>
      </c>
      <c r="L205" s="10">
        <v>904</v>
      </c>
      <c r="M205" s="10">
        <v>10</v>
      </c>
      <c r="N205" s="10">
        <v>90</v>
      </c>
      <c r="O205" s="10">
        <v>814</v>
      </c>
      <c r="P205" s="10">
        <v>4.4000000000000004</v>
      </c>
      <c r="Q205" s="10" t="s">
        <v>26</v>
      </c>
    </row>
    <row r="206" spans="1:17" x14ac:dyDescent="0.25">
      <c r="A206" s="10" t="s">
        <v>367</v>
      </c>
      <c r="B206" s="10" t="s">
        <v>368</v>
      </c>
      <c r="C206" s="10" t="s">
        <v>19</v>
      </c>
      <c r="D206" s="10" t="s">
        <v>20</v>
      </c>
      <c r="E206" s="10" t="s">
        <v>48</v>
      </c>
      <c r="F206" s="10" t="s">
        <v>119</v>
      </c>
      <c r="G206" s="10" t="s">
        <v>32</v>
      </c>
      <c r="H206" s="10" t="s">
        <v>104</v>
      </c>
      <c r="I206" s="10" t="s">
        <v>45</v>
      </c>
      <c r="J206" s="10">
        <v>4</v>
      </c>
      <c r="K206" s="10">
        <v>175</v>
      </c>
      <c r="L206" s="10">
        <v>700</v>
      </c>
      <c r="M206" s="10">
        <v>15</v>
      </c>
      <c r="N206" s="10">
        <v>105</v>
      </c>
      <c r="O206" s="10">
        <v>595</v>
      </c>
      <c r="P206" s="10">
        <v>3.4</v>
      </c>
      <c r="Q206" s="10" t="s">
        <v>26</v>
      </c>
    </row>
    <row r="207" spans="1:17" x14ac:dyDescent="0.25">
      <c r="A207" s="10" t="s">
        <v>369</v>
      </c>
      <c r="B207" s="10" t="s">
        <v>370</v>
      </c>
      <c r="C207" s="10" t="s">
        <v>28</v>
      </c>
      <c r="D207" s="10" t="s">
        <v>95</v>
      </c>
      <c r="E207" s="10" t="s">
        <v>155</v>
      </c>
      <c r="F207" s="10" t="s">
        <v>65</v>
      </c>
      <c r="G207" s="10" t="s">
        <v>23</v>
      </c>
      <c r="H207" s="10" t="s">
        <v>33</v>
      </c>
      <c r="I207" s="10" t="s">
        <v>25</v>
      </c>
      <c r="J207" s="10">
        <v>4</v>
      </c>
      <c r="K207" s="10">
        <v>1214</v>
      </c>
      <c r="L207" s="10">
        <v>4856</v>
      </c>
      <c r="M207" s="10">
        <v>10</v>
      </c>
      <c r="N207" s="10">
        <v>486</v>
      </c>
      <c r="O207" s="10">
        <v>4370</v>
      </c>
      <c r="P207" s="10">
        <v>4.5999999999999996</v>
      </c>
      <c r="Q207" s="10" t="s">
        <v>26</v>
      </c>
    </row>
    <row r="208" spans="1:17" x14ac:dyDescent="0.25">
      <c r="A208" s="10" t="s">
        <v>371</v>
      </c>
      <c r="B208" s="10" t="s">
        <v>372</v>
      </c>
      <c r="C208" s="10" t="s">
        <v>28</v>
      </c>
      <c r="D208" s="10" t="s">
        <v>29</v>
      </c>
      <c r="E208" s="10" t="s">
        <v>48</v>
      </c>
      <c r="F208" s="10" t="s">
        <v>72</v>
      </c>
      <c r="G208" s="10" t="s">
        <v>23</v>
      </c>
      <c r="H208" s="10" t="s">
        <v>24</v>
      </c>
      <c r="I208" s="10" t="s">
        <v>98</v>
      </c>
      <c r="J208" s="10">
        <v>5</v>
      </c>
      <c r="K208" s="10">
        <v>757</v>
      </c>
      <c r="L208" s="10">
        <v>3785</v>
      </c>
      <c r="M208" s="10">
        <v>20</v>
      </c>
      <c r="N208" s="10">
        <v>757</v>
      </c>
      <c r="O208" s="10">
        <v>3028</v>
      </c>
      <c r="P208" s="10">
        <v>4.2</v>
      </c>
      <c r="Q208" s="10" t="s">
        <v>26</v>
      </c>
    </row>
    <row r="209" spans="1:17" x14ac:dyDescent="0.25">
      <c r="A209" s="10" t="s">
        <v>373</v>
      </c>
      <c r="B209" s="10" t="s">
        <v>372</v>
      </c>
      <c r="C209" s="10" t="s">
        <v>28</v>
      </c>
      <c r="D209" s="10" t="s">
        <v>95</v>
      </c>
      <c r="E209" s="10" t="s">
        <v>37</v>
      </c>
      <c r="F209" s="10" t="s">
        <v>61</v>
      </c>
      <c r="G209" s="10" t="s">
        <v>23</v>
      </c>
      <c r="H209" s="10" t="s">
        <v>104</v>
      </c>
      <c r="I209" s="10" t="s">
        <v>25</v>
      </c>
      <c r="J209" s="10">
        <v>3</v>
      </c>
      <c r="K209" s="10">
        <v>1051</v>
      </c>
      <c r="L209" s="10">
        <v>3153</v>
      </c>
      <c r="M209" s="10">
        <v>25</v>
      </c>
      <c r="N209" s="10">
        <v>788</v>
      </c>
      <c r="O209" s="10">
        <v>2365</v>
      </c>
      <c r="P209" s="10">
        <v>4</v>
      </c>
      <c r="Q209" s="10" t="s">
        <v>75</v>
      </c>
    </row>
    <row r="210" spans="1:17" x14ac:dyDescent="0.25">
      <c r="A210" s="10" t="s">
        <v>374</v>
      </c>
      <c r="B210" s="10" t="s">
        <v>375</v>
      </c>
      <c r="C210" s="10" t="s">
        <v>51</v>
      </c>
      <c r="D210" s="10" t="s">
        <v>70</v>
      </c>
      <c r="E210" s="10" t="s">
        <v>30</v>
      </c>
      <c r="F210" s="10" t="s">
        <v>130</v>
      </c>
      <c r="G210" s="10" t="s">
        <v>44</v>
      </c>
      <c r="H210" s="10" t="s">
        <v>104</v>
      </c>
      <c r="I210" s="10" t="s">
        <v>34</v>
      </c>
      <c r="J210" s="10">
        <v>1</v>
      </c>
      <c r="K210" s="10">
        <v>561</v>
      </c>
      <c r="L210" s="10">
        <v>561</v>
      </c>
      <c r="M210" s="10">
        <v>30</v>
      </c>
      <c r="N210" s="10">
        <v>168</v>
      </c>
      <c r="O210" s="10">
        <v>393</v>
      </c>
      <c r="P210" s="10">
        <v>3.3</v>
      </c>
      <c r="Q210" s="10" t="s">
        <v>26</v>
      </c>
    </row>
    <row r="211" spans="1:17" x14ac:dyDescent="0.25">
      <c r="A211" s="10" t="s">
        <v>376</v>
      </c>
      <c r="B211" s="10" t="s">
        <v>375</v>
      </c>
      <c r="C211" s="10" t="s">
        <v>19</v>
      </c>
      <c r="D211" s="10" t="s">
        <v>20</v>
      </c>
      <c r="E211" s="10" t="s">
        <v>48</v>
      </c>
      <c r="F211" s="10" t="s">
        <v>72</v>
      </c>
      <c r="G211" s="10" t="s">
        <v>23</v>
      </c>
      <c r="H211" s="10" t="s">
        <v>24</v>
      </c>
      <c r="I211" s="10" t="s">
        <v>45</v>
      </c>
      <c r="J211" s="10">
        <v>5</v>
      </c>
      <c r="K211" s="10">
        <v>534</v>
      </c>
      <c r="L211" s="10">
        <v>2670</v>
      </c>
      <c r="M211" s="10">
        <v>25</v>
      </c>
      <c r="N211" s="10">
        <v>668</v>
      </c>
      <c r="O211" s="10">
        <v>2002</v>
      </c>
      <c r="P211" s="10">
        <v>4.3</v>
      </c>
      <c r="Q211" s="10" t="s">
        <v>26</v>
      </c>
    </row>
    <row r="212" spans="1:17" x14ac:dyDescent="0.25">
      <c r="A212" s="10" t="s">
        <v>377</v>
      </c>
      <c r="B212" s="10" t="s">
        <v>378</v>
      </c>
      <c r="C212" s="10" t="s">
        <v>40</v>
      </c>
      <c r="D212" s="10" t="s">
        <v>41</v>
      </c>
      <c r="E212" s="10" t="s">
        <v>48</v>
      </c>
      <c r="F212" s="10" t="s">
        <v>22</v>
      </c>
      <c r="G212" s="10" t="s">
        <v>32</v>
      </c>
      <c r="H212" s="10" t="s">
        <v>33</v>
      </c>
      <c r="I212" s="10" t="s">
        <v>84</v>
      </c>
      <c r="J212" s="10">
        <v>5</v>
      </c>
      <c r="K212" s="10">
        <v>639</v>
      </c>
      <c r="L212" s="10">
        <v>3195</v>
      </c>
      <c r="M212" s="10">
        <v>15</v>
      </c>
      <c r="N212" s="10">
        <v>479</v>
      </c>
      <c r="O212" s="10">
        <v>2716</v>
      </c>
      <c r="P212" s="10">
        <v>4.4000000000000004</v>
      </c>
      <c r="Q212" s="10" t="s">
        <v>26</v>
      </c>
    </row>
    <row r="213" spans="1:17" x14ac:dyDescent="0.25">
      <c r="A213" s="10" t="s">
        <v>379</v>
      </c>
      <c r="B213" s="10" t="s">
        <v>378</v>
      </c>
      <c r="C213" s="10" t="s">
        <v>63</v>
      </c>
      <c r="D213" s="10" t="s">
        <v>143</v>
      </c>
      <c r="E213" s="10" t="s">
        <v>82</v>
      </c>
      <c r="F213" s="10" t="s">
        <v>65</v>
      </c>
      <c r="G213" s="10" t="s">
        <v>23</v>
      </c>
      <c r="H213" s="10" t="s">
        <v>24</v>
      </c>
      <c r="I213" s="10" t="s">
        <v>98</v>
      </c>
      <c r="J213" s="10">
        <v>1</v>
      </c>
      <c r="K213" s="10">
        <v>1970</v>
      </c>
      <c r="L213" s="10">
        <v>1970</v>
      </c>
      <c r="M213" s="10">
        <v>0</v>
      </c>
      <c r="N213" s="10">
        <v>0</v>
      </c>
      <c r="O213" s="10">
        <v>1970</v>
      </c>
      <c r="P213" s="10">
        <v>3.3</v>
      </c>
      <c r="Q213" s="10" t="s">
        <v>26</v>
      </c>
    </row>
    <row r="214" spans="1:17" x14ac:dyDescent="0.25">
      <c r="A214" s="10" t="s">
        <v>380</v>
      </c>
      <c r="B214" s="10" t="s">
        <v>378</v>
      </c>
      <c r="C214" s="10" t="s">
        <v>91</v>
      </c>
      <c r="D214" s="10" t="s">
        <v>110</v>
      </c>
      <c r="E214" s="10" t="s">
        <v>21</v>
      </c>
      <c r="F214" s="10" t="s">
        <v>119</v>
      </c>
      <c r="G214" s="10" t="s">
        <v>23</v>
      </c>
      <c r="H214" s="10" t="s">
        <v>33</v>
      </c>
      <c r="I214" s="10" t="s">
        <v>98</v>
      </c>
      <c r="J214" s="10">
        <v>1</v>
      </c>
      <c r="K214" s="10">
        <v>2429</v>
      </c>
      <c r="L214" s="10">
        <v>2429</v>
      </c>
      <c r="M214" s="10">
        <v>15</v>
      </c>
      <c r="N214" s="10">
        <v>364</v>
      </c>
      <c r="O214" s="10">
        <v>2065</v>
      </c>
      <c r="P214" s="10">
        <v>4</v>
      </c>
      <c r="Q214" s="10" t="s">
        <v>26</v>
      </c>
    </row>
    <row r="215" spans="1:17" x14ac:dyDescent="0.25">
      <c r="A215" s="10" t="s">
        <v>381</v>
      </c>
      <c r="B215" s="10" t="s">
        <v>382</v>
      </c>
      <c r="C215" s="10" t="s">
        <v>19</v>
      </c>
      <c r="D215" s="10" t="s">
        <v>20</v>
      </c>
      <c r="E215" s="10" t="s">
        <v>82</v>
      </c>
      <c r="F215" s="10" t="s">
        <v>79</v>
      </c>
      <c r="G215" s="10" t="s">
        <v>23</v>
      </c>
      <c r="H215" s="10" t="s">
        <v>33</v>
      </c>
      <c r="I215" s="10" t="s">
        <v>25</v>
      </c>
      <c r="J215" s="10">
        <v>1</v>
      </c>
      <c r="K215" s="10">
        <v>265</v>
      </c>
      <c r="L215" s="10">
        <v>265</v>
      </c>
      <c r="M215" s="10">
        <v>10</v>
      </c>
      <c r="N215" s="10">
        <v>26</v>
      </c>
      <c r="O215" s="10">
        <v>239</v>
      </c>
      <c r="P215" s="10">
        <v>4.5999999999999996</v>
      </c>
      <c r="Q215" s="10" t="s">
        <v>26</v>
      </c>
    </row>
    <row r="216" spans="1:17" x14ac:dyDescent="0.25">
      <c r="A216" s="10" t="s">
        <v>383</v>
      </c>
      <c r="B216" s="10" t="s">
        <v>382</v>
      </c>
      <c r="C216" s="10" t="s">
        <v>40</v>
      </c>
      <c r="D216" s="10" t="s">
        <v>47</v>
      </c>
      <c r="E216" s="10" t="s">
        <v>60</v>
      </c>
      <c r="F216" s="10" t="s">
        <v>31</v>
      </c>
      <c r="G216" s="10" t="s">
        <v>32</v>
      </c>
      <c r="H216" s="10" t="s">
        <v>33</v>
      </c>
      <c r="I216" s="10" t="s">
        <v>25</v>
      </c>
      <c r="J216" s="10">
        <v>2</v>
      </c>
      <c r="K216" s="10">
        <v>1441</v>
      </c>
      <c r="L216" s="10">
        <v>2882</v>
      </c>
      <c r="M216" s="10">
        <v>25</v>
      </c>
      <c r="N216" s="10">
        <v>720</v>
      </c>
      <c r="O216" s="10">
        <v>2162</v>
      </c>
      <c r="P216" s="10">
        <v>4.0999999999999996</v>
      </c>
      <c r="Q216" s="10" t="s">
        <v>26</v>
      </c>
    </row>
    <row r="217" spans="1:17" x14ac:dyDescent="0.25">
      <c r="A217" s="10" t="s">
        <v>384</v>
      </c>
      <c r="B217" s="10" t="s">
        <v>382</v>
      </c>
      <c r="C217" s="10" t="s">
        <v>28</v>
      </c>
      <c r="D217" s="10" t="s">
        <v>77</v>
      </c>
      <c r="E217" s="10" t="s">
        <v>71</v>
      </c>
      <c r="F217" s="10" t="s">
        <v>61</v>
      </c>
      <c r="G217" s="10" t="s">
        <v>23</v>
      </c>
      <c r="H217" s="10" t="s">
        <v>33</v>
      </c>
      <c r="I217" s="10" t="s">
        <v>98</v>
      </c>
      <c r="J217" s="10">
        <v>5</v>
      </c>
      <c r="K217" s="10">
        <v>1296</v>
      </c>
      <c r="L217" s="10">
        <v>6480</v>
      </c>
      <c r="M217" s="10">
        <v>20</v>
      </c>
      <c r="N217" s="10">
        <v>1296</v>
      </c>
      <c r="O217" s="10">
        <v>5184</v>
      </c>
      <c r="P217" s="10">
        <v>3.6</v>
      </c>
      <c r="Q217" s="10" t="s">
        <v>26</v>
      </c>
    </row>
    <row r="218" spans="1:17" x14ac:dyDescent="0.25">
      <c r="A218" s="10" t="s">
        <v>385</v>
      </c>
      <c r="B218" s="10" t="s">
        <v>382</v>
      </c>
      <c r="C218" s="10" t="s">
        <v>28</v>
      </c>
      <c r="D218" s="10" t="s">
        <v>36</v>
      </c>
      <c r="E218" s="10" t="s">
        <v>42</v>
      </c>
      <c r="F218" s="10" t="s">
        <v>31</v>
      </c>
      <c r="G218" s="10" t="s">
        <v>23</v>
      </c>
      <c r="H218" s="10" t="s">
        <v>24</v>
      </c>
      <c r="I218" s="10" t="s">
        <v>45</v>
      </c>
      <c r="J218" s="10">
        <v>5</v>
      </c>
      <c r="K218" s="10">
        <v>1134</v>
      </c>
      <c r="L218" s="10">
        <v>5670</v>
      </c>
      <c r="M218" s="10">
        <v>0</v>
      </c>
      <c r="N218" s="10">
        <v>0</v>
      </c>
      <c r="O218" s="10">
        <v>5670</v>
      </c>
      <c r="P218" s="10">
        <v>4</v>
      </c>
      <c r="Q218" s="10" t="s">
        <v>26</v>
      </c>
    </row>
    <row r="219" spans="1:17" x14ac:dyDescent="0.25">
      <c r="A219" s="10" t="s">
        <v>386</v>
      </c>
      <c r="B219" s="10" t="s">
        <v>382</v>
      </c>
      <c r="C219" s="10" t="s">
        <v>51</v>
      </c>
      <c r="D219" s="10" t="s">
        <v>70</v>
      </c>
      <c r="E219" s="10" t="s">
        <v>60</v>
      </c>
      <c r="F219" s="10" t="s">
        <v>72</v>
      </c>
      <c r="G219" s="10" t="s">
        <v>23</v>
      </c>
      <c r="H219" s="10" t="s">
        <v>24</v>
      </c>
      <c r="I219" s="10" t="s">
        <v>45</v>
      </c>
      <c r="J219" s="10">
        <v>5</v>
      </c>
      <c r="K219" s="10">
        <v>295</v>
      </c>
      <c r="L219" s="10">
        <v>1475</v>
      </c>
      <c r="M219" s="10">
        <v>0</v>
      </c>
      <c r="N219" s="10">
        <v>0</v>
      </c>
      <c r="O219" s="10">
        <v>1475</v>
      </c>
      <c r="P219" s="10">
        <v>4.9000000000000004</v>
      </c>
      <c r="Q219" s="10" t="s">
        <v>26</v>
      </c>
    </row>
    <row r="220" spans="1:17" x14ac:dyDescent="0.25">
      <c r="A220" s="10" t="s">
        <v>387</v>
      </c>
      <c r="B220" s="10" t="s">
        <v>388</v>
      </c>
      <c r="C220" s="10" t="s">
        <v>51</v>
      </c>
      <c r="D220" s="10" t="s">
        <v>97</v>
      </c>
      <c r="E220" s="10" t="s">
        <v>155</v>
      </c>
      <c r="F220" s="10" t="s">
        <v>65</v>
      </c>
      <c r="G220" s="10" t="s">
        <v>23</v>
      </c>
      <c r="H220" s="10" t="s">
        <v>33</v>
      </c>
      <c r="I220" s="10" t="s">
        <v>34</v>
      </c>
      <c r="J220" s="10">
        <v>4</v>
      </c>
      <c r="K220" s="10">
        <v>734</v>
      </c>
      <c r="L220" s="10">
        <v>2936</v>
      </c>
      <c r="M220" s="10">
        <v>15</v>
      </c>
      <c r="N220" s="10">
        <v>440</v>
      </c>
      <c r="O220" s="10">
        <v>2496</v>
      </c>
      <c r="P220" s="10">
        <v>3.4</v>
      </c>
      <c r="Q220" s="10" t="s">
        <v>26</v>
      </c>
    </row>
    <row r="221" spans="1:17" x14ac:dyDescent="0.25">
      <c r="A221" s="10" t="s">
        <v>389</v>
      </c>
      <c r="B221" s="10" t="s">
        <v>388</v>
      </c>
      <c r="C221" s="10" t="s">
        <v>91</v>
      </c>
      <c r="D221" s="10" t="s">
        <v>110</v>
      </c>
      <c r="E221" s="10" t="s">
        <v>48</v>
      </c>
      <c r="F221" s="10" t="s">
        <v>22</v>
      </c>
      <c r="G221" s="10" t="s">
        <v>23</v>
      </c>
      <c r="H221" s="10" t="s">
        <v>104</v>
      </c>
      <c r="I221" s="10" t="s">
        <v>98</v>
      </c>
      <c r="J221" s="10">
        <v>1</v>
      </c>
      <c r="K221" s="10">
        <v>2973</v>
      </c>
      <c r="L221" s="10">
        <v>2973</v>
      </c>
      <c r="M221" s="10">
        <v>30</v>
      </c>
      <c r="N221" s="10">
        <v>892</v>
      </c>
      <c r="O221" s="10">
        <v>2081</v>
      </c>
      <c r="P221" s="10">
        <v>4.5</v>
      </c>
      <c r="Q221" s="10" t="s">
        <v>26</v>
      </c>
    </row>
    <row r="222" spans="1:17" x14ac:dyDescent="0.25">
      <c r="A222" s="10" t="s">
        <v>390</v>
      </c>
      <c r="B222" s="10" t="s">
        <v>388</v>
      </c>
      <c r="C222" s="10" t="s">
        <v>91</v>
      </c>
      <c r="D222" s="10" t="s">
        <v>125</v>
      </c>
      <c r="E222" s="10" t="s">
        <v>42</v>
      </c>
      <c r="F222" s="10" t="s">
        <v>83</v>
      </c>
      <c r="G222" s="10" t="s">
        <v>32</v>
      </c>
      <c r="H222" s="10" t="s">
        <v>24</v>
      </c>
      <c r="I222" s="10" t="s">
        <v>45</v>
      </c>
      <c r="J222" s="10">
        <v>4</v>
      </c>
      <c r="K222" s="10">
        <v>1998</v>
      </c>
      <c r="L222" s="10">
        <v>7992</v>
      </c>
      <c r="M222" s="10">
        <v>10</v>
      </c>
      <c r="N222" s="10">
        <v>799</v>
      </c>
      <c r="O222" s="10">
        <v>7193</v>
      </c>
      <c r="P222" s="10">
        <v>4.7</v>
      </c>
      <c r="Q222" s="10" t="s">
        <v>26</v>
      </c>
    </row>
    <row r="223" spans="1:17" x14ac:dyDescent="0.25">
      <c r="A223" s="10" t="s">
        <v>391</v>
      </c>
      <c r="B223" s="10" t="s">
        <v>388</v>
      </c>
      <c r="C223" s="10" t="s">
        <v>91</v>
      </c>
      <c r="D223" s="10" t="s">
        <v>110</v>
      </c>
      <c r="E223" s="10" t="s">
        <v>53</v>
      </c>
      <c r="F223" s="10" t="s">
        <v>65</v>
      </c>
      <c r="G223" s="10" t="s">
        <v>32</v>
      </c>
      <c r="H223" s="10" t="s">
        <v>104</v>
      </c>
      <c r="I223" s="10" t="s">
        <v>34</v>
      </c>
      <c r="J223" s="10">
        <v>4</v>
      </c>
      <c r="K223" s="10">
        <v>1237</v>
      </c>
      <c r="L223" s="10">
        <v>4948</v>
      </c>
      <c r="M223" s="10">
        <v>0</v>
      </c>
      <c r="N223" s="10">
        <v>0</v>
      </c>
      <c r="O223" s="10">
        <v>4948</v>
      </c>
      <c r="P223" s="10">
        <v>4.2</v>
      </c>
      <c r="Q223" s="10" t="s">
        <v>26</v>
      </c>
    </row>
    <row r="224" spans="1:17" x14ac:dyDescent="0.25">
      <c r="A224" s="10" t="s">
        <v>392</v>
      </c>
      <c r="B224" s="10" t="s">
        <v>388</v>
      </c>
      <c r="C224" s="10" t="s">
        <v>91</v>
      </c>
      <c r="D224" s="10" t="s">
        <v>110</v>
      </c>
      <c r="E224" s="10" t="s">
        <v>21</v>
      </c>
      <c r="F224" s="10" t="s">
        <v>79</v>
      </c>
      <c r="G224" s="10" t="s">
        <v>23</v>
      </c>
      <c r="H224" s="10" t="s">
        <v>33</v>
      </c>
      <c r="I224" s="10" t="s">
        <v>25</v>
      </c>
      <c r="J224" s="10">
        <v>2</v>
      </c>
      <c r="K224" s="10">
        <v>1851</v>
      </c>
      <c r="L224" s="10">
        <v>3702</v>
      </c>
      <c r="M224" s="10">
        <v>15</v>
      </c>
      <c r="N224" s="10">
        <v>555</v>
      </c>
      <c r="O224" s="10">
        <v>3147</v>
      </c>
      <c r="P224" s="10">
        <v>3.6</v>
      </c>
      <c r="Q224" s="10" t="s">
        <v>26</v>
      </c>
    </row>
    <row r="225" spans="1:17" x14ac:dyDescent="0.25">
      <c r="A225" s="10" t="s">
        <v>393</v>
      </c>
      <c r="B225" s="10" t="s">
        <v>394</v>
      </c>
      <c r="C225" s="10" t="s">
        <v>28</v>
      </c>
      <c r="D225" s="10" t="s">
        <v>36</v>
      </c>
      <c r="E225" s="10" t="s">
        <v>60</v>
      </c>
      <c r="F225" s="10" t="s">
        <v>119</v>
      </c>
      <c r="G225" s="10" t="s">
        <v>23</v>
      </c>
      <c r="H225" s="10" t="s">
        <v>33</v>
      </c>
      <c r="I225" s="10" t="s">
        <v>25</v>
      </c>
      <c r="J225" s="10">
        <v>3</v>
      </c>
      <c r="K225" s="10">
        <v>349</v>
      </c>
      <c r="L225" s="10">
        <v>1047</v>
      </c>
      <c r="M225" s="10">
        <v>30</v>
      </c>
      <c r="N225" s="10">
        <v>314</v>
      </c>
      <c r="O225" s="10">
        <v>733</v>
      </c>
      <c r="P225" s="10">
        <v>4</v>
      </c>
      <c r="Q225" s="10" t="s">
        <v>26</v>
      </c>
    </row>
    <row r="226" spans="1:17" x14ac:dyDescent="0.25">
      <c r="A226" s="10" t="s">
        <v>395</v>
      </c>
      <c r="B226" s="10" t="s">
        <v>396</v>
      </c>
      <c r="C226" s="10" t="s">
        <v>51</v>
      </c>
      <c r="D226" s="10" t="s">
        <v>52</v>
      </c>
      <c r="E226" s="10" t="s">
        <v>37</v>
      </c>
      <c r="F226" s="10" t="s">
        <v>65</v>
      </c>
      <c r="G226" s="10" t="s">
        <v>44</v>
      </c>
      <c r="H226" s="10" t="s">
        <v>33</v>
      </c>
      <c r="I226" s="10" t="s">
        <v>34</v>
      </c>
      <c r="J226" s="10">
        <v>3</v>
      </c>
      <c r="K226" s="10">
        <v>362</v>
      </c>
      <c r="L226" s="10">
        <v>1086</v>
      </c>
      <c r="M226" s="10">
        <v>0</v>
      </c>
      <c r="N226" s="10">
        <v>0</v>
      </c>
      <c r="O226" s="10">
        <v>1086</v>
      </c>
      <c r="P226" s="10">
        <v>4.0999999999999996</v>
      </c>
      <c r="Q226" s="10" t="s">
        <v>26</v>
      </c>
    </row>
    <row r="227" spans="1:17" x14ac:dyDescent="0.25">
      <c r="A227" s="10" t="s">
        <v>397</v>
      </c>
      <c r="B227" s="10" t="s">
        <v>398</v>
      </c>
      <c r="C227" s="10" t="s">
        <v>51</v>
      </c>
      <c r="D227" s="10" t="s">
        <v>97</v>
      </c>
      <c r="E227" s="10" t="s">
        <v>78</v>
      </c>
      <c r="F227" s="10" t="s">
        <v>22</v>
      </c>
      <c r="G227" s="10" t="s">
        <v>23</v>
      </c>
      <c r="H227" s="10" t="s">
        <v>24</v>
      </c>
      <c r="I227" s="10" t="s">
        <v>84</v>
      </c>
      <c r="J227" s="10">
        <v>3</v>
      </c>
      <c r="K227" s="10">
        <v>522</v>
      </c>
      <c r="L227" s="10">
        <v>1566</v>
      </c>
      <c r="M227" s="10">
        <v>5</v>
      </c>
      <c r="N227" s="10">
        <v>78</v>
      </c>
      <c r="O227" s="10">
        <v>1488</v>
      </c>
      <c r="P227" s="10">
        <v>3.3</v>
      </c>
      <c r="Q227" s="10" t="s">
        <v>26</v>
      </c>
    </row>
    <row r="228" spans="1:17" x14ac:dyDescent="0.25">
      <c r="A228" s="10" t="s">
        <v>399</v>
      </c>
      <c r="B228" s="10" t="s">
        <v>400</v>
      </c>
      <c r="C228" s="10" t="s">
        <v>91</v>
      </c>
      <c r="D228" s="10" t="s">
        <v>110</v>
      </c>
      <c r="E228" s="10" t="s">
        <v>53</v>
      </c>
      <c r="F228" s="10" t="s">
        <v>65</v>
      </c>
      <c r="G228" s="10" t="s">
        <v>32</v>
      </c>
      <c r="H228" s="10" t="s">
        <v>24</v>
      </c>
      <c r="I228" s="10" t="s">
        <v>45</v>
      </c>
      <c r="J228" s="10">
        <v>2</v>
      </c>
      <c r="K228" s="10">
        <v>932</v>
      </c>
      <c r="L228" s="10">
        <v>1864</v>
      </c>
      <c r="M228" s="10">
        <v>5</v>
      </c>
      <c r="N228" s="10">
        <v>93</v>
      </c>
      <c r="O228" s="10">
        <v>1771</v>
      </c>
      <c r="P228" s="10">
        <v>4.3</v>
      </c>
      <c r="Q228" s="10" t="s">
        <v>26</v>
      </c>
    </row>
    <row r="229" spans="1:17" x14ac:dyDescent="0.25">
      <c r="A229" s="10" t="s">
        <v>401</v>
      </c>
      <c r="B229" s="10" t="s">
        <v>400</v>
      </c>
      <c r="C229" s="10" t="s">
        <v>51</v>
      </c>
      <c r="D229" s="10" t="s">
        <v>97</v>
      </c>
      <c r="E229" s="10" t="s">
        <v>78</v>
      </c>
      <c r="F229" s="10" t="s">
        <v>83</v>
      </c>
      <c r="G229" s="10" t="s">
        <v>23</v>
      </c>
      <c r="H229" s="10" t="s">
        <v>24</v>
      </c>
      <c r="I229" s="10" t="s">
        <v>84</v>
      </c>
      <c r="J229" s="10">
        <v>2</v>
      </c>
      <c r="K229" s="10">
        <v>508</v>
      </c>
      <c r="L229" s="10">
        <v>1016</v>
      </c>
      <c r="M229" s="10">
        <v>5</v>
      </c>
      <c r="N229" s="10">
        <v>51</v>
      </c>
      <c r="O229" s="10">
        <v>965</v>
      </c>
      <c r="P229" s="10">
        <v>3.2</v>
      </c>
      <c r="Q229" s="10" t="s">
        <v>26</v>
      </c>
    </row>
    <row r="230" spans="1:17" x14ac:dyDescent="0.25">
      <c r="A230" s="10" t="s">
        <v>402</v>
      </c>
      <c r="B230" s="10" t="s">
        <v>403</v>
      </c>
      <c r="C230" s="10" t="s">
        <v>51</v>
      </c>
      <c r="D230" s="10" t="s">
        <v>52</v>
      </c>
      <c r="E230" s="10" t="s">
        <v>60</v>
      </c>
      <c r="F230" s="10" t="s">
        <v>119</v>
      </c>
      <c r="G230" s="10" t="s">
        <v>23</v>
      </c>
      <c r="H230" s="10" t="s">
        <v>104</v>
      </c>
      <c r="I230" s="10" t="s">
        <v>98</v>
      </c>
      <c r="J230" s="10">
        <v>2</v>
      </c>
      <c r="K230" s="10">
        <v>254</v>
      </c>
      <c r="L230" s="10">
        <v>508</v>
      </c>
      <c r="M230" s="10">
        <v>5</v>
      </c>
      <c r="N230" s="10">
        <v>25</v>
      </c>
      <c r="O230" s="10">
        <v>483</v>
      </c>
      <c r="P230" s="10">
        <v>4.3</v>
      </c>
      <c r="Q230" s="10" t="s">
        <v>26</v>
      </c>
    </row>
    <row r="231" spans="1:17" x14ac:dyDescent="0.25">
      <c r="A231" s="10" t="s">
        <v>404</v>
      </c>
      <c r="B231" s="10" t="s">
        <v>405</v>
      </c>
      <c r="C231" s="10" t="s">
        <v>19</v>
      </c>
      <c r="D231" s="10" t="s">
        <v>230</v>
      </c>
      <c r="E231" s="10" t="s">
        <v>101</v>
      </c>
      <c r="F231" s="10" t="s">
        <v>61</v>
      </c>
      <c r="G231" s="10" t="s">
        <v>23</v>
      </c>
      <c r="H231" s="10" t="s">
        <v>33</v>
      </c>
      <c r="I231" s="10" t="s">
        <v>45</v>
      </c>
      <c r="J231" s="10">
        <v>3</v>
      </c>
      <c r="K231" s="10">
        <v>788</v>
      </c>
      <c r="L231" s="10">
        <v>2364</v>
      </c>
      <c r="M231" s="10">
        <v>30</v>
      </c>
      <c r="N231" s="10">
        <v>709</v>
      </c>
      <c r="O231" s="10">
        <v>1655</v>
      </c>
      <c r="P231" s="10">
        <v>4</v>
      </c>
      <c r="Q231" s="10" t="s">
        <v>26</v>
      </c>
    </row>
    <row r="232" spans="1:17" x14ac:dyDescent="0.25">
      <c r="A232" s="10" t="s">
        <v>406</v>
      </c>
      <c r="B232" s="10" t="s">
        <v>405</v>
      </c>
      <c r="C232" s="10" t="s">
        <v>91</v>
      </c>
      <c r="D232" s="10" t="s">
        <v>110</v>
      </c>
      <c r="E232" s="10" t="s">
        <v>30</v>
      </c>
      <c r="F232" s="10" t="s">
        <v>79</v>
      </c>
      <c r="G232" s="10" t="s">
        <v>44</v>
      </c>
      <c r="H232" s="10" t="s">
        <v>24</v>
      </c>
      <c r="I232" s="10" t="s">
        <v>34</v>
      </c>
      <c r="J232" s="10">
        <v>2</v>
      </c>
      <c r="K232" s="10">
        <v>2971</v>
      </c>
      <c r="L232" s="10">
        <v>5942</v>
      </c>
      <c r="M232" s="10">
        <v>30</v>
      </c>
      <c r="N232" s="10">
        <v>1783</v>
      </c>
      <c r="O232" s="10">
        <v>4159</v>
      </c>
      <c r="P232" s="10">
        <v>4.2</v>
      </c>
      <c r="Q232" s="10" t="s">
        <v>26</v>
      </c>
    </row>
    <row r="233" spans="1:17" x14ac:dyDescent="0.25">
      <c r="A233" s="10" t="s">
        <v>407</v>
      </c>
      <c r="B233" s="10" t="s">
        <v>408</v>
      </c>
      <c r="C233" s="10" t="s">
        <v>63</v>
      </c>
      <c r="D233" s="10" t="s">
        <v>134</v>
      </c>
      <c r="E233" s="10" t="s">
        <v>78</v>
      </c>
      <c r="F233" s="10" t="s">
        <v>22</v>
      </c>
      <c r="G233" s="10" t="s">
        <v>23</v>
      </c>
      <c r="H233" s="10" t="s">
        <v>24</v>
      </c>
      <c r="I233" s="10" t="s">
        <v>98</v>
      </c>
      <c r="J233" s="10">
        <v>5</v>
      </c>
      <c r="K233" s="10">
        <v>1863</v>
      </c>
      <c r="L233" s="10">
        <v>9315</v>
      </c>
      <c r="M233" s="10">
        <v>25</v>
      </c>
      <c r="N233" s="10">
        <v>2329</v>
      </c>
      <c r="O233" s="10">
        <v>6986</v>
      </c>
      <c r="P233" s="10">
        <v>3.3</v>
      </c>
      <c r="Q233" s="10" t="s">
        <v>26</v>
      </c>
    </row>
    <row r="234" spans="1:17" x14ac:dyDescent="0.25">
      <c r="A234" s="10" t="s">
        <v>409</v>
      </c>
      <c r="B234" s="10" t="s">
        <v>408</v>
      </c>
      <c r="C234" s="10" t="s">
        <v>40</v>
      </c>
      <c r="D234" s="10" t="s">
        <v>47</v>
      </c>
      <c r="E234" s="10" t="s">
        <v>53</v>
      </c>
      <c r="F234" s="10" t="s">
        <v>83</v>
      </c>
      <c r="G234" s="10" t="s">
        <v>32</v>
      </c>
      <c r="H234" s="10" t="s">
        <v>33</v>
      </c>
      <c r="I234" s="10" t="s">
        <v>34</v>
      </c>
      <c r="J234" s="10">
        <v>4</v>
      </c>
      <c r="K234" s="10">
        <v>915</v>
      </c>
      <c r="L234" s="10">
        <v>3660</v>
      </c>
      <c r="M234" s="10">
        <v>30</v>
      </c>
      <c r="N234" s="10">
        <v>1098</v>
      </c>
      <c r="O234" s="10">
        <v>2562</v>
      </c>
      <c r="P234" s="10">
        <v>4.5999999999999996</v>
      </c>
      <c r="Q234" s="10" t="s">
        <v>26</v>
      </c>
    </row>
    <row r="235" spans="1:17" x14ac:dyDescent="0.25">
      <c r="A235" s="10" t="s">
        <v>410</v>
      </c>
      <c r="B235" s="10" t="s">
        <v>411</v>
      </c>
      <c r="C235" s="10" t="s">
        <v>51</v>
      </c>
      <c r="D235" s="10" t="s">
        <v>52</v>
      </c>
      <c r="E235" s="10" t="s">
        <v>53</v>
      </c>
      <c r="F235" s="10" t="s">
        <v>83</v>
      </c>
      <c r="G235" s="10" t="s">
        <v>23</v>
      </c>
      <c r="H235" s="10" t="s">
        <v>24</v>
      </c>
      <c r="I235" s="10" t="s">
        <v>98</v>
      </c>
      <c r="J235" s="10">
        <v>1</v>
      </c>
      <c r="K235" s="10">
        <v>329</v>
      </c>
      <c r="L235" s="10">
        <v>329</v>
      </c>
      <c r="M235" s="10">
        <v>5</v>
      </c>
      <c r="N235" s="10">
        <v>16</v>
      </c>
      <c r="O235" s="10">
        <v>313</v>
      </c>
      <c r="P235" s="10">
        <v>5</v>
      </c>
      <c r="Q235" s="10" t="s">
        <v>26</v>
      </c>
    </row>
    <row r="236" spans="1:17" x14ac:dyDescent="0.25">
      <c r="A236" s="10" t="s">
        <v>412</v>
      </c>
      <c r="B236" s="10" t="s">
        <v>413</v>
      </c>
      <c r="C236" s="10" t="s">
        <v>63</v>
      </c>
      <c r="D236" s="10" t="s">
        <v>134</v>
      </c>
      <c r="E236" s="10" t="s">
        <v>48</v>
      </c>
      <c r="F236" s="10" t="s">
        <v>31</v>
      </c>
      <c r="G236" s="10" t="s">
        <v>23</v>
      </c>
      <c r="H236" s="10" t="s">
        <v>24</v>
      </c>
      <c r="I236" s="10" t="s">
        <v>34</v>
      </c>
      <c r="J236" s="10">
        <v>4</v>
      </c>
      <c r="K236" s="10">
        <v>1257</v>
      </c>
      <c r="L236" s="10">
        <v>5028</v>
      </c>
      <c r="M236" s="10">
        <v>30</v>
      </c>
      <c r="N236" s="10">
        <v>1508</v>
      </c>
      <c r="O236" s="10">
        <v>3520</v>
      </c>
      <c r="P236" s="10">
        <v>4.3</v>
      </c>
      <c r="Q236" s="10" t="s">
        <v>26</v>
      </c>
    </row>
    <row r="237" spans="1:17" x14ac:dyDescent="0.25">
      <c r="A237" s="10" t="s">
        <v>414</v>
      </c>
      <c r="B237" s="10" t="s">
        <v>413</v>
      </c>
      <c r="C237" s="10" t="s">
        <v>19</v>
      </c>
      <c r="D237" s="10" t="s">
        <v>121</v>
      </c>
      <c r="E237" s="10" t="s">
        <v>155</v>
      </c>
      <c r="F237" s="10" t="s">
        <v>79</v>
      </c>
      <c r="G237" s="10" t="s">
        <v>23</v>
      </c>
      <c r="H237" s="10" t="s">
        <v>33</v>
      </c>
      <c r="I237" s="10" t="s">
        <v>25</v>
      </c>
      <c r="J237" s="10">
        <v>5</v>
      </c>
      <c r="K237" s="10">
        <v>994</v>
      </c>
      <c r="L237" s="10">
        <v>4970</v>
      </c>
      <c r="M237" s="10">
        <v>0</v>
      </c>
      <c r="N237" s="10">
        <v>0</v>
      </c>
      <c r="O237" s="10">
        <v>4970</v>
      </c>
      <c r="P237" s="10">
        <v>5</v>
      </c>
      <c r="Q237" s="10" t="s">
        <v>26</v>
      </c>
    </row>
    <row r="238" spans="1:17" x14ac:dyDescent="0.25">
      <c r="A238" s="10" t="s">
        <v>415</v>
      </c>
      <c r="B238" s="10" t="s">
        <v>413</v>
      </c>
      <c r="C238" s="10" t="s">
        <v>40</v>
      </c>
      <c r="D238" s="10" t="s">
        <v>47</v>
      </c>
      <c r="E238" s="10" t="s">
        <v>37</v>
      </c>
      <c r="F238" s="10" t="s">
        <v>22</v>
      </c>
      <c r="G238" s="10" t="s">
        <v>23</v>
      </c>
      <c r="H238" s="10" t="s">
        <v>24</v>
      </c>
      <c r="I238" s="10" t="s">
        <v>98</v>
      </c>
      <c r="J238" s="10">
        <v>4</v>
      </c>
      <c r="K238" s="10">
        <v>1090</v>
      </c>
      <c r="L238" s="10">
        <v>4360</v>
      </c>
      <c r="M238" s="10">
        <v>0</v>
      </c>
      <c r="N238" s="10">
        <v>0</v>
      </c>
      <c r="O238" s="10">
        <v>4360</v>
      </c>
      <c r="P238" s="10">
        <v>3.2</v>
      </c>
      <c r="Q238" s="10" t="s">
        <v>26</v>
      </c>
    </row>
    <row r="239" spans="1:17" x14ac:dyDescent="0.25">
      <c r="A239" s="10" t="s">
        <v>416</v>
      </c>
      <c r="B239" s="10" t="s">
        <v>413</v>
      </c>
      <c r="C239" s="10" t="s">
        <v>51</v>
      </c>
      <c r="D239" s="10" t="s">
        <v>97</v>
      </c>
      <c r="E239" s="10" t="s">
        <v>21</v>
      </c>
      <c r="F239" s="10" t="s">
        <v>72</v>
      </c>
      <c r="G239" s="10" t="s">
        <v>32</v>
      </c>
      <c r="H239" s="10" t="s">
        <v>24</v>
      </c>
      <c r="I239" s="10" t="s">
        <v>25</v>
      </c>
      <c r="J239" s="10">
        <v>5</v>
      </c>
      <c r="K239" s="10">
        <v>624</v>
      </c>
      <c r="L239" s="10">
        <v>3120</v>
      </c>
      <c r="M239" s="10">
        <v>10</v>
      </c>
      <c r="N239" s="10">
        <v>312</v>
      </c>
      <c r="O239" s="10">
        <v>2808</v>
      </c>
      <c r="P239" s="10">
        <v>4.9000000000000004</v>
      </c>
      <c r="Q239" s="10" t="s">
        <v>26</v>
      </c>
    </row>
    <row r="240" spans="1:17" x14ac:dyDescent="0.25">
      <c r="A240" s="10" t="s">
        <v>417</v>
      </c>
      <c r="B240" s="10" t="s">
        <v>413</v>
      </c>
      <c r="C240" s="10" t="s">
        <v>19</v>
      </c>
      <c r="D240" s="10" t="s">
        <v>128</v>
      </c>
      <c r="E240" s="10" t="s">
        <v>78</v>
      </c>
      <c r="F240" s="10" t="s">
        <v>31</v>
      </c>
      <c r="G240" s="10" t="s">
        <v>23</v>
      </c>
      <c r="H240" s="10" t="s">
        <v>33</v>
      </c>
      <c r="I240" s="10" t="s">
        <v>98</v>
      </c>
      <c r="J240" s="10">
        <v>5</v>
      </c>
      <c r="K240" s="10">
        <v>735</v>
      </c>
      <c r="L240" s="10">
        <v>3675</v>
      </c>
      <c r="M240" s="10">
        <v>20</v>
      </c>
      <c r="N240" s="10">
        <v>735</v>
      </c>
      <c r="O240" s="10">
        <v>2940</v>
      </c>
      <c r="P240" s="10">
        <v>4.7</v>
      </c>
      <c r="Q240" s="10" t="s">
        <v>26</v>
      </c>
    </row>
    <row r="241" spans="1:17" x14ac:dyDescent="0.25">
      <c r="A241" s="10" t="s">
        <v>418</v>
      </c>
      <c r="B241" s="10" t="s">
        <v>413</v>
      </c>
      <c r="C241" s="10" t="s">
        <v>63</v>
      </c>
      <c r="D241" s="10" t="s">
        <v>64</v>
      </c>
      <c r="E241" s="10" t="s">
        <v>71</v>
      </c>
      <c r="F241" s="10" t="s">
        <v>61</v>
      </c>
      <c r="G241" s="10" t="s">
        <v>23</v>
      </c>
      <c r="H241" s="10" t="s">
        <v>104</v>
      </c>
      <c r="I241" s="10" t="s">
        <v>34</v>
      </c>
      <c r="J241" s="10">
        <v>1</v>
      </c>
      <c r="K241" s="10">
        <v>844</v>
      </c>
      <c r="L241" s="10">
        <v>844</v>
      </c>
      <c r="M241" s="10">
        <v>5</v>
      </c>
      <c r="N241" s="10">
        <v>42</v>
      </c>
      <c r="O241" s="10">
        <v>802</v>
      </c>
      <c r="P241" s="10">
        <v>4.9000000000000004</v>
      </c>
      <c r="Q241" s="10" t="s">
        <v>26</v>
      </c>
    </row>
    <row r="242" spans="1:17" x14ac:dyDescent="0.25">
      <c r="A242" s="10" t="s">
        <v>419</v>
      </c>
      <c r="B242" s="10" t="s">
        <v>420</v>
      </c>
      <c r="C242" s="10" t="s">
        <v>63</v>
      </c>
      <c r="D242" s="10" t="s">
        <v>143</v>
      </c>
      <c r="E242" s="10" t="s">
        <v>71</v>
      </c>
      <c r="F242" s="10" t="s">
        <v>31</v>
      </c>
      <c r="G242" s="10" t="s">
        <v>23</v>
      </c>
      <c r="H242" s="10" t="s">
        <v>33</v>
      </c>
      <c r="I242" s="10" t="s">
        <v>84</v>
      </c>
      <c r="J242" s="10">
        <v>4</v>
      </c>
      <c r="K242" s="10">
        <v>1539</v>
      </c>
      <c r="L242" s="10">
        <v>6156</v>
      </c>
      <c r="M242" s="10">
        <v>15</v>
      </c>
      <c r="N242" s="10">
        <v>923</v>
      </c>
      <c r="O242" s="10">
        <v>5233</v>
      </c>
      <c r="P242" s="10">
        <v>3.4</v>
      </c>
      <c r="Q242" s="10" t="s">
        <v>26</v>
      </c>
    </row>
    <row r="243" spans="1:17" x14ac:dyDescent="0.25">
      <c r="A243" s="10" t="s">
        <v>421</v>
      </c>
      <c r="B243" s="10" t="s">
        <v>420</v>
      </c>
      <c r="C243" s="10" t="s">
        <v>28</v>
      </c>
      <c r="D243" s="10" t="s">
        <v>36</v>
      </c>
      <c r="E243" s="10" t="s">
        <v>82</v>
      </c>
      <c r="F243" s="10" t="s">
        <v>65</v>
      </c>
      <c r="G243" s="10" t="s">
        <v>32</v>
      </c>
      <c r="H243" s="10" t="s">
        <v>24</v>
      </c>
      <c r="I243" s="10" t="s">
        <v>98</v>
      </c>
      <c r="J243" s="10">
        <v>2</v>
      </c>
      <c r="K243" s="10">
        <v>395</v>
      </c>
      <c r="L243" s="10">
        <v>790</v>
      </c>
      <c r="M243" s="10">
        <v>0</v>
      </c>
      <c r="N243" s="10">
        <v>0</v>
      </c>
      <c r="O243" s="10">
        <v>790</v>
      </c>
      <c r="P243" s="10">
        <v>3.5</v>
      </c>
      <c r="Q243" s="10" t="s">
        <v>26</v>
      </c>
    </row>
    <row r="244" spans="1:17" x14ac:dyDescent="0.25">
      <c r="A244" s="10" t="s">
        <v>422</v>
      </c>
      <c r="B244" s="10" t="s">
        <v>423</v>
      </c>
      <c r="C244" s="10" t="s">
        <v>51</v>
      </c>
      <c r="D244" s="10" t="s">
        <v>70</v>
      </c>
      <c r="E244" s="10" t="s">
        <v>53</v>
      </c>
      <c r="F244" s="10" t="s">
        <v>79</v>
      </c>
      <c r="G244" s="10" t="s">
        <v>23</v>
      </c>
      <c r="H244" s="10" t="s">
        <v>33</v>
      </c>
      <c r="I244" s="10" t="s">
        <v>34</v>
      </c>
      <c r="J244" s="10">
        <v>1</v>
      </c>
      <c r="K244" s="10">
        <v>304</v>
      </c>
      <c r="L244" s="10">
        <v>304</v>
      </c>
      <c r="M244" s="10">
        <v>10</v>
      </c>
      <c r="N244" s="10">
        <v>30</v>
      </c>
      <c r="O244" s="10">
        <v>274</v>
      </c>
      <c r="P244" s="10">
        <v>3.5</v>
      </c>
      <c r="Q244" s="10" t="s">
        <v>26</v>
      </c>
    </row>
    <row r="245" spans="1:17" x14ac:dyDescent="0.25">
      <c r="A245" s="10" t="s">
        <v>424</v>
      </c>
      <c r="B245" s="10" t="s">
        <v>423</v>
      </c>
      <c r="C245" s="10" t="s">
        <v>40</v>
      </c>
      <c r="D245" s="10" t="s">
        <v>68</v>
      </c>
      <c r="E245" s="10" t="s">
        <v>48</v>
      </c>
      <c r="F245" s="10" t="s">
        <v>83</v>
      </c>
      <c r="G245" s="10" t="s">
        <v>32</v>
      </c>
      <c r="H245" s="10" t="s">
        <v>24</v>
      </c>
      <c r="I245" s="10" t="s">
        <v>45</v>
      </c>
      <c r="J245" s="10">
        <v>5</v>
      </c>
      <c r="K245" s="10">
        <v>887</v>
      </c>
      <c r="L245" s="10">
        <v>4435</v>
      </c>
      <c r="M245" s="10">
        <v>10</v>
      </c>
      <c r="N245" s="10">
        <v>444</v>
      </c>
      <c r="O245" s="10">
        <v>3991</v>
      </c>
      <c r="P245" s="10">
        <v>4.8</v>
      </c>
      <c r="Q245" s="10" t="s">
        <v>26</v>
      </c>
    </row>
    <row r="246" spans="1:17" x14ac:dyDescent="0.25">
      <c r="A246" s="10" t="s">
        <v>425</v>
      </c>
      <c r="B246" s="10" t="s">
        <v>423</v>
      </c>
      <c r="C246" s="10" t="s">
        <v>51</v>
      </c>
      <c r="D246" s="10" t="s">
        <v>97</v>
      </c>
      <c r="E246" s="10" t="s">
        <v>60</v>
      </c>
      <c r="F246" s="10" t="s">
        <v>83</v>
      </c>
      <c r="G246" s="10" t="s">
        <v>44</v>
      </c>
      <c r="H246" s="10" t="s">
        <v>104</v>
      </c>
      <c r="I246" s="10" t="s">
        <v>25</v>
      </c>
      <c r="J246" s="10">
        <v>3</v>
      </c>
      <c r="K246" s="10">
        <v>469</v>
      </c>
      <c r="L246" s="10">
        <v>1407</v>
      </c>
      <c r="M246" s="10">
        <v>25</v>
      </c>
      <c r="N246" s="10">
        <v>352</v>
      </c>
      <c r="O246" s="10">
        <v>1055</v>
      </c>
      <c r="P246" s="10">
        <v>4.5</v>
      </c>
      <c r="Q246" s="10" t="s">
        <v>26</v>
      </c>
    </row>
    <row r="247" spans="1:17" x14ac:dyDescent="0.25">
      <c r="A247" s="10" t="s">
        <v>426</v>
      </c>
      <c r="B247" s="10" t="s">
        <v>423</v>
      </c>
      <c r="C247" s="10" t="s">
        <v>51</v>
      </c>
      <c r="D247" s="10" t="s">
        <v>70</v>
      </c>
      <c r="E247" s="10" t="s">
        <v>48</v>
      </c>
      <c r="F247" s="10" t="s">
        <v>79</v>
      </c>
      <c r="G247" s="10" t="s">
        <v>23</v>
      </c>
      <c r="H247" s="10" t="s">
        <v>33</v>
      </c>
      <c r="I247" s="10" t="s">
        <v>45</v>
      </c>
      <c r="J247" s="10">
        <v>4</v>
      </c>
      <c r="K247" s="10">
        <v>760</v>
      </c>
      <c r="L247" s="10">
        <v>3040</v>
      </c>
      <c r="M247" s="10">
        <v>0</v>
      </c>
      <c r="N247" s="10">
        <v>0</v>
      </c>
      <c r="O247" s="10">
        <v>3040</v>
      </c>
      <c r="P247" s="10">
        <v>4.0999999999999996</v>
      </c>
      <c r="Q247" s="10" t="s">
        <v>26</v>
      </c>
    </row>
    <row r="248" spans="1:17" x14ac:dyDescent="0.25">
      <c r="A248" s="10" t="s">
        <v>427</v>
      </c>
      <c r="B248" s="10" t="s">
        <v>428</v>
      </c>
      <c r="C248" s="10" t="s">
        <v>40</v>
      </c>
      <c r="D248" s="10" t="s">
        <v>47</v>
      </c>
      <c r="E248" s="10" t="s">
        <v>53</v>
      </c>
      <c r="F248" s="10" t="s">
        <v>22</v>
      </c>
      <c r="G248" s="10" t="s">
        <v>32</v>
      </c>
      <c r="H248" s="10" t="s">
        <v>24</v>
      </c>
      <c r="I248" s="10" t="s">
        <v>34</v>
      </c>
      <c r="J248" s="10">
        <v>1</v>
      </c>
      <c r="K248" s="10">
        <v>1485</v>
      </c>
      <c r="L248" s="10">
        <v>1485</v>
      </c>
      <c r="M248" s="10">
        <v>15</v>
      </c>
      <c r="N248" s="10">
        <v>223</v>
      </c>
      <c r="O248" s="10">
        <v>1262</v>
      </c>
      <c r="P248" s="10">
        <v>4.4000000000000004</v>
      </c>
      <c r="Q248" s="10" t="s">
        <v>26</v>
      </c>
    </row>
    <row r="249" spans="1:17" x14ac:dyDescent="0.25">
      <c r="A249" s="10" t="s">
        <v>429</v>
      </c>
      <c r="B249" s="10" t="s">
        <v>428</v>
      </c>
      <c r="C249" s="10" t="s">
        <v>19</v>
      </c>
      <c r="D249" s="10" t="s">
        <v>121</v>
      </c>
      <c r="E249" s="10" t="s">
        <v>60</v>
      </c>
      <c r="F249" s="10" t="s">
        <v>22</v>
      </c>
      <c r="G249" s="10" t="s">
        <v>23</v>
      </c>
      <c r="H249" s="10" t="s">
        <v>33</v>
      </c>
      <c r="I249" s="10" t="s">
        <v>98</v>
      </c>
      <c r="J249" s="10">
        <v>4</v>
      </c>
      <c r="K249" s="10">
        <v>616</v>
      </c>
      <c r="L249" s="10">
        <v>2464</v>
      </c>
      <c r="M249" s="10">
        <v>0</v>
      </c>
      <c r="N249" s="10">
        <v>0</v>
      </c>
      <c r="O249" s="10">
        <v>2464</v>
      </c>
      <c r="P249" s="10">
        <v>4.2</v>
      </c>
      <c r="Q249" s="10" t="s">
        <v>26</v>
      </c>
    </row>
    <row r="250" spans="1:17" x14ac:dyDescent="0.25">
      <c r="A250" s="10" t="s">
        <v>430</v>
      </c>
      <c r="B250" s="10" t="s">
        <v>431</v>
      </c>
      <c r="C250" s="10" t="s">
        <v>91</v>
      </c>
      <c r="D250" s="10" t="s">
        <v>125</v>
      </c>
      <c r="E250" s="10" t="s">
        <v>78</v>
      </c>
      <c r="F250" s="10" t="s">
        <v>79</v>
      </c>
      <c r="G250" s="10" t="s">
        <v>44</v>
      </c>
      <c r="H250" s="10" t="s">
        <v>33</v>
      </c>
      <c r="I250" s="10" t="s">
        <v>45</v>
      </c>
      <c r="J250" s="10">
        <v>1</v>
      </c>
      <c r="K250" s="10">
        <v>1261</v>
      </c>
      <c r="L250" s="10">
        <v>1261</v>
      </c>
      <c r="M250" s="10">
        <v>0</v>
      </c>
      <c r="N250" s="10">
        <v>0</v>
      </c>
      <c r="O250" s="10">
        <v>1261</v>
      </c>
      <c r="P250" s="10">
        <v>3.8</v>
      </c>
      <c r="Q250" s="10" t="s">
        <v>26</v>
      </c>
    </row>
    <row r="251" spans="1:17" x14ac:dyDescent="0.25">
      <c r="A251" s="10" t="s">
        <v>432</v>
      </c>
      <c r="B251" s="10" t="s">
        <v>431</v>
      </c>
      <c r="C251" s="10" t="s">
        <v>51</v>
      </c>
      <c r="D251" s="10" t="s">
        <v>52</v>
      </c>
      <c r="E251" s="10" t="s">
        <v>48</v>
      </c>
      <c r="F251" s="10" t="s">
        <v>83</v>
      </c>
      <c r="G251" s="10" t="s">
        <v>32</v>
      </c>
      <c r="H251" s="10" t="s">
        <v>24</v>
      </c>
      <c r="I251" s="10" t="s">
        <v>84</v>
      </c>
      <c r="J251" s="10">
        <v>5</v>
      </c>
      <c r="K251" s="10">
        <v>531</v>
      </c>
      <c r="L251" s="10">
        <v>2655</v>
      </c>
      <c r="M251" s="10">
        <v>20</v>
      </c>
      <c r="N251" s="10">
        <v>531</v>
      </c>
      <c r="O251" s="10">
        <v>2124</v>
      </c>
      <c r="P251" s="10">
        <v>4.5999999999999996</v>
      </c>
      <c r="Q251" s="10" t="s">
        <v>26</v>
      </c>
    </row>
    <row r="252" spans="1:17" x14ac:dyDescent="0.25">
      <c r="A252" s="10" t="s">
        <v>433</v>
      </c>
      <c r="B252" s="10" t="s">
        <v>431</v>
      </c>
      <c r="C252" s="10" t="s">
        <v>51</v>
      </c>
      <c r="D252" s="10" t="s">
        <v>52</v>
      </c>
      <c r="E252" s="10" t="s">
        <v>53</v>
      </c>
      <c r="F252" s="10" t="s">
        <v>65</v>
      </c>
      <c r="G252" s="10" t="s">
        <v>23</v>
      </c>
      <c r="H252" s="10" t="s">
        <v>33</v>
      </c>
      <c r="I252" s="10" t="s">
        <v>45</v>
      </c>
      <c r="J252" s="10">
        <v>4</v>
      </c>
      <c r="K252" s="10">
        <v>355</v>
      </c>
      <c r="L252" s="10">
        <v>1420</v>
      </c>
      <c r="M252" s="10">
        <v>15</v>
      </c>
      <c r="N252" s="10">
        <v>213</v>
      </c>
      <c r="O252" s="10">
        <v>1207</v>
      </c>
      <c r="P252" s="10">
        <v>4.4000000000000004</v>
      </c>
      <c r="Q252" s="10" t="s">
        <v>26</v>
      </c>
    </row>
    <row r="253" spans="1:17" x14ac:dyDescent="0.25">
      <c r="A253" s="10" t="s">
        <v>434</v>
      </c>
      <c r="B253" s="10" t="s">
        <v>435</v>
      </c>
      <c r="C253" s="10" t="s">
        <v>28</v>
      </c>
      <c r="D253" s="10" t="s">
        <v>163</v>
      </c>
      <c r="E253" s="10" t="s">
        <v>37</v>
      </c>
      <c r="F253" s="10" t="s">
        <v>31</v>
      </c>
      <c r="G253" s="10" t="s">
        <v>23</v>
      </c>
      <c r="H253" s="10" t="s">
        <v>24</v>
      </c>
      <c r="I253" s="10" t="s">
        <v>45</v>
      </c>
      <c r="J253" s="10">
        <v>4</v>
      </c>
      <c r="K253" s="10">
        <v>327</v>
      </c>
      <c r="L253" s="10">
        <v>1308</v>
      </c>
      <c r="M253" s="10">
        <v>15</v>
      </c>
      <c r="N253" s="10">
        <v>196</v>
      </c>
      <c r="O253" s="10">
        <v>1112</v>
      </c>
      <c r="P253" s="10">
        <v>3.3</v>
      </c>
      <c r="Q253" s="10" t="s">
        <v>26</v>
      </c>
    </row>
    <row r="254" spans="1:17" x14ac:dyDescent="0.25">
      <c r="A254" s="10" t="s">
        <v>436</v>
      </c>
      <c r="B254" s="10" t="s">
        <v>435</v>
      </c>
      <c r="C254" s="10" t="s">
        <v>91</v>
      </c>
      <c r="D254" s="10" t="s">
        <v>92</v>
      </c>
      <c r="E254" s="10" t="s">
        <v>48</v>
      </c>
      <c r="F254" s="10" t="s">
        <v>83</v>
      </c>
      <c r="G254" s="10" t="s">
        <v>23</v>
      </c>
      <c r="H254" s="10" t="s">
        <v>24</v>
      </c>
      <c r="I254" s="10" t="s">
        <v>84</v>
      </c>
      <c r="J254" s="10">
        <v>1</v>
      </c>
      <c r="K254" s="10">
        <v>580</v>
      </c>
      <c r="L254" s="10">
        <v>580</v>
      </c>
      <c r="M254" s="10">
        <v>25</v>
      </c>
      <c r="N254" s="10">
        <v>145</v>
      </c>
      <c r="O254" s="10">
        <v>435</v>
      </c>
      <c r="P254" s="10">
        <v>4</v>
      </c>
      <c r="Q254" s="10" t="s">
        <v>26</v>
      </c>
    </row>
    <row r="255" spans="1:17" x14ac:dyDescent="0.25">
      <c r="A255" s="10" t="s">
        <v>437</v>
      </c>
      <c r="B255" s="10" t="s">
        <v>435</v>
      </c>
      <c r="C255" s="10" t="s">
        <v>40</v>
      </c>
      <c r="D255" s="10" t="s">
        <v>57</v>
      </c>
      <c r="E255" s="10" t="s">
        <v>60</v>
      </c>
      <c r="F255" s="10" t="s">
        <v>83</v>
      </c>
      <c r="G255" s="10" t="s">
        <v>32</v>
      </c>
      <c r="H255" s="10" t="s">
        <v>33</v>
      </c>
      <c r="I255" s="10" t="s">
        <v>84</v>
      </c>
      <c r="J255" s="10">
        <v>2</v>
      </c>
      <c r="K255" s="10">
        <v>931</v>
      </c>
      <c r="L255" s="10">
        <v>1862</v>
      </c>
      <c r="M255" s="10">
        <v>5</v>
      </c>
      <c r="N255" s="10">
        <v>93</v>
      </c>
      <c r="O255" s="10">
        <v>1769</v>
      </c>
      <c r="P255" s="10">
        <v>3.3</v>
      </c>
      <c r="Q255" s="10" t="s">
        <v>26</v>
      </c>
    </row>
    <row r="256" spans="1:17" x14ac:dyDescent="0.25">
      <c r="A256" s="10" t="s">
        <v>438</v>
      </c>
      <c r="B256" s="10" t="s">
        <v>439</v>
      </c>
      <c r="C256" s="10" t="s">
        <v>51</v>
      </c>
      <c r="D256" s="10" t="s">
        <v>70</v>
      </c>
      <c r="E256" s="10" t="s">
        <v>48</v>
      </c>
      <c r="F256" s="10" t="s">
        <v>43</v>
      </c>
      <c r="G256" s="10" t="s">
        <v>23</v>
      </c>
      <c r="H256" s="10" t="s">
        <v>24</v>
      </c>
      <c r="I256" s="10" t="s">
        <v>45</v>
      </c>
      <c r="J256" s="10">
        <v>3</v>
      </c>
      <c r="K256" s="10">
        <v>569</v>
      </c>
      <c r="L256" s="10">
        <v>1707</v>
      </c>
      <c r="M256" s="10">
        <v>30</v>
      </c>
      <c r="N256" s="10">
        <v>512</v>
      </c>
      <c r="O256" s="10">
        <v>1195</v>
      </c>
      <c r="P256" s="10">
        <v>3.5</v>
      </c>
      <c r="Q256" s="10" t="s">
        <v>26</v>
      </c>
    </row>
    <row r="257" spans="1:17" x14ac:dyDescent="0.25">
      <c r="A257" s="10" t="s">
        <v>440</v>
      </c>
      <c r="B257" s="10" t="s">
        <v>441</v>
      </c>
      <c r="C257" s="10" t="s">
        <v>63</v>
      </c>
      <c r="D257" s="10" t="s">
        <v>143</v>
      </c>
      <c r="E257" s="10" t="s">
        <v>101</v>
      </c>
      <c r="F257" s="10" t="s">
        <v>130</v>
      </c>
      <c r="G257" s="10" t="s">
        <v>23</v>
      </c>
      <c r="H257" s="10" t="s">
        <v>24</v>
      </c>
      <c r="I257" s="10" t="s">
        <v>25</v>
      </c>
      <c r="J257" s="10">
        <v>5</v>
      </c>
      <c r="K257" s="10">
        <v>1804</v>
      </c>
      <c r="L257" s="10">
        <v>9020</v>
      </c>
      <c r="M257" s="10">
        <v>5</v>
      </c>
      <c r="N257" s="10">
        <v>451</v>
      </c>
      <c r="O257" s="10">
        <v>8569</v>
      </c>
      <c r="P257" s="10">
        <v>4.9000000000000004</v>
      </c>
      <c r="Q257" s="10" t="s">
        <v>26</v>
      </c>
    </row>
    <row r="258" spans="1:17" x14ac:dyDescent="0.25">
      <c r="A258" s="10" t="s">
        <v>442</v>
      </c>
      <c r="B258" s="10" t="s">
        <v>441</v>
      </c>
      <c r="C258" s="10" t="s">
        <v>91</v>
      </c>
      <c r="D258" s="10" t="s">
        <v>92</v>
      </c>
      <c r="E258" s="10" t="s">
        <v>42</v>
      </c>
      <c r="F258" s="10" t="s">
        <v>83</v>
      </c>
      <c r="G258" s="10" t="s">
        <v>32</v>
      </c>
      <c r="H258" s="10" t="s">
        <v>24</v>
      </c>
      <c r="I258" s="10" t="s">
        <v>84</v>
      </c>
      <c r="J258" s="10">
        <v>2</v>
      </c>
      <c r="K258" s="10">
        <v>2590</v>
      </c>
      <c r="L258" s="10">
        <v>5180</v>
      </c>
      <c r="M258" s="10">
        <v>10</v>
      </c>
      <c r="N258" s="10">
        <v>518</v>
      </c>
      <c r="O258" s="10">
        <v>4662</v>
      </c>
      <c r="P258" s="10">
        <v>3.5</v>
      </c>
      <c r="Q258" s="10" t="s">
        <v>26</v>
      </c>
    </row>
    <row r="259" spans="1:17" x14ac:dyDescent="0.25">
      <c r="A259" s="10" t="s">
        <v>443</v>
      </c>
      <c r="B259" s="10" t="s">
        <v>441</v>
      </c>
      <c r="C259" s="10" t="s">
        <v>91</v>
      </c>
      <c r="D259" s="10" t="s">
        <v>125</v>
      </c>
      <c r="E259" s="10" t="s">
        <v>60</v>
      </c>
      <c r="F259" s="10" t="s">
        <v>83</v>
      </c>
      <c r="G259" s="10" t="s">
        <v>32</v>
      </c>
      <c r="H259" s="10" t="s">
        <v>104</v>
      </c>
      <c r="I259" s="10" t="s">
        <v>34</v>
      </c>
      <c r="J259" s="10">
        <v>3</v>
      </c>
      <c r="K259" s="10">
        <v>1392</v>
      </c>
      <c r="L259" s="10">
        <v>4176</v>
      </c>
      <c r="M259" s="10">
        <v>5</v>
      </c>
      <c r="N259" s="10">
        <v>209</v>
      </c>
      <c r="O259" s="10">
        <v>3967</v>
      </c>
      <c r="P259" s="10">
        <v>3.5</v>
      </c>
      <c r="Q259" s="10" t="s">
        <v>26</v>
      </c>
    </row>
    <row r="260" spans="1:17" x14ac:dyDescent="0.25">
      <c r="A260" s="10" t="s">
        <v>444</v>
      </c>
      <c r="B260" s="10" t="s">
        <v>441</v>
      </c>
      <c r="C260" s="10" t="s">
        <v>40</v>
      </c>
      <c r="D260" s="10" t="s">
        <v>57</v>
      </c>
      <c r="E260" s="10" t="s">
        <v>101</v>
      </c>
      <c r="F260" s="10" t="s">
        <v>79</v>
      </c>
      <c r="G260" s="10" t="s">
        <v>32</v>
      </c>
      <c r="H260" s="10" t="s">
        <v>104</v>
      </c>
      <c r="I260" s="10" t="s">
        <v>98</v>
      </c>
      <c r="J260" s="10">
        <v>5</v>
      </c>
      <c r="K260" s="10">
        <v>580</v>
      </c>
      <c r="L260" s="10">
        <v>2900</v>
      </c>
      <c r="M260" s="10">
        <v>10</v>
      </c>
      <c r="N260" s="10">
        <v>290</v>
      </c>
      <c r="O260" s="10">
        <v>2610</v>
      </c>
      <c r="P260" s="10">
        <v>3.7</v>
      </c>
      <c r="Q260" s="10" t="s">
        <v>26</v>
      </c>
    </row>
    <row r="261" spans="1:17" x14ac:dyDescent="0.25">
      <c r="A261" s="10" t="s">
        <v>445</v>
      </c>
      <c r="B261" s="10" t="s">
        <v>446</v>
      </c>
      <c r="C261" s="10" t="s">
        <v>63</v>
      </c>
      <c r="D261" s="10" t="s">
        <v>134</v>
      </c>
      <c r="E261" s="10" t="s">
        <v>71</v>
      </c>
      <c r="F261" s="10" t="s">
        <v>61</v>
      </c>
      <c r="G261" s="10" t="s">
        <v>23</v>
      </c>
      <c r="H261" s="10" t="s">
        <v>104</v>
      </c>
      <c r="I261" s="10" t="s">
        <v>45</v>
      </c>
      <c r="J261" s="10">
        <v>3</v>
      </c>
      <c r="K261" s="10">
        <v>1031</v>
      </c>
      <c r="L261" s="10">
        <v>3093</v>
      </c>
      <c r="M261" s="10">
        <v>30</v>
      </c>
      <c r="N261" s="10">
        <v>928</v>
      </c>
      <c r="O261" s="10">
        <v>2165</v>
      </c>
      <c r="P261" s="10">
        <v>4.5999999999999996</v>
      </c>
      <c r="Q261" s="10" t="s">
        <v>26</v>
      </c>
    </row>
    <row r="262" spans="1:17" x14ac:dyDescent="0.25">
      <c r="A262" s="10" t="s">
        <v>447</v>
      </c>
      <c r="B262" s="10" t="s">
        <v>446</v>
      </c>
      <c r="C262" s="10" t="s">
        <v>40</v>
      </c>
      <c r="D262" s="10" t="s">
        <v>57</v>
      </c>
      <c r="E262" s="10" t="s">
        <v>78</v>
      </c>
      <c r="F262" s="10" t="s">
        <v>83</v>
      </c>
      <c r="G262" s="10" t="s">
        <v>32</v>
      </c>
      <c r="H262" s="10" t="s">
        <v>33</v>
      </c>
      <c r="I262" s="10" t="s">
        <v>34</v>
      </c>
      <c r="J262" s="10">
        <v>5</v>
      </c>
      <c r="K262" s="10">
        <v>1058</v>
      </c>
      <c r="L262" s="10">
        <v>5290</v>
      </c>
      <c r="M262" s="10">
        <v>5</v>
      </c>
      <c r="N262" s="10">
        <v>264</v>
      </c>
      <c r="O262" s="10">
        <v>5026</v>
      </c>
      <c r="P262" s="10">
        <v>4.3</v>
      </c>
      <c r="Q262" s="10" t="s">
        <v>26</v>
      </c>
    </row>
    <row r="263" spans="1:17" x14ac:dyDescent="0.25">
      <c r="A263" s="10" t="s">
        <v>448</v>
      </c>
      <c r="B263" s="10" t="s">
        <v>446</v>
      </c>
      <c r="C263" s="10" t="s">
        <v>28</v>
      </c>
      <c r="D263" s="10" t="s">
        <v>163</v>
      </c>
      <c r="E263" s="10" t="s">
        <v>82</v>
      </c>
      <c r="F263" s="10" t="s">
        <v>72</v>
      </c>
      <c r="G263" s="10" t="s">
        <v>23</v>
      </c>
      <c r="H263" s="10" t="s">
        <v>24</v>
      </c>
      <c r="I263" s="10" t="s">
        <v>84</v>
      </c>
      <c r="J263" s="10">
        <v>4</v>
      </c>
      <c r="K263" s="10">
        <v>485</v>
      </c>
      <c r="L263" s="10">
        <v>1940</v>
      </c>
      <c r="M263" s="10">
        <v>5</v>
      </c>
      <c r="N263" s="10">
        <v>97</v>
      </c>
      <c r="O263" s="10">
        <v>1843</v>
      </c>
      <c r="P263" s="10">
        <v>3.6</v>
      </c>
      <c r="Q263" s="10" t="s">
        <v>26</v>
      </c>
    </row>
    <row r="264" spans="1:17" x14ac:dyDescent="0.25">
      <c r="A264" s="10" t="s">
        <v>449</v>
      </c>
      <c r="B264" s="10" t="s">
        <v>446</v>
      </c>
      <c r="C264" s="10" t="s">
        <v>63</v>
      </c>
      <c r="D264" s="10" t="s">
        <v>143</v>
      </c>
      <c r="E264" s="10" t="s">
        <v>60</v>
      </c>
      <c r="F264" s="10" t="s">
        <v>72</v>
      </c>
      <c r="G264" s="10" t="s">
        <v>23</v>
      </c>
      <c r="H264" s="10" t="s">
        <v>33</v>
      </c>
      <c r="I264" s="10" t="s">
        <v>45</v>
      </c>
      <c r="J264" s="10">
        <v>2</v>
      </c>
      <c r="K264" s="10">
        <v>513</v>
      </c>
      <c r="L264" s="10">
        <v>1026</v>
      </c>
      <c r="M264" s="10">
        <v>0</v>
      </c>
      <c r="N264" s="10">
        <v>0</v>
      </c>
      <c r="O264" s="10">
        <v>1026</v>
      </c>
      <c r="P264" s="10">
        <v>4</v>
      </c>
      <c r="Q264" s="10" t="s">
        <v>26</v>
      </c>
    </row>
    <row r="265" spans="1:17" x14ac:dyDescent="0.25">
      <c r="A265" s="10" t="s">
        <v>450</v>
      </c>
      <c r="B265" s="10" t="s">
        <v>446</v>
      </c>
      <c r="C265" s="10" t="s">
        <v>40</v>
      </c>
      <c r="D265" s="10" t="s">
        <v>68</v>
      </c>
      <c r="E265" s="10" t="s">
        <v>71</v>
      </c>
      <c r="F265" s="10" t="s">
        <v>72</v>
      </c>
      <c r="G265" s="10" t="s">
        <v>32</v>
      </c>
      <c r="H265" s="10" t="s">
        <v>33</v>
      </c>
      <c r="I265" s="10" t="s">
        <v>25</v>
      </c>
      <c r="J265" s="10">
        <v>4</v>
      </c>
      <c r="K265" s="10">
        <v>994</v>
      </c>
      <c r="L265" s="10">
        <v>3976</v>
      </c>
      <c r="M265" s="10">
        <v>0</v>
      </c>
      <c r="N265" s="10">
        <v>0</v>
      </c>
      <c r="O265" s="10">
        <v>3976</v>
      </c>
      <c r="P265" s="10">
        <v>5</v>
      </c>
      <c r="Q265" s="10" t="s">
        <v>26</v>
      </c>
    </row>
    <row r="266" spans="1:17" x14ac:dyDescent="0.25">
      <c r="A266" s="10" t="s">
        <v>451</v>
      </c>
      <c r="B266" s="10" t="s">
        <v>446</v>
      </c>
      <c r="C266" s="10" t="s">
        <v>28</v>
      </c>
      <c r="D266" s="10" t="s">
        <v>29</v>
      </c>
      <c r="E266" s="10" t="s">
        <v>48</v>
      </c>
      <c r="F266" s="10" t="s">
        <v>22</v>
      </c>
      <c r="G266" s="10" t="s">
        <v>32</v>
      </c>
      <c r="H266" s="10" t="s">
        <v>33</v>
      </c>
      <c r="I266" s="10" t="s">
        <v>34</v>
      </c>
      <c r="J266" s="10">
        <v>1</v>
      </c>
      <c r="K266" s="10">
        <v>1218</v>
      </c>
      <c r="L266" s="10">
        <v>1218</v>
      </c>
      <c r="M266" s="10">
        <v>15</v>
      </c>
      <c r="N266" s="10">
        <v>183</v>
      </c>
      <c r="O266" s="10">
        <v>1035</v>
      </c>
      <c r="P266" s="10">
        <v>3.9</v>
      </c>
      <c r="Q266" s="10" t="s">
        <v>26</v>
      </c>
    </row>
    <row r="267" spans="1:17" x14ac:dyDescent="0.25">
      <c r="A267" s="10" t="s">
        <v>452</v>
      </c>
      <c r="B267" s="10" t="s">
        <v>453</v>
      </c>
      <c r="C267" s="10" t="s">
        <v>91</v>
      </c>
      <c r="D267" s="10" t="s">
        <v>92</v>
      </c>
      <c r="E267" s="10" t="s">
        <v>42</v>
      </c>
      <c r="F267" s="10" t="s">
        <v>61</v>
      </c>
      <c r="G267" s="10" t="s">
        <v>32</v>
      </c>
      <c r="H267" s="10" t="s">
        <v>104</v>
      </c>
      <c r="I267" s="10" t="s">
        <v>34</v>
      </c>
      <c r="J267" s="10">
        <v>4</v>
      </c>
      <c r="K267" s="10">
        <v>1012</v>
      </c>
      <c r="L267" s="10">
        <v>4048</v>
      </c>
      <c r="M267" s="10">
        <v>5</v>
      </c>
      <c r="N267" s="10">
        <v>202</v>
      </c>
      <c r="O267" s="10">
        <v>3846</v>
      </c>
      <c r="P267" s="10">
        <v>4.7</v>
      </c>
      <c r="Q267" s="10" t="s">
        <v>26</v>
      </c>
    </row>
    <row r="268" spans="1:17" x14ac:dyDescent="0.25">
      <c r="A268" s="10" t="s">
        <v>454</v>
      </c>
      <c r="B268" s="10" t="s">
        <v>453</v>
      </c>
      <c r="C268" s="10" t="s">
        <v>19</v>
      </c>
      <c r="D268" s="10" t="s">
        <v>128</v>
      </c>
      <c r="E268" s="10" t="s">
        <v>155</v>
      </c>
      <c r="F268" s="10" t="s">
        <v>79</v>
      </c>
      <c r="G268" s="10" t="s">
        <v>23</v>
      </c>
      <c r="H268" s="10" t="s">
        <v>104</v>
      </c>
      <c r="I268" s="10" t="s">
        <v>45</v>
      </c>
      <c r="J268" s="10">
        <v>1</v>
      </c>
      <c r="K268" s="10">
        <v>419</v>
      </c>
      <c r="L268" s="10">
        <v>419</v>
      </c>
      <c r="M268" s="10">
        <v>15</v>
      </c>
      <c r="N268" s="10">
        <v>63</v>
      </c>
      <c r="O268" s="10">
        <v>356</v>
      </c>
      <c r="P268" s="10">
        <v>4.5</v>
      </c>
      <c r="Q268" s="10" t="s">
        <v>26</v>
      </c>
    </row>
    <row r="269" spans="1:17" x14ac:dyDescent="0.25">
      <c r="A269" s="10" t="s">
        <v>455</v>
      </c>
      <c r="B269" s="10" t="s">
        <v>453</v>
      </c>
      <c r="C269" s="10" t="s">
        <v>91</v>
      </c>
      <c r="D269" s="10" t="s">
        <v>92</v>
      </c>
      <c r="E269" s="10" t="s">
        <v>48</v>
      </c>
      <c r="F269" s="10" t="s">
        <v>79</v>
      </c>
      <c r="G269" s="10" t="s">
        <v>23</v>
      </c>
      <c r="H269" s="10" t="s">
        <v>24</v>
      </c>
      <c r="I269" s="10" t="s">
        <v>45</v>
      </c>
      <c r="J269" s="10">
        <v>4</v>
      </c>
      <c r="K269" s="10">
        <v>664</v>
      </c>
      <c r="L269" s="10">
        <v>2656</v>
      </c>
      <c r="M269" s="10">
        <v>5</v>
      </c>
      <c r="N269" s="10">
        <v>133</v>
      </c>
      <c r="O269" s="10">
        <v>2523</v>
      </c>
      <c r="P269" s="10">
        <v>4.7</v>
      </c>
      <c r="Q269" s="10" t="s">
        <v>26</v>
      </c>
    </row>
    <row r="270" spans="1:17" x14ac:dyDescent="0.25">
      <c r="A270" s="10" t="s">
        <v>456</v>
      </c>
      <c r="B270" s="10" t="s">
        <v>453</v>
      </c>
      <c r="C270" s="10" t="s">
        <v>91</v>
      </c>
      <c r="D270" s="10" t="s">
        <v>92</v>
      </c>
      <c r="E270" s="10" t="s">
        <v>37</v>
      </c>
      <c r="F270" s="10" t="s">
        <v>31</v>
      </c>
      <c r="G270" s="10" t="s">
        <v>23</v>
      </c>
      <c r="H270" s="10" t="s">
        <v>33</v>
      </c>
      <c r="I270" s="10" t="s">
        <v>34</v>
      </c>
      <c r="J270" s="10">
        <v>1</v>
      </c>
      <c r="K270" s="10">
        <v>2244</v>
      </c>
      <c r="L270" s="10">
        <v>2244</v>
      </c>
      <c r="M270" s="10">
        <v>25</v>
      </c>
      <c r="N270" s="10">
        <v>561</v>
      </c>
      <c r="O270" s="10">
        <v>1683</v>
      </c>
      <c r="P270" s="10">
        <v>4.8</v>
      </c>
      <c r="Q270" s="10" t="s">
        <v>26</v>
      </c>
    </row>
    <row r="271" spans="1:17" x14ac:dyDescent="0.25">
      <c r="A271" s="10" t="s">
        <v>457</v>
      </c>
      <c r="B271" s="10" t="s">
        <v>453</v>
      </c>
      <c r="C271" s="10" t="s">
        <v>51</v>
      </c>
      <c r="D271" s="10" t="s">
        <v>70</v>
      </c>
      <c r="E271" s="10" t="s">
        <v>30</v>
      </c>
      <c r="F271" s="10" t="s">
        <v>65</v>
      </c>
      <c r="G271" s="10" t="s">
        <v>23</v>
      </c>
      <c r="H271" s="10" t="s">
        <v>33</v>
      </c>
      <c r="I271" s="10" t="s">
        <v>84</v>
      </c>
      <c r="J271" s="10">
        <v>3</v>
      </c>
      <c r="K271" s="10">
        <v>367</v>
      </c>
      <c r="L271" s="10">
        <v>1101</v>
      </c>
      <c r="M271" s="10">
        <v>20</v>
      </c>
      <c r="N271" s="10">
        <v>220</v>
      </c>
      <c r="O271" s="10">
        <v>881</v>
      </c>
      <c r="P271" s="10">
        <v>3.3</v>
      </c>
      <c r="Q271" s="10" t="s">
        <v>26</v>
      </c>
    </row>
    <row r="272" spans="1:17" x14ac:dyDescent="0.25">
      <c r="A272" s="10" t="s">
        <v>458</v>
      </c>
      <c r="B272" s="10" t="s">
        <v>453</v>
      </c>
      <c r="C272" s="10" t="s">
        <v>63</v>
      </c>
      <c r="D272" s="10" t="s">
        <v>143</v>
      </c>
      <c r="E272" s="10" t="s">
        <v>101</v>
      </c>
      <c r="F272" s="10" t="s">
        <v>119</v>
      </c>
      <c r="G272" s="10" t="s">
        <v>32</v>
      </c>
      <c r="H272" s="10" t="s">
        <v>24</v>
      </c>
      <c r="I272" s="10" t="s">
        <v>25</v>
      </c>
      <c r="J272" s="10">
        <v>3</v>
      </c>
      <c r="K272" s="10">
        <v>2232</v>
      </c>
      <c r="L272" s="10">
        <v>6696</v>
      </c>
      <c r="M272" s="10">
        <v>30</v>
      </c>
      <c r="N272" s="10">
        <v>2009</v>
      </c>
      <c r="O272" s="10">
        <v>4687</v>
      </c>
      <c r="P272" s="10">
        <v>3.4</v>
      </c>
      <c r="Q272" s="10" t="s">
        <v>26</v>
      </c>
    </row>
    <row r="273" spans="1:17" x14ac:dyDescent="0.25">
      <c r="A273" s="10" t="s">
        <v>459</v>
      </c>
      <c r="B273" s="10" t="s">
        <v>453</v>
      </c>
      <c r="C273" s="10" t="s">
        <v>40</v>
      </c>
      <c r="D273" s="10" t="s">
        <v>113</v>
      </c>
      <c r="E273" s="10" t="s">
        <v>42</v>
      </c>
      <c r="F273" s="10" t="s">
        <v>79</v>
      </c>
      <c r="G273" s="10" t="s">
        <v>32</v>
      </c>
      <c r="H273" s="10" t="s">
        <v>33</v>
      </c>
      <c r="I273" s="10" t="s">
        <v>98</v>
      </c>
      <c r="J273" s="10">
        <v>4</v>
      </c>
      <c r="K273" s="10">
        <v>1438</v>
      </c>
      <c r="L273" s="10">
        <v>5752</v>
      </c>
      <c r="M273" s="10">
        <v>10</v>
      </c>
      <c r="N273" s="10">
        <v>575</v>
      </c>
      <c r="O273" s="10">
        <v>5177</v>
      </c>
      <c r="P273" s="10">
        <v>3.3</v>
      </c>
      <c r="Q273" s="10" t="s">
        <v>26</v>
      </c>
    </row>
    <row r="274" spans="1:17" x14ac:dyDescent="0.25">
      <c r="A274" s="10" t="s">
        <v>460</v>
      </c>
      <c r="B274" s="10" t="s">
        <v>461</v>
      </c>
      <c r="C274" s="10" t="s">
        <v>91</v>
      </c>
      <c r="D274" s="10" t="s">
        <v>92</v>
      </c>
      <c r="E274" s="10" t="s">
        <v>21</v>
      </c>
      <c r="F274" s="10" t="s">
        <v>83</v>
      </c>
      <c r="G274" s="10" t="s">
        <v>32</v>
      </c>
      <c r="H274" s="10" t="s">
        <v>24</v>
      </c>
      <c r="I274" s="10" t="s">
        <v>34</v>
      </c>
      <c r="J274" s="10">
        <v>4</v>
      </c>
      <c r="K274" s="10">
        <v>1993</v>
      </c>
      <c r="L274" s="10">
        <v>7972</v>
      </c>
      <c r="M274" s="10">
        <v>30</v>
      </c>
      <c r="N274" s="10">
        <v>2392</v>
      </c>
      <c r="O274" s="10">
        <v>5580</v>
      </c>
      <c r="P274" s="10">
        <v>4.4000000000000004</v>
      </c>
      <c r="Q274" s="10" t="s">
        <v>26</v>
      </c>
    </row>
    <row r="275" spans="1:17" x14ac:dyDescent="0.25">
      <c r="A275" s="10" t="s">
        <v>462</v>
      </c>
      <c r="B275" s="10" t="s">
        <v>461</v>
      </c>
      <c r="C275" s="10" t="s">
        <v>40</v>
      </c>
      <c r="D275" s="10" t="s">
        <v>68</v>
      </c>
      <c r="E275" s="10" t="s">
        <v>21</v>
      </c>
      <c r="F275" s="10" t="s">
        <v>79</v>
      </c>
      <c r="G275" s="10" t="s">
        <v>44</v>
      </c>
      <c r="H275" s="10" t="s">
        <v>24</v>
      </c>
      <c r="I275" s="10" t="s">
        <v>25</v>
      </c>
      <c r="J275" s="10">
        <v>3</v>
      </c>
      <c r="K275" s="10">
        <v>757</v>
      </c>
      <c r="L275" s="10">
        <v>2271</v>
      </c>
      <c r="M275" s="10">
        <v>30</v>
      </c>
      <c r="N275" s="10">
        <v>681</v>
      </c>
      <c r="O275" s="10">
        <v>1590</v>
      </c>
      <c r="P275" s="10">
        <v>4.9000000000000004</v>
      </c>
      <c r="Q275" s="10" t="s">
        <v>26</v>
      </c>
    </row>
    <row r="276" spans="1:17" x14ac:dyDescent="0.25">
      <c r="A276" s="10" t="s">
        <v>463</v>
      </c>
      <c r="B276" s="10" t="s">
        <v>464</v>
      </c>
      <c r="C276" s="10" t="s">
        <v>28</v>
      </c>
      <c r="D276" s="10" t="s">
        <v>163</v>
      </c>
      <c r="E276" s="10" t="s">
        <v>37</v>
      </c>
      <c r="F276" s="10" t="s">
        <v>65</v>
      </c>
      <c r="G276" s="10" t="s">
        <v>23</v>
      </c>
      <c r="H276" s="10" t="s">
        <v>33</v>
      </c>
      <c r="I276" s="10" t="s">
        <v>45</v>
      </c>
      <c r="J276" s="10">
        <v>4</v>
      </c>
      <c r="K276" s="10">
        <v>911</v>
      </c>
      <c r="L276" s="10">
        <v>3644</v>
      </c>
      <c r="M276" s="10">
        <v>0</v>
      </c>
      <c r="N276" s="10">
        <v>0</v>
      </c>
      <c r="O276" s="10">
        <v>3644</v>
      </c>
      <c r="P276" s="10">
        <v>3.6</v>
      </c>
      <c r="Q276" s="10" t="s">
        <v>26</v>
      </c>
    </row>
    <row r="277" spans="1:17" x14ac:dyDescent="0.25">
      <c r="A277" s="10" t="s">
        <v>465</v>
      </c>
      <c r="B277" s="10" t="s">
        <v>466</v>
      </c>
      <c r="C277" s="10" t="s">
        <v>63</v>
      </c>
      <c r="D277" s="10" t="s">
        <v>143</v>
      </c>
      <c r="E277" s="10" t="s">
        <v>48</v>
      </c>
      <c r="F277" s="10" t="s">
        <v>83</v>
      </c>
      <c r="G277" s="10" t="s">
        <v>23</v>
      </c>
      <c r="H277" s="10" t="s">
        <v>104</v>
      </c>
      <c r="I277" s="10" t="s">
        <v>34</v>
      </c>
      <c r="J277" s="10">
        <v>1</v>
      </c>
      <c r="K277" s="10">
        <v>1864</v>
      </c>
      <c r="L277" s="10">
        <v>1864</v>
      </c>
      <c r="M277" s="10">
        <v>25</v>
      </c>
      <c r="N277" s="10">
        <v>466</v>
      </c>
      <c r="O277" s="10">
        <v>1398</v>
      </c>
      <c r="P277" s="10">
        <v>3.5</v>
      </c>
      <c r="Q277" s="10" t="s">
        <v>26</v>
      </c>
    </row>
    <row r="278" spans="1:17" x14ac:dyDescent="0.25">
      <c r="A278" s="10" t="s">
        <v>467</v>
      </c>
      <c r="B278" s="10" t="s">
        <v>466</v>
      </c>
      <c r="C278" s="10" t="s">
        <v>63</v>
      </c>
      <c r="D278" s="10" t="s">
        <v>134</v>
      </c>
      <c r="E278" s="10" t="s">
        <v>60</v>
      </c>
      <c r="F278" s="10" t="s">
        <v>79</v>
      </c>
      <c r="G278" s="10" t="s">
        <v>32</v>
      </c>
      <c r="H278" s="10" t="s">
        <v>33</v>
      </c>
      <c r="I278" s="10" t="s">
        <v>84</v>
      </c>
      <c r="J278" s="10">
        <v>1</v>
      </c>
      <c r="K278" s="10">
        <v>644</v>
      </c>
      <c r="L278" s="10">
        <v>644</v>
      </c>
      <c r="M278" s="10">
        <v>0</v>
      </c>
      <c r="N278" s="10">
        <v>0</v>
      </c>
      <c r="O278" s="10">
        <v>644</v>
      </c>
      <c r="P278" s="10">
        <v>4.4000000000000004</v>
      </c>
      <c r="Q278" s="10" t="s">
        <v>26</v>
      </c>
    </row>
    <row r="279" spans="1:17" x14ac:dyDescent="0.25">
      <c r="A279" s="10" t="s">
        <v>468</v>
      </c>
      <c r="B279" s="10" t="s">
        <v>469</v>
      </c>
      <c r="C279" s="10" t="s">
        <v>28</v>
      </c>
      <c r="D279" s="10" t="s">
        <v>77</v>
      </c>
      <c r="E279" s="10" t="s">
        <v>101</v>
      </c>
      <c r="F279" s="10" t="s">
        <v>130</v>
      </c>
      <c r="G279" s="10" t="s">
        <v>23</v>
      </c>
      <c r="H279" s="10" t="s">
        <v>24</v>
      </c>
      <c r="I279" s="10" t="s">
        <v>34</v>
      </c>
      <c r="J279" s="10">
        <v>3</v>
      </c>
      <c r="K279" s="10">
        <v>531</v>
      </c>
      <c r="L279" s="10">
        <v>1593</v>
      </c>
      <c r="M279" s="10">
        <v>25</v>
      </c>
      <c r="N279" s="10">
        <v>398</v>
      </c>
      <c r="O279" s="10">
        <v>1195</v>
      </c>
      <c r="P279" s="10">
        <v>4.2</v>
      </c>
      <c r="Q279" s="10" t="s">
        <v>26</v>
      </c>
    </row>
    <row r="280" spans="1:17" x14ac:dyDescent="0.25">
      <c r="A280" s="10" t="s">
        <v>470</v>
      </c>
      <c r="B280" s="10" t="s">
        <v>469</v>
      </c>
      <c r="C280" s="10" t="s">
        <v>19</v>
      </c>
      <c r="D280" s="10" t="s">
        <v>128</v>
      </c>
      <c r="E280" s="10" t="s">
        <v>30</v>
      </c>
      <c r="F280" s="10" t="s">
        <v>72</v>
      </c>
      <c r="G280" s="10" t="s">
        <v>23</v>
      </c>
      <c r="H280" s="10" t="s">
        <v>33</v>
      </c>
      <c r="I280" s="10" t="s">
        <v>45</v>
      </c>
      <c r="J280" s="10">
        <v>5</v>
      </c>
      <c r="K280" s="10">
        <v>786</v>
      </c>
      <c r="L280" s="10">
        <v>3930</v>
      </c>
      <c r="M280" s="10">
        <v>5</v>
      </c>
      <c r="N280" s="10">
        <v>196</v>
      </c>
      <c r="O280" s="10">
        <v>3734</v>
      </c>
      <c r="P280" s="10">
        <v>4.8</v>
      </c>
      <c r="Q280" s="10" t="s">
        <v>75</v>
      </c>
    </row>
    <row r="281" spans="1:17" x14ac:dyDescent="0.25">
      <c r="A281" s="10" t="s">
        <v>471</v>
      </c>
      <c r="B281" s="10" t="s">
        <v>469</v>
      </c>
      <c r="C281" s="10" t="s">
        <v>40</v>
      </c>
      <c r="D281" s="10" t="s">
        <v>57</v>
      </c>
      <c r="E281" s="10" t="s">
        <v>42</v>
      </c>
      <c r="F281" s="10" t="s">
        <v>119</v>
      </c>
      <c r="G281" s="10" t="s">
        <v>44</v>
      </c>
      <c r="H281" s="10" t="s">
        <v>24</v>
      </c>
      <c r="I281" s="10" t="s">
        <v>25</v>
      </c>
      <c r="J281" s="10">
        <v>4</v>
      </c>
      <c r="K281" s="10">
        <v>333</v>
      </c>
      <c r="L281" s="10">
        <v>1332</v>
      </c>
      <c r="M281" s="10">
        <v>0</v>
      </c>
      <c r="N281" s="10">
        <v>0</v>
      </c>
      <c r="O281" s="10">
        <v>1332</v>
      </c>
      <c r="P281" s="10">
        <v>3.8</v>
      </c>
      <c r="Q281" s="10" t="s">
        <v>26</v>
      </c>
    </row>
    <row r="282" spans="1:17" x14ac:dyDescent="0.25">
      <c r="A282" s="10" t="s">
        <v>472</v>
      </c>
      <c r="B282" s="10" t="s">
        <v>473</v>
      </c>
      <c r="C282" s="10" t="s">
        <v>19</v>
      </c>
      <c r="D282" s="10" t="s">
        <v>230</v>
      </c>
      <c r="E282" s="10" t="s">
        <v>60</v>
      </c>
      <c r="F282" s="10" t="s">
        <v>22</v>
      </c>
      <c r="G282" s="10" t="s">
        <v>32</v>
      </c>
      <c r="H282" s="10" t="s">
        <v>24</v>
      </c>
      <c r="I282" s="10" t="s">
        <v>25</v>
      </c>
      <c r="J282" s="10">
        <v>2</v>
      </c>
      <c r="K282" s="10">
        <v>200</v>
      </c>
      <c r="L282" s="10">
        <v>400</v>
      </c>
      <c r="M282" s="10">
        <v>30</v>
      </c>
      <c r="N282" s="10">
        <v>120</v>
      </c>
      <c r="O282" s="10">
        <v>280</v>
      </c>
      <c r="P282" s="10">
        <v>3.7</v>
      </c>
      <c r="Q282" s="10" t="s">
        <v>26</v>
      </c>
    </row>
    <row r="283" spans="1:17" x14ac:dyDescent="0.25">
      <c r="A283" s="10" t="s">
        <v>474</v>
      </c>
      <c r="B283" s="10" t="s">
        <v>473</v>
      </c>
      <c r="C283" s="10" t="s">
        <v>91</v>
      </c>
      <c r="D283" s="10" t="s">
        <v>125</v>
      </c>
      <c r="E283" s="10" t="s">
        <v>53</v>
      </c>
      <c r="F283" s="10" t="s">
        <v>43</v>
      </c>
      <c r="G283" s="10" t="s">
        <v>44</v>
      </c>
      <c r="H283" s="10" t="s">
        <v>33</v>
      </c>
      <c r="I283" s="10" t="s">
        <v>84</v>
      </c>
      <c r="J283" s="10">
        <v>5</v>
      </c>
      <c r="K283" s="10">
        <v>2601</v>
      </c>
      <c r="L283" s="10">
        <v>13005</v>
      </c>
      <c r="M283" s="10">
        <v>10</v>
      </c>
      <c r="N283" s="10">
        <v>1300</v>
      </c>
      <c r="O283" s="10">
        <v>11705</v>
      </c>
      <c r="P283" s="10">
        <v>3.3</v>
      </c>
      <c r="Q283" s="10" t="s">
        <v>26</v>
      </c>
    </row>
    <row r="284" spans="1:17" x14ac:dyDescent="0.25">
      <c r="A284" s="10" t="s">
        <v>475</v>
      </c>
      <c r="B284" s="10" t="s">
        <v>473</v>
      </c>
      <c r="C284" s="10" t="s">
        <v>63</v>
      </c>
      <c r="D284" s="10" t="s">
        <v>64</v>
      </c>
      <c r="E284" s="10" t="s">
        <v>71</v>
      </c>
      <c r="F284" s="10" t="s">
        <v>61</v>
      </c>
      <c r="G284" s="10" t="s">
        <v>32</v>
      </c>
      <c r="H284" s="10" t="s">
        <v>24</v>
      </c>
      <c r="I284" s="10" t="s">
        <v>25</v>
      </c>
      <c r="J284" s="10">
        <v>3</v>
      </c>
      <c r="K284" s="10">
        <v>1091</v>
      </c>
      <c r="L284" s="10">
        <v>3273</v>
      </c>
      <c r="M284" s="10">
        <v>20</v>
      </c>
      <c r="N284" s="10">
        <v>655</v>
      </c>
      <c r="O284" s="10">
        <v>2618</v>
      </c>
      <c r="P284" s="10">
        <v>4.5</v>
      </c>
      <c r="Q284" s="10" t="s">
        <v>26</v>
      </c>
    </row>
    <row r="285" spans="1:17" x14ac:dyDescent="0.25">
      <c r="A285" s="10" t="s">
        <v>476</v>
      </c>
      <c r="B285" s="10" t="s">
        <v>477</v>
      </c>
      <c r="C285" s="10" t="s">
        <v>91</v>
      </c>
      <c r="D285" s="10" t="s">
        <v>110</v>
      </c>
      <c r="E285" s="10" t="s">
        <v>101</v>
      </c>
      <c r="F285" s="10" t="s">
        <v>119</v>
      </c>
      <c r="G285" s="10" t="s">
        <v>23</v>
      </c>
      <c r="H285" s="10" t="s">
        <v>33</v>
      </c>
      <c r="I285" s="10" t="s">
        <v>98</v>
      </c>
      <c r="J285" s="10">
        <v>1</v>
      </c>
      <c r="K285" s="10">
        <v>2143</v>
      </c>
      <c r="L285" s="10">
        <v>2143</v>
      </c>
      <c r="M285" s="10">
        <v>20</v>
      </c>
      <c r="N285" s="10">
        <v>429</v>
      </c>
      <c r="O285" s="10">
        <v>1714</v>
      </c>
      <c r="P285" s="10">
        <v>4</v>
      </c>
      <c r="Q285" s="10" t="s">
        <v>26</v>
      </c>
    </row>
    <row r="286" spans="1:17" x14ac:dyDescent="0.25">
      <c r="A286" s="10" t="s">
        <v>478</v>
      </c>
      <c r="B286" s="10" t="s">
        <v>477</v>
      </c>
      <c r="C286" s="10" t="s">
        <v>40</v>
      </c>
      <c r="D286" s="10" t="s">
        <v>57</v>
      </c>
      <c r="E286" s="10" t="s">
        <v>78</v>
      </c>
      <c r="F286" s="10" t="s">
        <v>130</v>
      </c>
      <c r="G286" s="10" t="s">
        <v>23</v>
      </c>
      <c r="H286" s="10" t="s">
        <v>33</v>
      </c>
      <c r="I286" s="10" t="s">
        <v>25</v>
      </c>
      <c r="J286" s="10">
        <v>1</v>
      </c>
      <c r="K286" s="10">
        <v>1403</v>
      </c>
      <c r="L286" s="10">
        <v>1403</v>
      </c>
      <c r="M286" s="10">
        <v>5</v>
      </c>
      <c r="N286" s="10">
        <v>70</v>
      </c>
      <c r="O286" s="10">
        <v>1333</v>
      </c>
      <c r="P286" s="10">
        <v>4.3</v>
      </c>
      <c r="Q286" s="10" t="s">
        <v>26</v>
      </c>
    </row>
    <row r="287" spans="1:17" x14ac:dyDescent="0.25">
      <c r="A287" s="10" t="s">
        <v>479</v>
      </c>
      <c r="B287" s="10" t="s">
        <v>477</v>
      </c>
      <c r="C287" s="10" t="s">
        <v>51</v>
      </c>
      <c r="D287" s="10" t="s">
        <v>97</v>
      </c>
      <c r="E287" s="10" t="s">
        <v>21</v>
      </c>
      <c r="F287" s="10" t="s">
        <v>65</v>
      </c>
      <c r="G287" s="10" t="s">
        <v>32</v>
      </c>
      <c r="H287" s="10" t="s">
        <v>33</v>
      </c>
      <c r="I287" s="10" t="s">
        <v>45</v>
      </c>
      <c r="J287" s="10">
        <v>2</v>
      </c>
      <c r="K287" s="10">
        <v>705</v>
      </c>
      <c r="L287" s="10">
        <v>1410</v>
      </c>
      <c r="M287" s="10">
        <v>25</v>
      </c>
      <c r="N287" s="10">
        <v>352</v>
      </c>
      <c r="O287" s="10">
        <v>1058</v>
      </c>
      <c r="P287" s="10">
        <v>3.4</v>
      </c>
      <c r="Q287" s="10" t="s">
        <v>26</v>
      </c>
    </row>
    <row r="288" spans="1:17" x14ac:dyDescent="0.25">
      <c r="A288" s="10" t="s">
        <v>480</v>
      </c>
      <c r="B288" s="10" t="s">
        <v>481</v>
      </c>
      <c r="C288" s="10" t="s">
        <v>51</v>
      </c>
      <c r="D288" s="10" t="s">
        <v>52</v>
      </c>
      <c r="E288" s="10" t="s">
        <v>42</v>
      </c>
      <c r="F288" s="10" t="s">
        <v>65</v>
      </c>
      <c r="G288" s="10" t="s">
        <v>23</v>
      </c>
      <c r="H288" s="10" t="s">
        <v>24</v>
      </c>
      <c r="I288" s="10" t="s">
        <v>84</v>
      </c>
      <c r="J288" s="10">
        <v>1</v>
      </c>
      <c r="K288" s="10">
        <v>619</v>
      </c>
      <c r="L288" s="10">
        <v>619</v>
      </c>
      <c r="M288" s="10">
        <v>30</v>
      </c>
      <c r="N288" s="10">
        <v>186</v>
      </c>
      <c r="O288" s="10">
        <v>433</v>
      </c>
      <c r="P288" s="10">
        <v>4.0999999999999996</v>
      </c>
      <c r="Q288" s="10" t="s">
        <v>26</v>
      </c>
    </row>
    <row r="289" spans="1:17" x14ac:dyDescent="0.25">
      <c r="A289" s="10" t="s">
        <v>482</v>
      </c>
      <c r="B289" s="10" t="s">
        <v>483</v>
      </c>
      <c r="C289" s="10" t="s">
        <v>28</v>
      </c>
      <c r="D289" s="10" t="s">
        <v>95</v>
      </c>
      <c r="E289" s="10" t="s">
        <v>82</v>
      </c>
      <c r="F289" s="10" t="s">
        <v>79</v>
      </c>
      <c r="G289" s="10" t="s">
        <v>32</v>
      </c>
      <c r="H289" s="10" t="s">
        <v>104</v>
      </c>
      <c r="I289" s="10" t="s">
        <v>34</v>
      </c>
      <c r="J289" s="10">
        <v>2</v>
      </c>
      <c r="K289" s="10">
        <v>1131</v>
      </c>
      <c r="L289" s="10">
        <v>2262</v>
      </c>
      <c r="M289" s="10">
        <v>0</v>
      </c>
      <c r="N289" s="10">
        <v>0</v>
      </c>
      <c r="O289" s="10">
        <v>2262</v>
      </c>
      <c r="P289" s="10">
        <v>5</v>
      </c>
      <c r="Q289" s="10" t="s">
        <v>26</v>
      </c>
    </row>
    <row r="290" spans="1:17" x14ac:dyDescent="0.25">
      <c r="A290" s="10" t="s">
        <v>484</v>
      </c>
      <c r="B290" s="10" t="s">
        <v>485</v>
      </c>
      <c r="C290" s="10" t="s">
        <v>19</v>
      </c>
      <c r="D290" s="10" t="s">
        <v>20</v>
      </c>
      <c r="E290" s="10" t="s">
        <v>30</v>
      </c>
      <c r="F290" s="10" t="s">
        <v>61</v>
      </c>
      <c r="G290" s="10" t="s">
        <v>23</v>
      </c>
      <c r="H290" s="10" t="s">
        <v>33</v>
      </c>
      <c r="I290" s="10" t="s">
        <v>34</v>
      </c>
      <c r="J290" s="10">
        <v>3</v>
      </c>
      <c r="K290" s="10">
        <v>328</v>
      </c>
      <c r="L290" s="10">
        <v>984</v>
      </c>
      <c r="M290" s="10">
        <v>20</v>
      </c>
      <c r="N290" s="10">
        <v>197</v>
      </c>
      <c r="O290" s="10">
        <v>787</v>
      </c>
      <c r="P290" s="10">
        <v>3.8</v>
      </c>
      <c r="Q290" s="10" t="s">
        <v>26</v>
      </c>
    </row>
    <row r="291" spans="1:17" x14ac:dyDescent="0.25">
      <c r="A291" s="10" t="s">
        <v>486</v>
      </c>
      <c r="B291" s="10" t="s">
        <v>487</v>
      </c>
      <c r="C291" s="10" t="s">
        <v>19</v>
      </c>
      <c r="D291" s="10" t="s">
        <v>128</v>
      </c>
      <c r="E291" s="10" t="s">
        <v>71</v>
      </c>
      <c r="F291" s="10" t="s">
        <v>83</v>
      </c>
      <c r="G291" s="10" t="s">
        <v>23</v>
      </c>
      <c r="H291" s="10" t="s">
        <v>104</v>
      </c>
      <c r="I291" s="10" t="s">
        <v>34</v>
      </c>
      <c r="J291" s="10">
        <v>3</v>
      </c>
      <c r="K291" s="10">
        <v>305</v>
      </c>
      <c r="L291" s="10">
        <v>915</v>
      </c>
      <c r="M291" s="10">
        <v>15</v>
      </c>
      <c r="N291" s="10">
        <v>137</v>
      </c>
      <c r="O291" s="10">
        <v>778</v>
      </c>
      <c r="P291" s="10">
        <v>3.6</v>
      </c>
      <c r="Q291" s="10" t="s">
        <v>26</v>
      </c>
    </row>
    <row r="292" spans="1:17" x14ac:dyDescent="0.25">
      <c r="A292" s="10" t="s">
        <v>488</v>
      </c>
      <c r="B292" s="10" t="s">
        <v>489</v>
      </c>
      <c r="C292" s="10" t="s">
        <v>91</v>
      </c>
      <c r="D292" s="10" t="s">
        <v>110</v>
      </c>
      <c r="E292" s="10" t="s">
        <v>78</v>
      </c>
      <c r="F292" s="10" t="s">
        <v>119</v>
      </c>
      <c r="G292" s="10" t="s">
        <v>23</v>
      </c>
      <c r="H292" s="10" t="s">
        <v>33</v>
      </c>
      <c r="I292" s="10" t="s">
        <v>98</v>
      </c>
      <c r="J292" s="10">
        <v>3</v>
      </c>
      <c r="K292" s="10">
        <v>1469</v>
      </c>
      <c r="L292" s="10">
        <v>4407</v>
      </c>
      <c r="M292" s="10">
        <v>15</v>
      </c>
      <c r="N292" s="10">
        <v>661</v>
      </c>
      <c r="O292" s="10">
        <v>3746</v>
      </c>
      <c r="P292" s="10">
        <v>4.8</v>
      </c>
      <c r="Q292" s="10" t="s">
        <v>26</v>
      </c>
    </row>
    <row r="293" spans="1:17" x14ac:dyDescent="0.25">
      <c r="A293" s="10" t="s">
        <v>490</v>
      </c>
      <c r="B293" s="10" t="s">
        <v>489</v>
      </c>
      <c r="C293" s="10" t="s">
        <v>51</v>
      </c>
      <c r="D293" s="10" t="s">
        <v>70</v>
      </c>
      <c r="E293" s="10" t="s">
        <v>48</v>
      </c>
      <c r="F293" s="10" t="s">
        <v>43</v>
      </c>
      <c r="G293" s="10" t="s">
        <v>32</v>
      </c>
      <c r="H293" s="10" t="s">
        <v>33</v>
      </c>
      <c r="I293" s="10" t="s">
        <v>45</v>
      </c>
      <c r="J293" s="10">
        <v>1</v>
      </c>
      <c r="K293" s="10">
        <v>261</v>
      </c>
      <c r="L293" s="10">
        <v>261</v>
      </c>
      <c r="M293" s="10">
        <v>15</v>
      </c>
      <c r="N293" s="10">
        <v>39</v>
      </c>
      <c r="O293" s="10">
        <v>222</v>
      </c>
      <c r="P293" s="10">
        <v>3.5</v>
      </c>
      <c r="Q293" s="10" t="s">
        <v>26</v>
      </c>
    </row>
    <row r="294" spans="1:17" x14ac:dyDescent="0.25">
      <c r="A294" s="10" t="s">
        <v>491</v>
      </c>
      <c r="B294" s="10" t="s">
        <v>489</v>
      </c>
      <c r="C294" s="10" t="s">
        <v>51</v>
      </c>
      <c r="D294" s="10" t="s">
        <v>97</v>
      </c>
      <c r="E294" s="10" t="s">
        <v>48</v>
      </c>
      <c r="F294" s="10" t="s">
        <v>79</v>
      </c>
      <c r="G294" s="10" t="s">
        <v>23</v>
      </c>
      <c r="H294" s="10" t="s">
        <v>33</v>
      </c>
      <c r="I294" s="10" t="s">
        <v>45</v>
      </c>
      <c r="J294" s="10">
        <v>4</v>
      </c>
      <c r="K294" s="10">
        <v>625</v>
      </c>
      <c r="L294" s="10">
        <v>2500</v>
      </c>
      <c r="M294" s="10">
        <v>15</v>
      </c>
      <c r="N294" s="10">
        <v>375</v>
      </c>
      <c r="O294" s="10">
        <v>2125</v>
      </c>
      <c r="P294" s="10">
        <v>4.7</v>
      </c>
      <c r="Q294" s="10" t="s">
        <v>26</v>
      </c>
    </row>
    <row r="295" spans="1:17" x14ac:dyDescent="0.25">
      <c r="A295" s="10" t="s">
        <v>492</v>
      </c>
      <c r="B295" s="10" t="s">
        <v>493</v>
      </c>
      <c r="C295" s="10" t="s">
        <v>91</v>
      </c>
      <c r="D295" s="10" t="s">
        <v>110</v>
      </c>
      <c r="E295" s="10" t="s">
        <v>82</v>
      </c>
      <c r="F295" s="10" t="s">
        <v>65</v>
      </c>
      <c r="G295" s="10" t="s">
        <v>23</v>
      </c>
      <c r="H295" s="10" t="s">
        <v>24</v>
      </c>
      <c r="I295" s="10" t="s">
        <v>84</v>
      </c>
      <c r="J295" s="10">
        <v>4</v>
      </c>
      <c r="K295" s="10">
        <v>1189</v>
      </c>
      <c r="L295" s="10">
        <v>4756</v>
      </c>
      <c r="M295" s="10">
        <v>10</v>
      </c>
      <c r="N295" s="10">
        <v>476</v>
      </c>
      <c r="O295" s="10">
        <v>4280</v>
      </c>
      <c r="P295" s="10">
        <v>4.0999999999999996</v>
      </c>
      <c r="Q295" s="10" t="s">
        <v>26</v>
      </c>
    </row>
    <row r="296" spans="1:17" x14ac:dyDescent="0.25">
      <c r="A296" s="10" t="s">
        <v>494</v>
      </c>
      <c r="B296" s="10" t="s">
        <v>495</v>
      </c>
      <c r="C296" s="10" t="s">
        <v>19</v>
      </c>
      <c r="D296" s="10" t="s">
        <v>121</v>
      </c>
      <c r="E296" s="10" t="s">
        <v>30</v>
      </c>
      <c r="F296" s="10" t="s">
        <v>61</v>
      </c>
      <c r="G296" s="10" t="s">
        <v>23</v>
      </c>
      <c r="H296" s="10" t="s">
        <v>24</v>
      </c>
      <c r="I296" s="10" t="s">
        <v>45</v>
      </c>
      <c r="J296" s="10">
        <v>4</v>
      </c>
      <c r="K296" s="10">
        <v>307</v>
      </c>
      <c r="L296" s="10">
        <v>1228</v>
      </c>
      <c r="M296" s="10">
        <v>20</v>
      </c>
      <c r="N296" s="10">
        <v>246</v>
      </c>
      <c r="O296" s="10">
        <v>982</v>
      </c>
      <c r="P296" s="10">
        <v>4.4000000000000004</v>
      </c>
      <c r="Q296" s="10" t="s">
        <v>26</v>
      </c>
    </row>
    <row r="297" spans="1:17" x14ac:dyDescent="0.25">
      <c r="A297" s="10" t="s">
        <v>496</v>
      </c>
      <c r="B297" s="10" t="s">
        <v>495</v>
      </c>
      <c r="C297" s="10" t="s">
        <v>91</v>
      </c>
      <c r="D297" s="10" t="s">
        <v>92</v>
      </c>
      <c r="E297" s="10" t="s">
        <v>30</v>
      </c>
      <c r="F297" s="10" t="s">
        <v>119</v>
      </c>
      <c r="G297" s="10" t="s">
        <v>23</v>
      </c>
      <c r="H297" s="10" t="s">
        <v>33</v>
      </c>
      <c r="I297" s="10" t="s">
        <v>34</v>
      </c>
      <c r="J297" s="10">
        <v>5</v>
      </c>
      <c r="K297" s="10">
        <v>1477</v>
      </c>
      <c r="L297" s="10">
        <v>7385</v>
      </c>
      <c r="M297" s="10">
        <v>30</v>
      </c>
      <c r="N297" s="10">
        <v>2216</v>
      </c>
      <c r="O297" s="10">
        <v>5169</v>
      </c>
      <c r="P297" s="10">
        <v>4.4000000000000004</v>
      </c>
      <c r="Q297" s="10" t="s">
        <v>26</v>
      </c>
    </row>
    <row r="298" spans="1:17" x14ac:dyDescent="0.25">
      <c r="A298" s="10" t="s">
        <v>497</v>
      </c>
      <c r="B298" s="10" t="s">
        <v>495</v>
      </c>
      <c r="C298" s="10" t="s">
        <v>28</v>
      </c>
      <c r="D298" s="10" t="s">
        <v>29</v>
      </c>
      <c r="E298" s="10" t="s">
        <v>21</v>
      </c>
      <c r="F298" s="10" t="s">
        <v>83</v>
      </c>
      <c r="G298" s="10" t="s">
        <v>32</v>
      </c>
      <c r="H298" s="10" t="s">
        <v>24</v>
      </c>
      <c r="I298" s="10" t="s">
        <v>45</v>
      </c>
      <c r="J298" s="10">
        <v>3</v>
      </c>
      <c r="K298" s="10">
        <v>989</v>
      </c>
      <c r="L298" s="10">
        <v>2967</v>
      </c>
      <c r="M298" s="10">
        <v>0</v>
      </c>
      <c r="N298" s="10">
        <v>0</v>
      </c>
      <c r="O298" s="10">
        <v>2967</v>
      </c>
      <c r="P298" s="10">
        <v>4.5</v>
      </c>
      <c r="Q298" s="10" t="s">
        <v>26</v>
      </c>
    </row>
    <row r="299" spans="1:17" x14ac:dyDescent="0.25">
      <c r="A299" s="10" t="s">
        <v>498</v>
      </c>
      <c r="B299" s="10" t="s">
        <v>499</v>
      </c>
      <c r="C299" s="10" t="s">
        <v>40</v>
      </c>
      <c r="D299" s="10" t="s">
        <v>113</v>
      </c>
      <c r="E299" s="10" t="s">
        <v>71</v>
      </c>
      <c r="F299" s="10" t="s">
        <v>22</v>
      </c>
      <c r="G299" s="10" t="s">
        <v>44</v>
      </c>
      <c r="H299" s="10" t="s">
        <v>24</v>
      </c>
      <c r="I299" s="10" t="s">
        <v>45</v>
      </c>
      <c r="J299" s="10">
        <v>2</v>
      </c>
      <c r="K299" s="10">
        <v>427</v>
      </c>
      <c r="L299" s="10">
        <v>854</v>
      </c>
      <c r="M299" s="10">
        <v>0</v>
      </c>
      <c r="N299" s="10">
        <v>0</v>
      </c>
      <c r="O299" s="10">
        <v>854</v>
      </c>
      <c r="P299" s="10">
        <v>4.0999999999999996</v>
      </c>
      <c r="Q299" s="10" t="s">
        <v>26</v>
      </c>
    </row>
    <row r="300" spans="1:17" x14ac:dyDescent="0.25">
      <c r="A300" s="10" t="s">
        <v>500</v>
      </c>
      <c r="B300" s="10" t="s">
        <v>499</v>
      </c>
      <c r="C300" s="10" t="s">
        <v>63</v>
      </c>
      <c r="D300" s="10" t="s">
        <v>134</v>
      </c>
      <c r="E300" s="10" t="s">
        <v>37</v>
      </c>
      <c r="F300" s="10" t="s">
        <v>83</v>
      </c>
      <c r="G300" s="10" t="s">
        <v>23</v>
      </c>
      <c r="H300" s="10" t="s">
        <v>33</v>
      </c>
      <c r="I300" s="10" t="s">
        <v>98</v>
      </c>
      <c r="J300" s="10">
        <v>1</v>
      </c>
      <c r="K300" s="10">
        <v>1639</v>
      </c>
      <c r="L300" s="10">
        <v>1639</v>
      </c>
      <c r="M300" s="10">
        <v>0</v>
      </c>
      <c r="N300" s="10">
        <v>0</v>
      </c>
      <c r="O300" s="10">
        <v>1639</v>
      </c>
      <c r="P300" s="10">
        <v>3.3</v>
      </c>
      <c r="Q300" s="10" t="s">
        <v>26</v>
      </c>
    </row>
    <row r="301" spans="1:17" x14ac:dyDescent="0.25">
      <c r="A301" s="10" t="s">
        <v>501</v>
      </c>
      <c r="B301" s="10" t="s">
        <v>502</v>
      </c>
      <c r="C301" s="10" t="s">
        <v>19</v>
      </c>
      <c r="D301" s="10" t="s">
        <v>20</v>
      </c>
      <c r="E301" s="10" t="s">
        <v>101</v>
      </c>
      <c r="F301" s="10" t="s">
        <v>83</v>
      </c>
      <c r="G301" s="10" t="s">
        <v>32</v>
      </c>
      <c r="H301" s="10" t="s">
        <v>24</v>
      </c>
      <c r="I301" s="10" t="s">
        <v>45</v>
      </c>
      <c r="J301" s="10">
        <v>5</v>
      </c>
      <c r="K301" s="10">
        <v>153</v>
      </c>
      <c r="L301" s="10">
        <v>765</v>
      </c>
      <c r="M301" s="10">
        <v>5</v>
      </c>
      <c r="N301" s="10">
        <v>38</v>
      </c>
      <c r="O301" s="10">
        <v>727</v>
      </c>
      <c r="P301" s="10">
        <v>3.9</v>
      </c>
      <c r="Q301" s="10" t="s">
        <v>26</v>
      </c>
    </row>
    <row r="302" spans="1:17" x14ac:dyDescent="0.25">
      <c r="A302" s="10" t="s">
        <v>503</v>
      </c>
      <c r="B302" s="10" t="s">
        <v>502</v>
      </c>
      <c r="C302" s="10" t="s">
        <v>28</v>
      </c>
      <c r="D302" s="10" t="s">
        <v>163</v>
      </c>
      <c r="E302" s="10" t="s">
        <v>60</v>
      </c>
      <c r="F302" s="10" t="s">
        <v>22</v>
      </c>
      <c r="G302" s="10" t="s">
        <v>23</v>
      </c>
      <c r="H302" s="10" t="s">
        <v>33</v>
      </c>
      <c r="I302" s="10" t="s">
        <v>25</v>
      </c>
      <c r="J302" s="10">
        <v>3</v>
      </c>
      <c r="K302" s="10">
        <v>363</v>
      </c>
      <c r="L302" s="10">
        <v>1089</v>
      </c>
      <c r="M302" s="10">
        <v>10</v>
      </c>
      <c r="N302" s="10">
        <v>109</v>
      </c>
      <c r="O302" s="10">
        <v>980</v>
      </c>
      <c r="P302" s="10">
        <v>3.4</v>
      </c>
      <c r="Q302" s="10" t="s">
        <v>75</v>
      </c>
    </row>
    <row r="303" spans="1:17" x14ac:dyDescent="0.25">
      <c r="A303" s="10" t="s">
        <v>504</v>
      </c>
      <c r="B303" s="10" t="s">
        <v>505</v>
      </c>
      <c r="C303" s="10" t="s">
        <v>51</v>
      </c>
      <c r="D303" s="10" t="s">
        <v>70</v>
      </c>
      <c r="E303" s="10" t="s">
        <v>78</v>
      </c>
      <c r="F303" s="10" t="s">
        <v>79</v>
      </c>
      <c r="G303" s="10" t="s">
        <v>23</v>
      </c>
      <c r="H303" s="10" t="s">
        <v>33</v>
      </c>
      <c r="I303" s="10" t="s">
        <v>98</v>
      </c>
      <c r="J303" s="10">
        <v>5</v>
      </c>
      <c r="K303" s="10">
        <v>548</v>
      </c>
      <c r="L303" s="10">
        <v>2740</v>
      </c>
      <c r="M303" s="10">
        <v>25</v>
      </c>
      <c r="N303" s="10">
        <v>685</v>
      </c>
      <c r="O303" s="10">
        <v>2055</v>
      </c>
      <c r="P303" s="10">
        <v>4.2</v>
      </c>
      <c r="Q303" s="10" t="s">
        <v>26</v>
      </c>
    </row>
    <row r="304" spans="1:17" x14ac:dyDescent="0.25">
      <c r="A304" s="10" t="s">
        <v>506</v>
      </c>
      <c r="B304" s="10" t="s">
        <v>505</v>
      </c>
      <c r="C304" s="10" t="s">
        <v>28</v>
      </c>
      <c r="D304" s="10" t="s">
        <v>77</v>
      </c>
      <c r="E304" s="10" t="s">
        <v>101</v>
      </c>
      <c r="F304" s="10" t="s">
        <v>31</v>
      </c>
      <c r="G304" s="10" t="s">
        <v>23</v>
      </c>
      <c r="H304" s="10" t="s">
        <v>33</v>
      </c>
      <c r="I304" s="10" t="s">
        <v>25</v>
      </c>
      <c r="J304" s="10">
        <v>1</v>
      </c>
      <c r="K304" s="10">
        <v>617</v>
      </c>
      <c r="L304" s="10">
        <v>617</v>
      </c>
      <c r="M304" s="10">
        <v>10</v>
      </c>
      <c r="N304" s="10">
        <v>62</v>
      </c>
      <c r="O304" s="10">
        <v>555</v>
      </c>
      <c r="P304" s="10">
        <v>4.7</v>
      </c>
      <c r="Q304" s="10" t="s">
        <v>26</v>
      </c>
    </row>
    <row r="305" spans="1:17" x14ac:dyDescent="0.25">
      <c r="A305" s="10" t="s">
        <v>507</v>
      </c>
      <c r="B305" s="10" t="s">
        <v>505</v>
      </c>
      <c r="C305" s="10" t="s">
        <v>28</v>
      </c>
      <c r="D305" s="10" t="s">
        <v>77</v>
      </c>
      <c r="E305" s="10" t="s">
        <v>78</v>
      </c>
      <c r="F305" s="10" t="s">
        <v>79</v>
      </c>
      <c r="G305" s="10" t="s">
        <v>23</v>
      </c>
      <c r="H305" s="10" t="s">
        <v>24</v>
      </c>
      <c r="I305" s="10" t="s">
        <v>84</v>
      </c>
      <c r="J305" s="10">
        <v>5</v>
      </c>
      <c r="K305" s="10">
        <v>938</v>
      </c>
      <c r="L305" s="10">
        <v>4690</v>
      </c>
      <c r="M305" s="10">
        <v>20</v>
      </c>
      <c r="N305" s="10">
        <v>938</v>
      </c>
      <c r="O305" s="10">
        <v>3752</v>
      </c>
      <c r="P305" s="10">
        <v>4.2</v>
      </c>
      <c r="Q305" s="10" t="s">
        <v>26</v>
      </c>
    </row>
    <row r="306" spans="1:17" x14ac:dyDescent="0.25">
      <c r="A306" s="10" t="s">
        <v>508</v>
      </c>
      <c r="B306" s="10" t="s">
        <v>509</v>
      </c>
      <c r="C306" s="10" t="s">
        <v>28</v>
      </c>
      <c r="D306" s="10" t="s">
        <v>29</v>
      </c>
      <c r="E306" s="10" t="s">
        <v>78</v>
      </c>
      <c r="F306" s="10" t="s">
        <v>31</v>
      </c>
      <c r="G306" s="10" t="s">
        <v>32</v>
      </c>
      <c r="H306" s="10" t="s">
        <v>24</v>
      </c>
      <c r="I306" s="10" t="s">
        <v>25</v>
      </c>
      <c r="J306" s="10">
        <v>1</v>
      </c>
      <c r="K306" s="10">
        <v>1180</v>
      </c>
      <c r="L306" s="10">
        <v>1180</v>
      </c>
      <c r="M306" s="10">
        <v>30</v>
      </c>
      <c r="N306" s="10">
        <v>354</v>
      </c>
      <c r="O306" s="10">
        <v>826</v>
      </c>
      <c r="P306" s="10">
        <v>4.0999999999999996</v>
      </c>
      <c r="Q306" s="10" t="s">
        <v>26</v>
      </c>
    </row>
    <row r="307" spans="1:17" x14ac:dyDescent="0.25">
      <c r="A307" s="10" t="s">
        <v>510</v>
      </c>
      <c r="B307" s="10" t="s">
        <v>509</v>
      </c>
      <c r="C307" s="10" t="s">
        <v>19</v>
      </c>
      <c r="D307" s="10" t="s">
        <v>20</v>
      </c>
      <c r="E307" s="10" t="s">
        <v>101</v>
      </c>
      <c r="F307" s="10" t="s">
        <v>79</v>
      </c>
      <c r="G307" s="10" t="s">
        <v>32</v>
      </c>
      <c r="H307" s="10" t="s">
        <v>24</v>
      </c>
      <c r="I307" s="10" t="s">
        <v>25</v>
      </c>
      <c r="J307" s="10">
        <v>5</v>
      </c>
      <c r="K307" s="10">
        <v>955</v>
      </c>
      <c r="L307" s="10">
        <v>4775</v>
      </c>
      <c r="M307" s="10">
        <v>0</v>
      </c>
      <c r="N307" s="10">
        <v>0</v>
      </c>
      <c r="O307" s="10">
        <v>4775</v>
      </c>
      <c r="P307" s="10">
        <v>3.6</v>
      </c>
      <c r="Q307" s="10" t="s">
        <v>26</v>
      </c>
    </row>
    <row r="308" spans="1:17" x14ac:dyDescent="0.25">
      <c r="A308" s="10" t="s">
        <v>511</v>
      </c>
      <c r="B308" s="10" t="s">
        <v>509</v>
      </c>
      <c r="C308" s="10" t="s">
        <v>19</v>
      </c>
      <c r="D308" s="10" t="s">
        <v>20</v>
      </c>
      <c r="E308" s="10" t="s">
        <v>48</v>
      </c>
      <c r="F308" s="10" t="s">
        <v>61</v>
      </c>
      <c r="G308" s="10" t="s">
        <v>23</v>
      </c>
      <c r="H308" s="10" t="s">
        <v>24</v>
      </c>
      <c r="I308" s="10" t="s">
        <v>98</v>
      </c>
      <c r="J308" s="10">
        <v>2</v>
      </c>
      <c r="K308" s="10">
        <v>841</v>
      </c>
      <c r="L308" s="10">
        <v>1682</v>
      </c>
      <c r="M308" s="10">
        <v>25</v>
      </c>
      <c r="N308" s="10">
        <v>420</v>
      </c>
      <c r="O308" s="10">
        <v>1262</v>
      </c>
      <c r="P308" s="10">
        <v>3.7</v>
      </c>
      <c r="Q308" s="10" t="s">
        <v>26</v>
      </c>
    </row>
    <row r="309" spans="1:17" x14ac:dyDescent="0.25">
      <c r="A309" s="10" t="s">
        <v>512</v>
      </c>
      <c r="B309" s="10" t="s">
        <v>513</v>
      </c>
      <c r="C309" s="10" t="s">
        <v>28</v>
      </c>
      <c r="D309" s="10" t="s">
        <v>77</v>
      </c>
      <c r="E309" s="10" t="s">
        <v>53</v>
      </c>
      <c r="F309" s="10" t="s">
        <v>61</v>
      </c>
      <c r="G309" s="10" t="s">
        <v>23</v>
      </c>
      <c r="H309" s="10" t="s">
        <v>24</v>
      </c>
      <c r="I309" s="10" t="s">
        <v>45</v>
      </c>
      <c r="J309" s="10">
        <v>2</v>
      </c>
      <c r="K309" s="10">
        <v>604</v>
      </c>
      <c r="L309" s="10">
        <v>1208</v>
      </c>
      <c r="M309" s="10">
        <v>20</v>
      </c>
      <c r="N309" s="10">
        <v>242</v>
      </c>
      <c r="O309" s="10">
        <v>966</v>
      </c>
      <c r="P309" s="10">
        <v>5</v>
      </c>
      <c r="Q309" s="10" t="s">
        <v>26</v>
      </c>
    </row>
    <row r="310" spans="1:17" x14ac:dyDescent="0.25">
      <c r="A310" s="10" t="s">
        <v>514</v>
      </c>
      <c r="B310" s="10" t="s">
        <v>515</v>
      </c>
      <c r="C310" s="10" t="s">
        <v>40</v>
      </c>
      <c r="D310" s="10" t="s">
        <v>57</v>
      </c>
      <c r="E310" s="10" t="s">
        <v>53</v>
      </c>
      <c r="F310" s="10" t="s">
        <v>61</v>
      </c>
      <c r="G310" s="10" t="s">
        <v>32</v>
      </c>
      <c r="H310" s="10" t="s">
        <v>24</v>
      </c>
      <c r="I310" s="10" t="s">
        <v>84</v>
      </c>
      <c r="J310" s="10">
        <v>3</v>
      </c>
      <c r="K310" s="10">
        <v>805</v>
      </c>
      <c r="L310" s="10">
        <v>2415</v>
      </c>
      <c r="M310" s="10">
        <v>20</v>
      </c>
      <c r="N310" s="10">
        <v>483</v>
      </c>
      <c r="O310" s="10">
        <v>1932</v>
      </c>
      <c r="P310" s="10">
        <v>4.2</v>
      </c>
      <c r="Q310" s="10" t="s">
        <v>26</v>
      </c>
    </row>
    <row r="311" spans="1:17" x14ac:dyDescent="0.25">
      <c r="A311" s="10" t="s">
        <v>516</v>
      </c>
      <c r="B311" s="10" t="s">
        <v>517</v>
      </c>
      <c r="C311" s="10" t="s">
        <v>91</v>
      </c>
      <c r="D311" s="10" t="s">
        <v>92</v>
      </c>
      <c r="E311" s="10" t="s">
        <v>37</v>
      </c>
      <c r="F311" s="10" t="s">
        <v>79</v>
      </c>
      <c r="G311" s="10" t="s">
        <v>23</v>
      </c>
      <c r="H311" s="10" t="s">
        <v>24</v>
      </c>
      <c r="I311" s="10" t="s">
        <v>98</v>
      </c>
      <c r="J311" s="10">
        <v>2</v>
      </c>
      <c r="K311" s="10">
        <v>886</v>
      </c>
      <c r="L311" s="10">
        <v>1772</v>
      </c>
      <c r="M311" s="10">
        <v>15</v>
      </c>
      <c r="N311" s="10">
        <v>266</v>
      </c>
      <c r="O311" s="10">
        <v>1506</v>
      </c>
      <c r="P311" s="10">
        <v>3.6</v>
      </c>
      <c r="Q311" s="10" t="s">
        <v>26</v>
      </c>
    </row>
    <row r="312" spans="1:17" x14ac:dyDescent="0.25">
      <c r="A312" s="10" t="s">
        <v>518</v>
      </c>
      <c r="B312" s="10" t="s">
        <v>517</v>
      </c>
      <c r="C312" s="10" t="s">
        <v>19</v>
      </c>
      <c r="D312" s="10" t="s">
        <v>128</v>
      </c>
      <c r="E312" s="10" t="s">
        <v>60</v>
      </c>
      <c r="F312" s="10" t="s">
        <v>83</v>
      </c>
      <c r="G312" s="10" t="s">
        <v>32</v>
      </c>
      <c r="H312" s="10" t="s">
        <v>33</v>
      </c>
      <c r="I312" s="10" t="s">
        <v>45</v>
      </c>
      <c r="J312" s="10">
        <v>3</v>
      </c>
      <c r="K312" s="10">
        <v>625</v>
      </c>
      <c r="L312" s="10">
        <v>1875</v>
      </c>
      <c r="M312" s="10">
        <v>30</v>
      </c>
      <c r="N312" s="10">
        <v>562</v>
      </c>
      <c r="O312" s="10">
        <v>1313</v>
      </c>
      <c r="P312" s="10">
        <v>4.5</v>
      </c>
      <c r="Q312" s="10" t="s">
        <v>26</v>
      </c>
    </row>
    <row r="313" spans="1:17" x14ac:dyDescent="0.25">
      <c r="A313" s="10" t="s">
        <v>519</v>
      </c>
      <c r="B313" s="10" t="s">
        <v>517</v>
      </c>
      <c r="C313" s="10" t="s">
        <v>28</v>
      </c>
      <c r="D313" s="10" t="s">
        <v>77</v>
      </c>
      <c r="E313" s="10" t="s">
        <v>101</v>
      </c>
      <c r="F313" s="10" t="s">
        <v>130</v>
      </c>
      <c r="G313" s="10" t="s">
        <v>23</v>
      </c>
      <c r="H313" s="10" t="s">
        <v>24</v>
      </c>
      <c r="I313" s="10" t="s">
        <v>84</v>
      </c>
      <c r="J313" s="10">
        <v>5</v>
      </c>
      <c r="K313" s="10">
        <v>1216</v>
      </c>
      <c r="L313" s="10">
        <v>6080</v>
      </c>
      <c r="M313" s="10">
        <v>25</v>
      </c>
      <c r="N313" s="10">
        <v>1520</v>
      </c>
      <c r="O313" s="10">
        <v>4560</v>
      </c>
      <c r="P313" s="10">
        <v>4.2</v>
      </c>
      <c r="Q313" s="10" t="s">
        <v>26</v>
      </c>
    </row>
    <row r="314" spans="1:17" x14ac:dyDescent="0.25">
      <c r="A314" s="10" t="s">
        <v>520</v>
      </c>
      <c r="B314" s="10" t="s">
        <v>517</v>
      </c>
      <c r="C314" s="10" t="s">
        <v>51</v>
      </c>
      <c r="D314" s="10" t="s">
        <v>70</v>
      </c>
      <c r="E314" s="10" t="s">
        <v>37</v>
      </c>
      <c r="F314" s="10" t="s">
        <v>61</v>
      </c>
      <c r="G314" s="10" t="s">
        <v>23</v>
      </c>
      <c r="H314" s="10" t="s">
        <v>24</v>
      </c>
      <c r="I314" s="10" t="s">
        <v>98</v>
      </c>
      <c r="J314" s="10">
        <v>1</v>
      </c>
      <c r="K314" s="10">
        <v>212</v>
      </c>
      <c r="L314" s="10">
        <v>212</v>
      </c>
      <c r="M314" s="10">
        <v>20</v>
      </c>
      <c r="N314" s="10">
        <v>42</v>
      </c>
      <c r="O314" s="10">
        <v>170</v>
      </c>
      <c r="P314" s="10">
        <v>4.3</v>
      </c>
      <c r="Q314" s="10" t="s">
        <v>75</v>
      </c>
    </row>
    <row r="315" spans="1:17" x14ac:dyDescent="0.25">
      <c r="A315" s="10" t="s">
        <v>521</v>
      </c>
      <c r="B315" s="10" t="s">
        <v>517</v>
      </c>
      <c r="C315" s="10" t="s">
        <v>51</v>
      </c>
      <c r="D315" s="10" t="s">
        <v>70</v>
      </c>
      <c r="E315" s="10" t="s">
        <v>30</v>
      </c>
      <c r="F315" s="10" t="s">
        <v>130</v>
      </c>
      <c r="G315" s="10" t="s">
        <v>23</v>
      </c>
      <c r="H315" s="10" t="s">
        <v>33</v>
      </c>
      <c r="I315" s="10" t="s">
        <v>34</v>
      </c>
      <c r="J315" s="10">
        <v>2</v>
      </c>
      <c r="K315" s="10">
        <v>283</v>
      </c>
      <c r="L315" s="10">
        <v>566</v>
      </c>
      <c r="M315" s="10">
        <v>0</v>
      </c>
      <c r="N315" s="10">
        <v>0</v>
      </c>
      <c r="O315" s="10">
        <v>566</v>
      </c>
      <c r="P315" s="10">
        <v>4.8</v>
      </c>
      <c r="Q315" s="10" t="s">
        <v>26</v>
      </c>
    </row>
    <row r="316" spans="1:17" x14ac:dyDescent="0.25">
      <c r="A316" s="10" t="s">
        <v>522</v>
      </c>
      <c r="B316" s="10" t="s">
        <v>523</v>
      </c>
      <c r="C316" s="10" t="s">
        <v>40</v>
      </c>
      <c r="D316" s="10" t="s">
        <v>113</v>
      </c>
      <c r="E316" s="10" t="s">
        <v>60</v>
      </c>
      <c r="F316" s="10" t="s">
        <v>61</v>
      </c>
      <c r="G316" s="10" t="s">
        <v>32</v>
      </c>
      <c r="H316" s="10" t="s">
        <v>33</v>
      </c>
      <c r="I316" s="10" t="s">
        <v>34</v>
      </c>
      <c r="J316" s="10">
        <v>4</v>
      </c>
      <c r="K316" s="10">
        <v>1365</v>
      </c>
      <c r="L316" s="10">
        <v>5460</v>
      </c>
      <c r="M316" s="10">
        <v>5</v>
      </c>
      <c r="N316" s="10">
        <v>273</v>
      </c>
      <c r="O316" s="10">
        <v>5187</v>
      </c>
      <c r="P316" s="10">
        <v>3.8</v>
      </c>
      <c r="Q316" s="10" t="s">
        <v>26</v>
      </c>
    </row>
    <row r="317" spans="1:17" x14ac:dyDescent="0.25">
      <c r="A317" s="10" t="s">
        <v>524</v>
      </c>
      <c r="B317" s="10" t="s">
        <v>523</v>
      </c>
      <c r="C317" s="10" t="s">
        <v>40</v>
      </c>
      <c r="D317" s="10" t="s">
        <v>47</v>
      </c>
      <c r="E317" s="10" t="s">
        <v>71</v>
      </c>
      <c r="F317" s="10" t="s">
        <v>83</v>
      </c>
      <c r="G317" s="10" t="s">
        <v>32</v>
      </c>
      <c r="H317" s="10" t="s">
        <v>33</v>
      </c>
      <c r="I317" s="10" t="s">
        <v>34</v>
      </c>
      <c r="J317" s="10">
        <v>5</v>
      </c>
      <c r="K317" s="10">
        <v>1017</v>
      </c>
      <c r="L317" s="10">
        <v>5085</v>
      </c>
      <c r="M317" s="10">
        <v>25</v>
      </c>
      <c r="N317" s="10">
        <v>1271</v>
      </c>
      <c r="O317" s="10">
        <v>3814</v>
      </c>
      <c r="P317" s="10">
        <v>4.7</v>
      </c>
      <c r="Q317" s="10" t="s">
        <v>26</v>
      </c>
    </row>
    <row r="318" spans="1:17" x14ac:dyDescent="0.25">
      <c r="A318" s="10" t="s">
        <v>525</v>
      </c>
      <c r="B318" s="10" t="s">
        <v>526</v>
      </c>
      <c r="C318" s="10" t="s">
        <v>63</v>
      </c>
      <c r="D318" s="10" t="s">
        <v>134</v>
      </c>
      <c r="E318" s="10" t="s">
        <v>42</v>
      </c>
      <c r="F318" s="10" t="s">
        <v>61</v>
      </c>
      <c r="G318" s="10" t="s">
        <v>23</v>
      </c>
      <c r="H318" s="10" t="s">
        <v>24</v>
      </c>
      <c r="I318" s="10" t="s">
        <v>34</v>
      </c>
      <c r="J318" s="10">
        <v>4</v>
      </c>
      <c r="K318" s="10">
        <v>749</v>
      </c>
      <c r="L318" s="10">
        <v>2996</v>
      </c>
      <c r="M318" s="10">
        <v>10</v>
      </c>
      <c r="N318" s="10">
        <v>300</v>
      </c>
      <c r="O318" s="10">
        <v>2696</v>
      </c>
      <c r="P318" s="10">
        <v>4.3</v>
      </c>
      <c r="Q318" s="10" t="s">
        <v>26</v>
      </c>
    </row>
    <row r="319" spans="1:17" x14ac:dyDescent="0.25">
      <c r="A319" s="10" t="s">
        <v>527</v>
      </c>
      <c r="B319" s="10" t="s">
        <v>526</v>
      </c>
      <c r="C319" s="10" t="s">
        <v>19</v>
      </c>
      <c r="D319" s="10" t="s">
        <v>128</v>
      </c>
      <c r="E319" s="10" t="s">
        <v>42</v>
      </c>
      <c r="F319" s="10" t="s">
        <v>22</v>
      </c>
      <c r="G319" s="10" t="s">
        <v>23</v>
      </c>
      <c r="H319" s="10" t="s">
        <v>24</v>
      </c>
      <c r="I319" s="10" t="s">
        <v>98</v>
      </c>
      <c r="J319" s="10">
        <v>1</v>
      </c>
      <c r="K319" s="10">
        <v>295</v>
      </c>
      <c r="L319" s="10">
        <v>295</v>
      </c>
      <c r="M319" s="10">
        <v>30</v>
      </c>
      <c r="N319" s="10">
        <v>88</v>
      </c>
      <c r="O319" s="10">
        <v>207</v>
      </c>
      <c r="P319" s="10">
        <v>4.8</v>
      </c>
      <c r="Q319" s="10" t="s">
        <v>26</v>
      </c>
    </row>
    <row r="320" spans="1:17" x14ac:dyDescent="0.25">
      <c r="A320" s="10" t="s">
        <v>528</v>
      </c>
      <c r="B320" s="10" t="s">
        <v>526</v>
      </c>
      <c r="C320" s="10" t="s">
        <v>40</v>
      </c>
      <c r="D320" s="10" t="s">
        <v>47</v>
      </c>
      <c r="E320" s="10" t="s">
        <v>21</v>
      </c>
      <c r="F320" s="10" t="s">
        <v>22</v>
      </c>
      <c r="G320" s="10" t="s">
        <v>32</v>
      </c>
      <c r="H320" s="10" t="s">
        <v>33</v>
      </c>
      <c r="I320" s="10" t="s">
        <v>45</v>
      </c>
      <c r="J320" s="10">
        <v>4</v>
      </c>
      <c r="K320" s="10">
        <v>591</v>
      </c>
      <c r="L320" s="10">
        <v>2364</v>
      </c>
      <c r="M320" s="10">
        <v>20</v>
      </c>
      <c r="N320" s="10">
        <v>473</v>
      </c>
      <c r="O320" s="10">
        <v>1891</v>
      </c>
      <c r="P320" s="10">
        <v>3.5</v>
      </c>
      <c r="Q320" s="10" t="s">
        <v>26</v>
      </c>
    </row>
    <row r="321" spans="1:17" x14ac:dyDescent="0.25">
      <c r="A321" s="10" t="s">
        <v>529</v>
      </c>
      <c r="B321" s="10" t="s">
        <v>526</v>
      </c>
      <c r="C321" s="10" t="s">
        <v>40</v>
      </c>
      <c r="D321" s="10" t="s">
        <v>68</v>
      </c>
      <c r="E321" s="10" t="s">
        <v>42</v>
      </c>
      <c r="F321" s="10" t="s">
        <v>79</v>
      </c>
      <c r="G321" s="10" t="s">
        <v>32</v>
      </c>
      <c r="H321" s="10" t="s">
        <v>33</v>
      </c>
      <c r="I321" s="10" t="s">
        <v>84</v>
      </c>
      <c r="J321" s="10">
        <v>4</v>
      </c>
      <c r="K321" s="10">
        <v>741</v>
      </c>
      <c r="L321" s="10">
        <v>2964</v>
      </c>
      <c r="M321" s="10">
        <v>15</v>
      </c>
      <c r="N321" s="10">
        <v>445</v>
      </c>
      <c r="O321" s="10">
        <v>2519</v>
      </c>
      <c r="P321" s="10">
        <v>5</v>
      </c>
      <c r="Q321" s="10" t="s">
        <v>26</v>
      </c>
    </row>
    <row r="322" spans="1:17" x14ac:dyDescent="0.25">
      <c r="A322" s="10" t="s">
        <v>530</v>
      </c>
      <c r="B322" s="10" t="s">
        <v>526</v>
      </c>
      <c r="C322" s="10" t="s">
        <v>19</v>
      </c>
      <c r="D322" s="10" t="s">
        <v>121</v>
      </c>
      <c r="E322" s="10" t="s">
        <v>60</v>
      </c>
      <c r="F322" s="10" t="s">
        <v>22</v>
      </c>
      <c r="G322" s="10" t="s">
        <v>32</v>
      </c>
      <c r="H322" s="10" t="s">
        <v>24</v>
      </c>
      <c r="I322" s="10" t="s">
        <v>84</v>
      </c>
      <c r="J322" s="10">
        <v>2</v>
      </c>
      <c r="K322" s="10">
        <v>799</v>
      </c>
      <c r="L322" s="10">
        <v>1598</v>
      </c>
      <c r="M322" s="10">
        <v>20</v>
      </c>
      <c r="N322" s="10">
        <v>320</v>
      </c>
      <c r="O322" s="10">
        <v>1278</v>
      </c>
      <c r="P322" s="10">
        <v>4.5999999999999996</v>
      </c>
      <c r="Q322" s="10" t="s">
        <v>26</v>
      </c>
    </row>
    <row r="323" spans="1:17" x14ac:dyDescent="0.25">
      <c r="A323" s="10" t="s">
        <v>531</v>
      </c>
      <c r="B323" s="10" t="s">
        <v>532</v>
      </c>
      <c r="C323" s="10" t="s">
        <v>40</v>
      </c>
      <c r="D323" s="10" t="s">
        <v>57</v>
      </c>
      <c r="E323" s="10" t="s">
        <v>37</v>
      </c>
      <c r="F323" s="10" t="s">
        <v>83</v>
      </c>
      <c r="G323" s="10" t="s">
        <v>23</v>
      </c>
      <c r="H323" s="10" t="s">
        <v>24</v>
      </c>
      <c r="I323" s="10" t="s">
        <v>25</v>
      </c>
      <c r="J323" s="10">
        <v>3</v>
      </c>
      <c r="K323" s="10">
        <v>1419</v>
      </c>
      <c r="L323" s="10">
        <v>4257</v>
      </c>
      <c r="M323" s="10">
        <v>20</v>
      </c>
      <c r="N323" s="10">
        <v>851</v>
      </c>
      <c r="O323" s="10">
        <v>3406</v>
      </c>
      <c r="P323" s="10">
        <v>3.9</v>
      </c>
      <c r="Q323" s="10" t="s">
        <v>26</v>
      </c>
    </row>
    <row r="324" spans="1:17" x14ac:dyDescent="0.25">
      <c r="A324" s="10" t="s">
        <v>533</v>
      </c>
      <c r="B324" s="10" t="s">
        <v>534</v>
      </c>
      <c r="C324" s="10" t="s">
        <v>28</v>
      </c>
      <c r="D324" s="10" t="s">
        <v>29</v>
      </c>
      <c r="E324" s="10" t="s">
        <v>48</v>
      </c>
      <c r="F324" s="10" t="s">
        <v>79</v>
      </c>
      <c r="G324" s="10" t="s">
        <v>23</v>
      </c>
      <c r="H324" s="10" t="s">
        <v>24</v>
      </c>
      <c r="I324" s="10" t="s">
        <v>25</v>
      </c>
      <c r="J324" s="10">
        <v>5</v>
      </c>
      <c r="K324" s="10">
        <v>317</v>
      </c>
      <c r="L324" s="10">
        <v>1585</v>
      </c>
      <c r="M324" s="10">
        <v>15</v>
      </c>
      <c r="N324" s="10">
        <v>238</v>
      </c>
      <c r="O324" s="10">
        <v>1347</v>
      </c>
      <c r="P324" s="10">
        <v>3.9</v>
      </c>
      <c r="Q324" s="10" t="s">
        <v>26</v>
      </c>
    </row>
    <row r="325" spans="1:17" x14ac:dyDescent="0.25">
      <c r="A325" s="10" t="s">
        <v>535</v>
      </c>
      <c r="B325" s="10" t="s">
        <v>536</v>
      </c>
      <c r="C325" s="10" t="s">
        <v>19</v>
      </c>
      <c r="D325" s="10" t="s">
        <v>121</v>
      </c>
      <c r="E325" s="10" t="s">
        <v>37</v>
      </c>
      <c r="F325" s="10" t="s">
        <v>79</v>
      </c>
      <c r="G325" s="10" t="s">
        <v>32</v>
      </c>
      <c r="H325" s="10" t="s">
        <v>104</v>
      </c>
      <c r="I325" s="10" t="s">
        <v>34</v>
      </c>
      <c r="J325" s="10">
        <v>3</v>
      </c>
      <c r="K325" s="10">
        <v>535</v>
      </c>
      <c r="L325" s="10">
        <v>1605</v>
      </c>
      <c r="M325" s="10">
        <v>25</v>
      </c>
      <c r="N325" s="10">
        <v>401</v>
      </c>
      <c r="O325" s="10">
        <v>1204</v>
      </c>
      <c r="P325" s="10">
        <v>4.2</v>
      </c>
      <c r="Q325" s="10" t="s">
        <v>26</v>
      </c>
    </row>
    <row r="326" spans="1:17" x14ac:dyDescent="0.25">
      <c r="A326" s="10" t="s">
        <v>537</v>
      </c>
      <c r="B326" s="10" t="s">
        <v>538</v>
      </c>
      <c r="C326" s="10" t="s">
        <v>19</v>
      </c>
      <c r="D326" s="10" t="s">
        <v>121</v>
      </c>
      <c r="E326" s="10" t="s">
        <v>78</v>
      </c>
      <c r="F326" s="10" t="s">
        <v>119</v>
      </c>
      <c r="G326" s="10" t="s">
        <v>23</v>
      </c>
      <c r="H326" s="10" t="s">
        <v>24</v>
      </c>
      <c r="I326" s="10" t="s">
        <v>25</v>
      </c>
      <c r="J326" s="10">
        <v>4</v>
      </c>
      <c r="K326" s="10">
        <v>866</v>
      </c>
      <c r="L326" s="10">
        <v>3464</v>
      </c>
      <c r="M326" s="10">
        <v>0</v>
      </c>
      <c r="N326" s="10">
        <v>0</v>
      </c>
      <c r="O326" s="10">
        <v>3464</v>
      </c>
      <c r="P326" s="10">
        <v>3.7</v>
      </c>
      <c r="Q326" s="10" t="s">
        <v>26</v>
      </c>
    </row>
    <row r="327" spans="1:17" x14ac:dyDescent="0.25">
      <c r="A327" s="10" t="s">
        <v>539</v>
      </c>
      <c r="B327" s="10" t="s">
        <v>538</v>
      </c>
      <c r="C327" s="10" t="s">
        <v>91</v>
      </c>
      <c r="D327" s="10" t="s">
        <v>125</v>
      </c>
      <c r="E327" s="10" t="s">
        <v>78</v>
      </c>
      <c r="F327" s="10" t="s">
        <v>79</v>
      </c>
      <c r="G327" s="10" t="s">
        <v>23</v>
      </c>
      <c r="H327" s="10" t="s">
        <v>33</v>
      </c>
      <c r="I327" s="10" t="s">
        <v>84</v>
      </c>
      <c r="J327" s="10">
        <v>3</v>
      </c>
      <c r="K327" s="10">
        <v>1450</v>
      </c>
      <c r="L327" s="10">
        <v>4350</v>
      </c>
      <c r="M327" s="10">
        <v>10</v>
      </c>
      <c r="N327" s="10">
        <v>435</v>
      </c>
      <c r="O327" s="10">
        <v>3915</v>
      </c>
      <c r="P327" s="10">
        <v>4</v>
      </c>
      <c r="Q327" s="10" t="s">
        <v>26</v>
      </c>
    </row>
    <row r="328" spans="1:17" x14ac:dyDescent="0.25">
      <c r="A328" s="10" t="s">
        <v>540</v>
      </c>
      <c r="B328" s="10" t="s">
        <v>538</v>
      </c>
      <c r="C328" s="10" t="s">
        <v>91</v>
      </c>
      <c r="D328" s="10" t="s">
        <v>125</v>
      </c>
      <c r="E328" s="10" t="s">
        <v>78</v>
      </c>
      <c r="F328" s="10" t="s">
        <v>130</v>
      </c>
      <c r="G328" s="10" t="s">
        <v>32</v>
      </c>
      <c r="H328" s="10" t="s">
        <v>24</v>
      </c>
      <c r="I328" s="10" t="s">
        <v>34</v>
      </c>
      <c r="J328" s="10">
        <v>1</v>
      </c>
      <c r="K328" s="10">
        <v>2192</v>
      </c>
      <c r="L328" s="10">
        <v>2192</v>
      </c>
      <c r="M328" s="10">
        <v>5</v>
      </c>
      <c r="N328" s="10">
        <v>110</v>
      </c>
      <c r="O328" s="10">
        <v>2082</v>
      </c>
      <c r="P328" s="10">
        <v>4.9000000000000004</v>
      </c>
      <c r="Q328" s="10" t="s">
        <v>26</v>
      </c>
    </row>
    <row r="329" spans="1:17" x14ac:dyDescent="0.25">
      <c r="A329" s="10" t="s">
        <v>541</v>
      </c>
      <c r="B329" s="10" t="s">
        <v>542</v>
      </c>
      <c r="C329" s="10" t="s">
        <v>63</v>
      </c>
      <c r="D329" s="10" t="s">
        <v>143</v>
      </c>
      <c r="E329" s="10" t="s">
        <v>42</v>
      </c>
      <c r="F329" s="10" t="s">
        <v>72</v>
      </c>
      <c r="G329" s="10" t="s">
        <v>23</v>
      </c>
      <c r="H329" s="10" t="s">
        <v>24</v>
      </c>
      <c r="I329" s="10" t="s">
        <v>84</v>
      </c>
      <c r="J329" s="10">
        <v>5</v>
      </c>
      <c r="K329" s="10">
        <v>2482</v>
      </c>
      <c r="L329" s="10">
        <v>12410</v>
      </c>
      <c r="M329" s="10">
        <v>10</v>
      </c>
      <c r="N329" s="10">
        <v>1241</v>
      </c>
      <c r="O329" s="10">
        <v>11169</v>
      </c>
      <c r="P329" s="10">
        <v>3.6</v>
      </c>
      <c r="Q329" s="10" t="s">
        <v>26</v>
      </c>
    </row>
    <row r="330" spans="1:17" x14ac:dyDescent="0.25">
      <c r="A330" s="10" t="s">
        <v>543</v>
      </c>
      <c r="B330" s="10" t="s">
        <v>542</v>
      </c>
      <c r="C330" s="10" t="s">
        <v>91</v>
      </c>
      <c r="D330" s="10" t="s">
        <v>125</v>
      </c>
      <c r="E330" s="10" t="s">
        <v>21</v>
      </c>
      <c r="F330" s="10" t="s">
        <v>61</v>
      </c>
      <c r="G330" s="10" t="s">
        <v>32</v>
      </c>
      <c r="H330" s="10" t="s">
        <v>33</v>
      </c>
      <c r="I330" s="10" t="s">
        <v>98</v>
      </c>
      <c r="J330" s="10">
        <v>2</v>
      </c>
      <c r="K330" s="10">
        <v>1449</v>
      </c>
      <c r="L330" s="10">
        <v>2898</v>
      </c>
      <c r="M330" s="10">
        <v>25</v>
      </c>
      <c r="N330" s="10">
        <v>724</v>
      </c>
      <c r="O330" s="10">
        <v>2174</v>
      </c>
      <c r="P330" s="10">
        <v>3.9</v>
      </c>
      <c r="Q330" s="10" t="s">
        <v>26</v>
      </c>
    </row>
    <row r="331" spans="1:17" x14ac:dyDescent="0.25">
      <c r="A331" s="10" t="s">
        <v>544</v>
      </c>
      <c r="B331" s="10" t="s">
        <v>545</v>
      </c>
      <c r="C331" s="10" t="s">
        <v>51</v>
      </c>
      <c r="D331" s="10" t="s">
        <v>97</v>
      </c>
      <c r="E331" s="10" t="s">
        <v>82</v>
      </c>
      <c r="F331" s="10" t="s">
        <v>79</v>
      </c>
      <c r="G331" s="10" t="s">
        <v>23</v>
      </c>
      <c r="H331" s="10" t="s">
        <v>24</v>
      </c>
      <c r="I331" s="10" t="s">
        <v>98</v>
      </c>
      <c r="J331" s="10">
        <v>2</v>
      </c>
      <c r="K331" s="10">
        <v>658</v>
      </c>
      <c r="L331" s="10">
        <v>1316</v>
      </c>
      <c r="M331" s="10">
        <v>5</v>
      </c>
      <c r="N331" s="10">
        <v>66</v>
      </c>
      <c r="O331" s="10">
        <v>1250</v>
      </c>
      <c r="P331" s="10">
        <v>3.9</v>
      </c>
      <c r="Q331" s="10" t="s">
        <v>75</v>
      </c>
    </row>
    <row r="332" spans="1:17" x14ac:dyDescent="0.25">
      <c r="A332" s="10" t="s">
        <v>546</v>
      </c>
      <c r="B332" s="10" t="s">
        <v>547</v>
      </c>
      <c r="C332" s="10" t="s">
        <v>40</v>
      </c>
      <c r="D332" s="10" t="s">
        <v>47</v>
      </c>
      <c r="E332" s="10" t="s">
        <v>71</v>
      </c>
      <c r="F332" s="10" t="s">
        <v>119</v>
      </c>
      <c r="G332" s="10" t="s">
        <v>23</v>
      </c>
      <c r="H332" s="10" t="s">
        <v>33</v>
      </c>
      <c r="I332" s="10" t="s">
        <v>25</v>
      </c>
      <c r="J332" s="10">
        <v>3</v>
      </c>
      <c r="K332" s="10">
        <v>1120</v>
      </c>
      <c r="L332" s="10">
        <v>3360</v>
      </c>
      <c r="M332" s="10">
        <v>10</v>
      </c>
      <c r="N332" s="10">
        <v>336</v>
      </c>
      <c r="O332" s="10">
        <v>3024</v>
      </c>
      <c r="P332" s="10">
        <v>4.3</v>
      </c>
      <c r="Q332" s="10" t="s">
        <v>26</v>
      </c>
    </row>
    <row r="333" spans="1:17" x14ac:dyDescent="0.25">
      <c r="A333" s="10" t="s">
        <v>548</v>
      </c>
      <c r="B333" s="10" t="s">
        <v>547</v>
      </c>
      <c r="C333" s="10" t="s">
        <v>40</v>
      </c>
      <c r="D333" s="10" t="s">
        <v>57</v>
      </c>
      <c r="E333" s="10" t="s">
        <v>30</v>
      </c>
      <c r="F333" s="10" t="s">
        <v>31</v>
      </c>
      <c r="G333" s="10" t="s">
        <v>32</v>
      </c>
      <c r="H333" s="10" t="s">
        <v>104</v>
      </c>
      <c r="I333" s="10" t="s">
        <v>98</v>
      </c>
      <c r="J333" s="10">
        <v>1</v>
      </c>
      <c r="K333" s="10">
        <v>1471</v>
      </c>
      <c r="L333" s="10">
        <v>1471</v>
      </c>
      <c r="M333" s="10">
        <v>15</v>
      </c>
      <c r="N333" s="10">
        <v>221</v>
      </c>
      <c r="O333" s="10">
        <v>1250</v>
      </c>
      <c r="P333" s="10">
        <v>4.5999999999999996</v>
      </c>
      <c r="Q333" s="10" t="s">
        <v>26</v>
      </c>
    </row>
    <row r="334" spans="1:17" x14ac:dyDescent="0.25">
      <c r="A334" s="10" t="s">
        <v>549</v>
      </c>
      <c r="B334" s="10" t="s">
        <v>550</v>
      </c>
      <c r="C334" s="10" t="s">
        <v>40</v>
      </c>
      <c r="D334" s="10" t="s">
        <v>57</v>
      </c>
      <c r="E334" s="10" t="s">
        <v>155</v>
      </c>
      <c r="F334" s="10" t="s">
        <v>72</v>
      </c>
      <c r="G334" s="10" t="s">
        <v>23</v>
      </c>
      <c r="H334" s="10" t="s">
        <v>104</v>
      </c>
      <c r="I334" s="10" t="s">
        <v>45</v>
      </c>
      <c r="J334" s="10">
        <v>4</v>
      </c>
      <c r="K334" s="10">
        <v>1452</v>
      </c>
      <c r="L334" s="10">
        <v>5808</v>
      </c>
      <c r="M334" s="10">
        <v>5</v>
      </c>
      <c r="N334" s="10">
        <v>290</v>
      </c>
      <c r="O334" s="10">
        <v>5518</v>
      </c>
      <c r="P334" s="10">
        <v>4.5</v>
      </c>
      <c r="Q334" s="10" t="s">
        <v>26</v>
      </c>
    </row>
    <row r="335" spans="1:17" x14ac:dyDescent="0.25">
      <c r="A335" s="10" t="s">
        <v>551</v>
      </c>
      <c r="B335" s="10" t="s">
        <v>552</v>
      </c>
      <c r="C335" s="10" t="s">
        <v>63</v>
      </c>
      <c r="D335" s="10" t="s">
        <v>64</v>
      </c>
      <c r="E335" s="10" t="s">
        <v>53</v>
      </c>
      <c r="F335" s="10" t="s">
        <v>79</v>
      </c>
      <c r="G335" s="10" t="s">
        <v>23</v>
      </c>
      <c r="H335" s="10" t="s">
        <v>24</v>
      </c>
      <c r="I335" s="10" t="s">
        <v>25</v>
      </c>
      <c r="J335" s="10">
        <v>4</v>
      </c>
      <c r="K335" s="10">
        <v>1352</v>
      </c>
      <c r="L335" s="10">
        <v>5408</v>
      </c>
      <c r="M335" s="10">
        <v>15</v>
      </c>
      <c r="N335" s="10">
        <v>811</v>
      </c>
      <c r="O335" s="10">
        <v>4597</v>
      </c>
      <c r="P335" s="10">
        <v>4.2</v>
      </c>
      <c r="Q335" s="10" t="s">
        <v>26</v>
      </c>
    </row>
    <row r="336" spans="1:17" x14ac:dyDescent="0.25">
      <c r="A336" s="10" t="s">
        <v>553</v>
      </c>
      <c r="B336" s="10" t="s">
        <v>554</v>
      </c>
      <c r="C336" s="10" t="s">
        <v>91</v>
      </c>
      <c r="D336" s="10" t="s">
        <v>125</v>
      </c>
      <c r="E336" s="10" t="s">
        <v>78</v>
      </c>
      <c r="F336" s="10" t="s">
        <v>83</v>
      </c>
      <c r="G336" s="10" t="s">
        <v>23</v>
      </c>
      <c r="H336" s="10" t="s">
        <v>104</v>
      </c>
      <c r="I336" s="10" t="s">
        <v>45</v>
      </c>
      <c r="J336" s="10">
        <v>2</v>
      </c>
      <c r="K336" s="10">
        <v>1596</v>
      </c>
      <c r="L336" s="10">
        <v>3192</v>
      </c>
      <c r="M336" s="10">
        <v>30</v>
      </c>
      <c r="N336" s="10">
        <v>958</v>
      </c>
      <c r="O336" s="10">
        <v>2234</v>
      </c>
      <c r="P336" s="10">
        <v>4.2</v>
      </c>
      <c r="Q336" s="10" t="s">
        <v>26</v>
      </c>
    </row>
    <row r="337" spans="1:17" x14ac:dyDescent="0.25">
      <c r="A337" s="10" t="s">
        <v>555</v>
      </c>
      <c r="B337" s="10" t="s">
        <v>554</v>
      </c>
      <c r="C337" s="10" t="s">
        <v>40</v>
      </c>
      <c r="D337" s="10" t="s">
        <v>68</v>
      </c>
      <c r="E337" s="10" t="s">
        <v>30</v>
      </c>
      <c r="F337" s="10" t="s">
        <v>130</v>
      </c>
      <c r="G337" s="10" t="s">
        <v>32</v>
      </c>
      <c r="H337" s="10" t="s">
        <v>33</v>
      </c>
      <c r="I337" s="10" t="s">
        <v>98</v>
      </c>
      <c r="J337" s="10">
        <v>5</v>
      </c>
      <c r="K337" s="10">
        <v>568</v>
      </c>
      <c r="L337" s="10">
        <v>2840</v>
      </c>
      <c r="M337" s="10">
        <v>25</v>
      </c>
      <c r="N337" s="10">
        <v>710</v>
      </c>
      <c r="O337" s="10">
        <v>2130</v>
      </c>
      <c r="P337" s="10">
        <v>4.8</v>
      </c>
      <c r="Q337" s="10" t="s">
        <v>26</v>
      </c>
    </row>
    <row r="338" spans="1:17" x14ac:dyDescent="0.25">
      <c r="A338" s="10" t="s">
        <v>556</v>
      </c>
      <c r="B338" s="10" t="s">
        <v>554</v>
      </c>
      <c r="C338" s="10" t="s">
        <v>28</v>
      </c>
      <c r="D338" s="10" t="s">
        <v>36</v>
      </c>
      <c r="E338" s="10" t="s">
        <v>53</v>
      </c>
      <c r="F338" s="10" t="s">
        <v>83</v>
      </c>
      <c r="G338" s="10" t="s">
        <v>32</v>
      </c>
      <c r="H338" s="10" t="s">
        <v>33</v>
      </c>
      <c r="I338" s="10" t="s">
        <v>98</v>
      </c>
      <c r="J338" s="10">
        <v>4</v>
      </c>
      <c r="K338" s="10">
        <v>748</v>
      </c>
      <c r="L338" s="10">
        <v>2992</v>
      </c>
      <c r="M338" s="10">
        <v>10</v>
      </c>
      <c r="N338" s="10">
        <v>299</v>
      </c>
      <c r="O338" s="10">
        <v>2693</v>
      </c>
      <c r="P338" s="10">
        <v>4.0999999999999996</v>
      </c>
      <c r="Q338" s="10" t="s">
        <v>26</v>
      </c>
    </row>
    <row r="339" spans="1:17" x14ac:dyDescent="0.25">
      <c r="A339" s="10" t="s">
        <v>557</v>
      </c>
      <c r="B339" s="10" t="s">
        <v>554</v>
      </c>
      <c r="C339" s="10" t="s">
        <v>19</v>
      </c>
      <c r="D339" s="10" t="s">
        <v>20</v>
      </c>
      <c r="E339" s="10" t="s">
        <v>30</v>
      </c>
      <c r="F339" s="10" t="s">
        <v>43</v>
      </c>
      <c r="G339" s="10" t="s">
        <v>32</v>
      </c>
      <c r="H339" s="10" t="s">
        <v>24</v>
      </c>
      <c r="I339" s="10" t="s">
        <v>25</v>
      </c>
      <c r="J339" s="10">
        <v>1</v>
      </c>
      <c r="K339" s="10">
        <v>873</v>
      </c>
      <c r="L339" s="10">
        <v>873</v>
      </c>
      <c r="M339" s="10">
        <v>25</v>
      </c>
      <c r="N339" s="10">
        <v>218</v>
      </c>
      <c r="O339" s="10">
        <v>655</v>
      </c>
      <c r="P339" s="10">
        <v>4.4000000000000004</v>
      </c>
      <c r="Q339" s="10" t="s">
        <v>26</v>
      </c>
    </row>
    <row r="340" spans="1:17" x14ac:dyDescent="0.25">
      <c r="A340" s="10" t="s">
        <v>558</v>
      </c>
      <c r="B340" s="10" t="s">
        <v>559</v>
      </c>
      <c r="C340" s="10" t="s">
        <v>63</v>
      </c>
      <c r="D340" s="10" t="s">
        <v>64</v>
      </c>
      <c r="E340" s="10" t="s">
        <v>42</v>
      </c>
      <c r="F340" s="10" t="s">
        <v>43</v>
      </c>
      <c r="G340" s="10" t="s">
        <v>44</v>
      </c>
      <c r="H340" s="10" t="s">
        <v>33</v>
      </c>
      <c r="I340" s="10" t="s">
        <v>25</v>
      </c>
      <c r="J340" s="10">
        <v>3</v>
      </c>
      <c r="K340" s="10">
        <v>920</v>
      </c>
      <c r="L340" s="10">
        <v>2760</v>
      </c>
      <c r="M340" s="10">
        <v>0</v>
      </c>
      <c r="N340" s="10">
        <v>0</v>
      </c>
      <c r="O340" s="10">
        <v>2760</v>
      </c>
      <c r="P340" s="10">
        <v>3.9</v>
      </c>
      <c r="Q340" s="10" t="s">
        <v>26</v>
      </c>
    </row>
    <row r="341" spans="1:17" x14ac:dyDescent="0.25">
      <c r="A341" s="10" t="s">
        <v>560</v>
      </c>
      <c r="B341" s="10" t="s">
        <v>561</v>
      </c>
      <c r="C341" s="10" t="s">
        <v>28</v>
      </c>
      <c r="D341" s="10" t="s">
        <v>77</v>
      </c>
      <c r="E341" s="10" t="s">
        <v>30</v>
      </c>
      <c r="F341" s="10" t="s">
        <v>43</v>
      </c>
      <c r="G341" s="10" t="s">
        <v>32</v>
      </c>
      <c r="H341" s="10" t="s">
        <v>24</v>
      </c>
      <c r="I341" s="10" t="s">
        <v>25</v>
      </c>
      <c r="J341" s="10">
        <v>4</v>
      </c>
      <c r="K341" s="10">
        <v>717</v>
      </c>
      <c r="L341" s="10">
        <v>2868</v>
      </c>
      <c r="M341" s="10">
        <v>15</v>
      </c>
      <c r="N341" s="10">
        <v>430</v>
      </c>
      <c r="O341" s="10">
        <v>2438</v>
      </c>
      <c r="P341" s="10">
        <v>4.9000000000000004</v>
      </c>
      <c r="Q341" s="10" t="s">
        <v>26</v>
      </c>
    </row>
    <row r="342" spans="1:17" x14ac:dyDescent="0.25">
      <c r="A342" s="10" t="s">
        <v>562</v>
      </c>
      <c r="B342" s="10" t="s">
        <v>563</v>
      </c>
      <c r="C342" s="10" t="s">
        <v>19</v>
      </c>
      <c r="D342" s="10" t="s">
        <v>230</v>
      </c>
      <c r="E342" s="10" t="s">
        <v>71</v>
      </c>
      <c r="F342" s="10" t="s">
        <v>43</v>
      </c>
      <c r="G342" s="10" t="s">
        <v>23</v>
      </c>
      <c r="H342" s="10" t="s">
        <v>24</v>
      </c>
      <c r="I342" s="10" t="s">
        <v>84</v>
      </c>
      <c r="J342" s="10">
        <v>5</v>
      </c>
      <c r="K342" s="10">
        <v>551</v>
      </c>
      <c r="L342" s="10">
        <v>2755</v>
      </c>
      <c r="M342" s="10">
        <v>30</v>
      </c>
      <c r="N342" s="10">
        <v>826</v>
      </c>
      <c r="O342" s="10">
        <v>1929</v>
      </c>
      <c r="P342" s="10">
        <v>3.6</v>
      </c>
      <c r="Q342" s="10" t="s">
        <v>26</v>
      </c>
    </row>
    <row r="343" spans="1:17" x14ac:dyDescent="0.25">
      <c r="A343" s="10" t="s">
        <v>564</v>
      </c>
      <c r="B343" s="10" t="s">
        <v>565</v>
      </c>
      <c r="C343" s="10" t="s">
        <v>28</v>
      </c>
      <c r="D343" s="10" t="s">
        <v>29</v>
      </c>
      <c r="E343" s="10" t="s">
        <v>60</v>
      </c>
      <c r="F343" s="10" t="s">
        <v>72</v>
      </c>
      <c r="G343" s="10" t="s">
        <v>23</v>
      </c>
      <c r="H343" s="10" t="s">
        <v>33</v>
      </c>
      <c r="I343" s="10" t="s">
        <v>34</v>
      </c>
      <c r="J343" s="10">
        <v>4</v>
      </c>
      <c r="K343" s="10">
        <v>862</v>
      </c>
      <c r="L343" s="10">
        <v>3448</v>
      </c>
      <c r="M343" s="10">
        <v>15</v>
      </c>
      <c r="N343" s="10">
        <v>517</v>
      </c>
      <c r="O343" s="10">
        <v>2931</v>
      </c>
      <c r="P343" s="10">
        <v>3.5</v>
      </c>
      <c r="Q343" s="10" t="s">
        <v>26</v>
      </c>
    </row>
    <row r="344" spans="1:17" x14ac:dyDescent="0.25">
      <c r="A344" s="10" t="s">
        <v>566</v>
      </c>
      <c r="B344" s="10" t="s">
        <v>567</v>
      </c>
      <c r="C344" s="10" t="s">
        <v>51</v>
      </c>
      <c r="D344" s="10" t="s">
        <v>52</v>
      </c>
      <c r="E344" s="10" t="s">
        <v>53</v>
      </c>
      <c r="F344" s="10" t="s">
        <v>61</v>
      </c>
      <c r="G344" s="10" t="s">
        <v>23</v>
      </c>
      <c r="H344" s="10" t="s">
        <v>104</v>
      </c>
      <c r="I344" s="10" t="s">
        <v>34</v>
      </c>
      <c r="J344" s="10">
        <v>2</v>
      </c>
      <c r="K344" s="10">
        <v>187</v>
      </c>
      <c r="L344" s="10">
        <v>374</v>
      </c>
      <c r="M344" s="10">
        <v>20</v>
      </c>
      <c r="N344" s="10">
        <v>75</v>
      </c>
      <c r="O344" s="10">
        <v>299</v>
      </c>
      <c r="P344" s="10">
        <v>4.9000000000000004</v>
      </c>
      <c r="Q344" s="10" t="s">
        <v>26</v>
      </c>
    </row>
    <row r="345" spans="1:17" x14ac:dyDescent="0.25">
      <c r="A345" s="10" t="s">
        <v>568</v>
      </c>
      <c r="B345" s="10" t="s">
        <v>567</v>
      </c>
      <c r="C345" s="10" t="s">
        <v>28</v>
      </c>
      <c r="D345" s="10" t="s">
        <v>95</v>
      </c>
      <c r="E345" s="10" t="s">
        <v>82</v>
      </c>
      <c r="F345" s="10" t="s">
        <v>79</v>
      </c>
      <c r="G345" s="10" t="s">
        <v>23</v>
      </c>
      <c r="H345" s="10" t="s">
        <v>104</v>
      </c>
      <c r="I345" s="10" t="s">
        <v>98</v>
      </c>
      <c r="J345" s="10">
        <v>3</v>
      </c>
      <c r="K345" s="10">
        <v>739</v>
      </c>
      <c r="L345" s="10">
        <v>2217</v>
      </c>
      <c r="M345" s="10">
        <v>20</v>
      </c>
      <c r="N345" s="10">
        <v>443</v>
      </c>
      <c r="O345" s="10">
        <v>1774</v>
      </c>
      <c r="P345" s="10">
        <v>4.2</v>
      </c>
      <c r="Q345" s="10" t="s">
        <v>26</v>
      </c>
    </row>
    <row r="346" spans="1:17" x14ac:dyDescent="0.25">
      <c r="A346" s="10" t="s">
        <v>569</v>
      </c>
      <c r="B346" s="10" t="s">
        <v>567</v>
      </c>
      <c r="C346" s="10" t="s">
        <v>19</v>
      </c>
      <c r="D346" s="10" t="s">
        <v>128</v>
      </c>
      <c r="E346" s="10" t="s">
        <v>82</v>
      </c>
      <c r="F346" s="10" t="s">
        <v>83</v>
      </c>
      <c r="G346" s="10" t="s">
        <v>23</v>
      </c>
      <c r="H346" s="10" t="s">
        <v>104</v>
      </c>
      <c r="I346" s="10" t="s">
        <v>34</v>
      </c>
      <c r="J346" s="10">
        <v>1</v>
      </c>
      <c r="K346" s="10">
        <v>362</v>
      </c>
      <c r="L346" s="10">
        <v>362</v>
      </c>
      <c r="M346" s="10">
        <v>25</v>
      </c>
      <c r="N346" s="10">
        <v>90</v>
      </c>
      <c r="O346" s="10">
        <v>272</v>
      </c>
      <c r="P346" s="10">
        <v>4.9000000000000004</v>
      </c>
      <c r="Q346" s="10" t="s">
        <v>26</v>
      </c>
    </row>
    <row r="347" spans="1:17" x14ac:dyDescent="0.25">
      <c r="A347" s="10" t="s">
        <v>570</v>
      </c>
      <c r="B347" s="10" t="s">
        <v>571</v>
      </c>
      <c r="C347" s="10" t="s">
        <v>28</v>
      </c>
      <c r="D347" s="10" t="s">
        <v>95</v>
      </c>
      <c r="E347" s="10" t="s">
        <v>53</v>
      </c>
      <c r="F347" s="10" t="s">
        <v>31</v>
      </c>
      <c r="G347" s="10" t="s">
        <v>23</v>
      </c>
      <c r="H347" s="10" t="s">
        <v>24</v>
      </c>
      <c r="I347" s="10" t="s">
        <v>45</v>
      </c>
      <c r="J347" s="10">
        <v>1</v>
      </c>
      <c r="K347" s="10">
        <v>551</v>
      </c>
      <c r="L347" s="10">
        <v>551</v>
      </c>
      <c r="M347" s="10">
        <v>15</v>
      </c>
      <c r="N347" s="10">
        <v>83</v>
      </c>
      <c r="O347" s="10">
        <v>468</v>
      </c>
      <c r="P347" s="10">
        <v>4.8</v>
      </c>
      <c r="Q347" s="10" t="s">
        <v>26</v>
      </c>
    </row>
    <row r="348" spans="1:17" x14ac:dyDescent="0.25">
      <c r="A348" s="10" t="s">
        <v>572</v>
      </c>
      <c r="B348" s="10" t="s">
        <v>571</v>
      </c>
      <c r="C348" s="10" t="s">
        <v>63</v>
      </c>
      <c r="D348" s="10" t="s">
        <v>64</v>
      </c>
      <c r="E348" s="10" t="s">
        <v>60</v>
      </c>
      <c r="F348" s="10" t="s">
        <v>79</v>
      </c>
      <c r="G348" s="10" t="s">
        <v>23</v>
      </c>
      <c r="H348" s="10" t="s">
        <v>33</v>
      </c>
      <c r="I348" s="10" t="s">
        <v>84</v>
      </c>
      <c r="J348" s="10">
        <v>2</v>
      </c>
      <c r="K348" s="10">
        <v>2451</v>
      </c>
      <c r="L348" s="10">
        <v>4902</v>
      </c>
      <c r="M348" s="10">
        <v>10</v>
      </c>
      <c r="N348" s="10">
        <v>490</v>
      </c>
      <c r="O348" s="10">
        <v>4412</v>
      </c>
      <c r="P348" s="10">
        <v>4.2</v>
      </c>
      <c r="Q348" s="10" t="s">
        <v>26</v>
      </c>
    </row>
    <row r="349" spans="1:17" x14ac:dyDescent="0.25">
      <c r="A349" s="10" t="s">
        <v>573</v>
      </c>
      <c r="B349" s="10" t="s">
        <v>571</v>
      </c>
      <c r="C349" s="10" t="s">
        <v>40</v>
      </c>
      <c r="D349" s="10" t="s">
        <v>41</v>
      </c>
      <c r="E349" s="10" t="s">
        <v>53</v>
      </c>
      <c r="F349" s="10" t="s">
        <v>43</v>
      </c>
      <c r="G349" s="10" t="s">
        <v>23</v>
      </c>
      <c r="H349" s="10" t="s">
        <v>33</v>
      </c>
      <c r="I349" s="10" t="s">
        <v>25</v>
      </c>
      <c r="J349" s="10">
        <v>5</v>
      </c>
      <c r="K349" s="10">
        <v>1385</v>
      </c>
      <c r="L349" s="10">
        <v>6925</v>
      </c>
      <c r="M349" s="10">
        <v>5</v>
      </c>
      <c r="N349" s="10">
        <v>346</v>
      </c>
      <c r="O349" s="10">
        <v>6579</v>
      </c>
      <c r="P349" s="10">
        <v>4.2</v>
      </c>
      <c r="Q349" s="10" t="s">
        <v>26</v>
      </c>
    </row>
    <row r="350" spans="1:17" x14ac:dyDescent="0.25">
      <c r="A350" s="10" t="s">
        <v>574</v>
      </c>
      <c r="B350" s="10" t="s">
        <v>575</v>
      </c>
      <c r="C350" s="10" t="s">
        <v>63</v>
      </c>
      <c r="D350" s="10" t="s">
        <v>143</v>
      </c>
      <c r="E350" s="10" t="s">
        <v>78</v>
      </c>
      <c r="F350" s="10" t="s">
        <v>72</v>
      </c>
      <c r="G350" s="10" t="s">
        <v>32</v>
      </c>
      <c r="H350" s="10" t="s">
        <v>24</v>
      </c>
      <c r="I350" s="10" t="s">
        <v>34</v>
      </c>
      <c r="J350" s="10">
        <v>5</v>
      </c>
      <c r="K350" s="10">
        <v>2233</v>
      </c>
      <c r="L350" s="10">
        <v>11165</v>
      </c>
      <c r="M350" s="10">
        <v>10</v>
      </c>
      <c r="N350" s="10">
        <v>1116</v>
      </c>
      <c r="O350" s="10">
        <v>10049</v>
      </c>
      <c r="P350" s="10">
        <v>3.3</v>
      </c>
      <c r="Q350" s="10" t="s">
        <v>26</v>
      </c>
    </row>
    <row r="351" spans="1:17" x14ac:dyDescent="0.25">
      <c r="A351" s="10" t="s">
        <v>576</v>
      </c>
      <c r="B351" s="10" t="s">
        <v>575</v>
      </c>
      <c r="C351" s="10" t="s">
        <v>19</v>
      </c>
      <c r="D351" s="10" t="s">
        <v>20</v>
      </c>
      <c r="E351" s="10" t="s">
        <v>48</v>
      </c>
      <c r="F351" s="10" t="s">
        <v>31</v>
      </c>
      <c r="G351" s="10" t="s">
        <v>23</v>
      </c>
      <c r="H351" s="10" t="s">
        <v>104</v>
      </c>
      <c r="I351" s="10" t="s">
        <v>25</v>
      </c>
      <c r="J351" s="10">
        <v>4</v>
      </c>
      <c r="K351" s="10">
        <v>335</v>
      </c>
      <c r="L351" s="10">
        <v>1340</v>
      </c>
      <c r="M351" s="10">
        <v>0</v>
      </c>
      <c r="N351" s="10">
        <v>0</v>
      </c>
      <c r="O351" s="10">
        <v>1340</v>
      </c>
      <c r="P351" s="10">
        <v>4.3</v>
      </c>
      <c r="Q351" s="10" t="s">
        <v>26</v>
      </c>
    </row>
    <row r="352" spans="1:17" x14ac:dyDescent="0.25">
      <c r="A352" s="10" t="s">
        <v>577</v>
      </c>
      <c r="B352" s="10" t="s">
        <v>575</v>
      </c>
      <c r="C352" s="10" t="s">
        <v>19</v>
      </c>
      <c r="D352" s="10" t="s">
        <v>128</v>
      </c>
      <c r="E352" s="10" t="s">
        <v>30</v>
      </c>
      <c r="F352" s="10" t="s">
        <v>65</v>
      </c>
      <c r="G352" s="10" t="s">
        <v>23</v>
      </c>
      <c r="H352" s="10" t="s">
        <v>33</v>
      </c>
      <c r="I352" s="10" t="s">
        <v>34</v>
      </c>
      <c r="J352" s="10">
        <v>2</v>
      </c>
      <c r="K352" s="10">
        <v>749</v>
      </c>
      <c r="L352" s="10">
        <v>1498</v>
      </c>
      <c r="M352" s="10">
        <v>5</v>
      </c>
      <c r="N352" s="10">
        <v>75</v>
      </c>
      <c r="O352" s="10">
        <v>1423</v>
      </c>
      <c r="P352" s="10">
        <v>5</v>
      </c>
      <c r="Q352" s="10" t="s">
        <v>26</v>
      </c>
    </row>
    <row r="353" spans="1:17" x14ac:dyDescent="0.25">
      <c r="A353" s="10" t="s">
        <v>578</v>
      </c>
      <c r="B353" s="10" t="s">
        <v>575</v>
      </c>
      <c r="C353" s="10" t="s">
        <v>51</v>
      </c>
      <c r="D353" s="10" t="s">
        <v>52</v>
      </c>
      <c r="E353" s="10" t="s">
        <v>71</v>
      </c>
      <c r="F353" s="10" t="s">
        <v>79</v>
      </c>
      <c r="G353" s="10" t="s">
        <v>32</v>
      </c>
      <c r="H353" s="10" t="s">
        <v>33</v>
      </c>
      <c r="I353" s="10" t="s">
        <v>98</v>
      </c>
      <c r="J353" s="10">
        <v>1</v>
      </c>
      <c r="K353" s="10">
        <v>628</v>
      </c>
      <c r="L353" s="10">
        <v>628</v>
      </c>
      <c r="M353" s="10">
        <v>10</v>
      </c>
      <c r="N353" s="10">
        <v>63</v>
      </c>
      <c r="O353" s="10">
        <v>565</v>
      </c>
      <c r="P353" s="10">
        <v>4.4000000000000004</v>
      </c>
      <c r="Q353" s="10" t="s">
        <v>26</v>
      </c>
    </row>
    <row r="354" spans="1:17" x14ac:dyDescent="0.25">
      <c r="A354" s="10" t="s">
        <v>579</v>
      </c>
      <c r="B354" s="10" t="s">
        <v>575</v>
      </c>
      <c r="C354" s="10" t="s">
        <v>91</v>
      </c>
      <c r="D354" s="10" t="s">
        <v>92</v>
      </c>
      <c r="E354" s="10" t="s">
        <v>78</v>
      </c>
      <c r="F354" s="10" t="s">
        <v>130</v>
      </c>
      <c r="G354" s="10" t="s">
        <v>23</v>
      </c>
      <c r="H354" s="10" t="s">
        <v>104</v>
      </c>
      <c r="I354" s="10" t="s">
        <v>25</v>
      </c>
      <c r="J354" s="10">
        <v>4</v>
      </c>
      <c r="K354" s="10">
        <v>1433</v>
      </c>
      <c r="L354" s="10">
        <v>5732</v>
      </c>
      <c r="M354" s="10">
        <v>0</v>
      </c>
      <c r="N354" s="10">
        <v>0</v>
      </c>
      <c r="O354" s="10">
        <v>5732</v>
      </c>
      <c r="P354" s="10">
        <v>4.7</v>
      </c>
      <c r="Q354" s="10" t="s">
        <v>26</v>
      </c>
    </row>
    <row r="355" spans="1:17" x14ac:dyDescent="0.25">
      <c r="A355" s="10" t="s">
        <v>580</v>
      </c>
      <c r="B355" s="10" t="s">
        <v>581</v>
      </c>
      <c r="C355" s="10" t="s">
        <v>40</v>
      </c>
      <c r="D355" s="10" t="s">
        <v>47</v>
      </c>
      <c r="E355" s="10" t="s">
        <v>48</v>
      </c>
      <c r="F355" s="10" t="s">
        <v>72</v>
      </c>
      <c r="G355" s="10" t="s">
        <v>23</v>
      </c>
      <c r="H355" s="10" t="s">
        <v>33</v>
      </c>
      <c r="I355" s="10" t="s">
        <v>84</v>
      </c>
      <c r="J355" s="10">
        <v>5</v>
      </c>
      <c r="K355" s="10">
        <v>492</v>
      </c>
      <c r="L355" s="10">
        <v>2460</v>
      </c>
      <c r="M355" s="10">
        <v>30</v>
      </c>
      <c r="N355" s="10">
        <v>738</v>
      </c>
      <c r="O355" s="10">
        <v>1722</v>
      </c>
      <c r="P355" s="10">
        <v>3.9</v>
      </c>
      <c r="Q355" s="10" t="s">
        <v>26</v>
      </c>
    </row>
    <row r="356" spans="1:17" x14ac:dyDescent="0.25">
      <c r="A356" s="10" t="s">
        <v>582</v>
      </c>
      <c r="B356" s="10" t="s">
        <v>583</v>
      </c>
      <c r="C356" s="10" t="s">
        <v>19</v>
      </c>
      <c r="D356" s="10" t="s">
        <v>121</v>
      </c>
      <c r="E356" s="10" t="s">
        <v>37</v>
      </c>
      <c r="F356" s="10" t="s">
        <v>31</v>
      </c>
      <c r="G356" s="10" t="s">
        <v>32</v>
      </c>
      <c r="H356" s="10" t="s">
        <v>24</v>
      </c>
      <c r="I356" s="10" t="s">
        <v>45</v>
      </c>
      <c r="J356" s="10">
        <v>5</v>
      </c>
      <c r="K356" s="10">
        <v>749</v>
      </c>
      <c r="L356" s="10">
        <v>3745</v>
      </c>
      <c r="M356" s="10">
        <v>20</v>
      </c>
      <c r="N356" s="10">
        <v>749</v>
      </c>
      <c r="O356" s="10">
        <v>2996</v>
      </c>
      <c r="P356" s="10">
        <v>3.2</v>
      </c>
      <c r="Q356" s="10" t="s">
        <v>26</v>
      </c>
    </row>
    <row r="357" spans="1:17" x14ac:dyDescent="0.25">
      <c r="A357" s="10" t="s">
        <v>584</v>
      </c>
      <c r="B357" s="10" t="s">
        <v>583</v>
      </c>
      <c r="C357" s="10" t="s">
        <v>51</v>
      </c>
      <c r="D357" s="10" t="s">
        <v>70</v>
      </c>
      <c r="E357" s="10" t="s">
        <v>78</v>
      </c>
      <c r="F357" s="10" t="s">
        <v>31</v>
      </c>
      <c r="G357" s="10" t="s">
        <v>32</v>
      </c>
      <c r="H357" s="10" t="s">
        <v>24</v>
      </c>
      <c r="I357" s="10" t="s">
        <v>84</v>
      </c>
      <c r="J357" s="10">
        <v>1</v>
      </c>
      <c r="K357" s="10">
        <v>157</v>
      </c>
      <c r="L357" s="10">
        <v>157</v>
      </c>
      <c r="M357" s="10">
        <v>20</v>
      </c>
      <c r="N357" s="10">
        <v>31</v>
      </c>
      <c r="O357" s="10">
        <v>126</v>
      </c>
      <c r="P357" s="10">
        <v>4.5</v>
      </c>
      <c r="Q357" s="10" t="s">
        <v>26</v>
      </c>
    </row>
    <row r="358" spans="1:17" x14ac:dyDescent="0.25">
      <c r="A358" s="10" t="s">
        <v>585</v>
      </c>
      <c r="B358" s="10" t="s">
        <v>586</v>
      </c>
      <c r="C358" s="10" t="s">
        <v>40</v>
      </c>
      <c r="D358" s="10" t="s">
        <v>41</v>
      </c>
      <c r="E358" s="10" t="s">
        <v>82</v>
      </c>
      <c r="F358" s="10" t="s">
        <v>72</v>
      </c>
      <c r="G358" s="10" t="s">
        <v>23</v>
      </c>
      <c r="H358" s="10" t="s">
        <v>24</v>
      </c>
      <c r="I358" s="10" t="s">
        <v>45</v>
      </c>
      <c r="J358" s="10">
        <v>2</v>
      </c>
      <c r="K358" s="10">
        <v>1135</v>
      </c>
      <c r="L358" s="10">
        <v>2270</v>
      </c>
      <c r="M358" s="10">
        <v>20</v>
      </c>
      <c r="N358" s="10">
        <v>454</v>
      </c>
      <c r="O358" s="10">
        <v>1816</v>
      </c>
      <c r="P358" s="10">
        <v>3.5</v>
      </c>
      <c r="Q358" s="10" t="s">
        <v>26</v>
      </c>
    </row>
    <row r="359" spans="1:17" x14ac:dyDescent="0.25">
      <c r="A359" s="10" t="s">
        <v>587</v>
      </c>
      <c r="B359" s="10" t="s">
        <v>586</v>
      </c>
      <c r="C359" s="10" t="s">
        <v>51</v>
      </c>
      <c r="D359" s="10" t="s">
        <v>52</v>
      </c>
      <c r="E359" s="10" t="s">
        <v>30</v>
      </c>
      <c r="F359" s="10" t="s">
        <v>72</v>
      </c>
      <c r="G359" s="10" t="s">
        <v>23</v>
      </c>
      <c r="H359" s="10" t="s">
        <v>24</v>
      </c>
      <c r="I359" s="10" t="s">
        <v>34</v>
      </c>
      <c r="J359" s="10">
        <v>4</v>
      </c>
      <c r="K359" s="10">
        <v>661</v>
      </c>
      <c r="L359" s="10">
        <v>2644</v>
      </c>
      <c r="M359" s="10">
        <v>10</v>
      </c>
      <c r="N359" s="10">
        <v>264</v>
      </c>
      <c r="O359" s="10">
        <v>2380</v>
      </c>
      <c r="P359" s="10">
        <v>3.9</v>
      </c>
      <c r="Q359" s="10" t="s">
        <v>26</v>
      </c>
    </row>
    <row r="360" spans="1:17" x14ac:dyDescent="0.25">
      <c r="A360" s="10" t="s">
        <v>588</v>
      </c>
      <c r="B360" s="10" t="s">
        <v>586</v>
      </c>
      <c r="C360" s="10" t="s">
        <v>40</v>
      </c>
      <c r="D360" s="10" t="s">
        <v>57</v>
      </c>
      <c r="E360" s="10" t="s">
        <v>155</v>
      </c>
      <c r="F360" s="10" t="s">
        <v>65</v>
      </c>
      <c r="G360" s="10" t="s">
        <v>23</v>
      </c>
      <c r="H360" s="10" t="s">
        <v>33</v>
      </c>
      <c r="I360" s="10" t="s">
        <v>34</v>
      </c>
      <c r="J360" s="10">
        <v>3</v>
      </c>
      <c r="K360" s="10">
        <v>323</v>
      </c>
      <c r="L360" s="10">
        <v>969</v>
      </c>
      <c r="M360" s="10">
        <v>0</v>
      </c>
      <c r="N360" s="10">
        <v>0</v>
      </c>
      <c r="O360" s="10">
        <v>969</v>
      </c>
      <c r="P360" s="10">
        <v>3.8</v>
      </c>
      <c r="Q360" s="10" t="s">
        <v>26</v>
      </c>
    </row>
    <row r="361" spans="1:17" x14ac:dyDescent="0.25">
      <c r="A361" s="10" t="s">
        <v>589</v>
      </c>
      <c r="B361" s="10" t="s">
        <v>586</v>
      </c>
      <c r="C361" s="10" t="s">
        <v>63</v>
      </c>
      <c r="D361" s="10" t="s">
        <v>143</v>
      </c>
      <c r="E361" s="10" t="s">
        <v>78</v>
      </c>
      <c r="F361" s="10" t="s">
        <v>130</v>
      </c>
      <c r="G361" s="10" t="s">
        <v>32</v>
      </c>
      <c r="H361" s="10" t="s">
        <v>33</v>
      </c>
      <c r="I361" s="10" t="s">
        <v>45</v>
      </c>
      <c r="J361" s="10">
        <v>5</v>
      </c>
      <c r="K361" s="10">
        <v>1744</v>
      </c>
      <c r="L361" s="10">
        <v>8720</v>
      </c>
      <c r="M361" s="10">
        <v>5</v>
      </c>
      <c r="N361" s="10">
        <v>436</v>
      </c>
      <c r="O361" s="10">
        <v>8284</v>
      </c>
      <c r="P361" s="10">
        <v>4.0999999999999996</v>
      </c>
      <c r="Q361" s="10" t="s">
        <v>26</v>
      </c>
    </row>
    <row r="362" spans="1:17" x14ac:dyDescent="0.25">
      <c r="A362" s="10" t="s">
        <v>590</v>
      </c>
      <c r="B362" s="10" t="s">
        <v>586</v>
      </c>
      <c r="C362" s="10" t="s">
        <v>19</v>
      </c>
      <c r="D362" s="10" t="s">
        <v>230</v>
      </c>
      <c r="E362" s="10" t="s">
        <v>71</v>
      </c>
      <c r="F362" s="10" t="s">
        <v>72</v>
      </c>
      <c r="G362" s="10" t="s">
        <v>44</v>
      </c>
      <c r="H362" s="10" t="s">
        <v>33</v>
      </c>
      <c r="I362" s="10" t="s">
        <v>45</v>
      </c>
      <c r="J362" s="10">
        <v>1</v>
      </c>
      <c r="K362" s="10">
        <v>155</v>
      </c>
      <c r="L362" s="10">
        <v>155</v>
      </c>
      <c r="M362" s="10">
        <v>25</v>
      </c>
      <c r="N362" s="10">
        <v>39</v>
      </c>
      <c r="O362" s="10">
        <v>116</v>
      </c>
      <c r="P362" s="10">
        <v>4.8</v>
      </c>
      <c r="Q362" s="10" t="s">
        <v>26</v>
      </c>
    </row>
    <row r="363" spans="1:17" x14ac:dyDescent="0.25">
      <c r="A363" s="10" t="s">
        <v>591</v>
      </c>
      <c r="B363" s="10" t="s">
        <v>592</v>
      </c>
      <c r="C363" s="10" t="s">
        <v>51</v>
      </c>
      <c r="D363" s="10" t="s">
        <v>97</v>
      </c>
      <c r="E363" s="10" t="s">
        <v>30</v>
      </c>
      <c r="F363" s="10" t="s">
        <v>65</v>
      </c>
      <c r="G363" s="10" t="s">
        <v>32</v>
      </c>
      <c r="H363" s="10" t="s">
        <v>33</v>
      </c>
      <c r="I363" s="10" t="s">
        <v>45</v>
      </c>
      <c r="J363" s="10">
        <v>4</v>
      </c>
      <c r="K363" s="10">
        <v>258</v>
      </c>
      <c r="L363" s="10">
        <v>1032</v>
      </c>
      <c r="M363" s="10">
        <v>30</v>
      </c>
      <c r="N363" s="10">
        <v>310</v>
      </c>
      <c r="O363" s="10">
        <v>722</v>
      </c>
      <c r="P363" s="10">
        <v>3.8</v>
      </c>
      <c r="Q363" s="10" t="s">
        <v>26</v>
      </c>
    </row>
    <row r="364" spans="1:17" x14ac:dyDescent="0.25">
      <c r="A364" s="10" t="s">
        <v>593</v>
      </c>
      <c r="B364" s="10" t="s">
        <v>592</v>
      </c>
      <c r="C364" s="10" t="s">
        <v>51</v>
      </c>
      <c r="D364" s="10" t="s">
        <v>52</v>
      </c>
      <c r="E364" s="10" t="s">
        <v>78</v>
      </c>
      <c r="F364" s="10" t="s">
        <v>43</v>
      </c>
      <c r="G364" s="10" t="s">
        <v>23</v>
      </c>
      <c r="H364" s="10" t="s">
        <v>24</v>
      </c>
      <c r="I364" s="10" t="s">
        <v>98</v>
      </c>
      <c r="J364" s="10">
        <v>2</v>
      </c>
      <c r="K364" s="10">
        <v>465</v>
      </c>
      <c r="L364" s="10">
        <v>930</v>
      </c>
      <c r="M364" s="10">
        <v>10</v>
      </c>
      <c r="N364" s="10">
        <v>93</v>
      </c>
      <c r="O364" s="10">
        <v>837</v>
      </c>
      <c r="P364" s="10">
        <v>4.5999999999999996</v>
      </c>
      <c r="Q364" s="10" t="s">
        <v>26</v>
      </c>
    </row>
    <row r="365" spans="1:17" x14ac:dyDescent="0.25">
      <c r="A365" s="10" t="s">
        <v>594</v>
      </c>
      <c r="B365" s="10" t="s">
        <v>595</v>
      </c>
      <c r="C365" s="10" t="s">
        <v>63</v>
      </c>
      <c r="D365" s="10" t="s">
        <v>143</v>
      </c>
      <c r="E365" s="10" t="s">
        <v>48</v>
      </c>
      <c r="F365" s="10" t="s">
        <v>31</v>
      </c>
      <c r="G365" s="10" t="s">
        <v>23</v>
      </c>
      <c r="H365" s="10" t="s">
        <v>33</v>
      </c>
      <c r="I365" s="10" t="s">
        <v>98</v>
      </c>
      <c r="J365" s="10">
        <v>3</v>
      </c>
      <c r="K365" s="10">
        <v>2081</v>
      </c>
      <c r="L365" s="10">
        <v>6243</v>
      </c>
      <c r="M365" s="10">
        <v>25</v>
      </c>
      <c r="N365" s="10">
        <v>1561</v>
      </c>
      <c r="O365" s="10">
        <v>4682</v>
      </c>
      <c r="P365" s="10">
        <v>4</v>
      </c>
      <c r="Q365" s="10" t="s">
        <v>26</v>
      </c>
    </row>
    <row r="366" spans="1:17" x14ac:dyDescent="0.25">
      <c r="A366" s="10" t="s">
        <v>596</v>
      </c>
      <c r="B366" s="10" t="s">
        <v>595</v>
      </c>
      <c r="C366" s="10" t="s">
        <v>91</v>
      </c>
      <c r="D366" s="10" t="s">
        <v>125</v>
      </c>
      <c r="E366" s="10" t="s">
        <v>155</v>
      </c>
      <c r="F366" s="10" t="s">
        <v>72</v>
      </c>
      <c r="G366" s="10" t="s">
        <v>23</v>
      </c>
      <c r="H366" s="10" t="s">
        <v>24</v>
      </c>
      <c r="I366" s="10" t="s">
        <v>84</v>
      </c>
      <c r="J366" s="10">
        <v>4</v>
      </c>
      <c r="K366" s="10">
        <v>2917</v>
      </c>
      <c r="L366" s="10">
        <v>11668</v>
      </c>
      <c r="M366" s="10">
        <v>30</v>
      </c>
      <c r="N366" s="10">
        <v>3500</v>
      </c>
      <c r="O366" s="10">
        <v>8168</v>
      </c>
      <c r="P366" s="10">
        <v>4.2</v>
      </c>
      <c r="Q366" s="10" t="s">
        <v>26</v>
      </c>
    </row>
    <row r="367" spans="1:17" x14ac:dyDescent="0.25">
      <c r="A367" s="10" t="s">
        <v>597</v>
      </c>
      <c r="B367" s="10" t="s">
        <v>598</v>
      </c>
      <c r="C367" s="10" t="s">
        <v>40</v>
      </c>
      <c r="D367" s="10" t="s">
        <v>47</v>
      </c>
      <c r="E367" s="10" t="s">
        <v>21</v>
      </c>
      <c r="F367" s="10" t="s">
        <v>65</v>
      </c>
      <c r="G367" s="10" t="s">
        <v>23</v>
      </c>
      <c r="H367" s="10" t="s">
        <v>24</v>
      </c>
      <c r="I367" s="10" t="s">
        <v>34</v>
      </c>
      <c r="J367" s="10">
        <v>4</v>
      </c>
      <c r="K367" s="10">
        <v>732</v>
      </c>
      <c r="L367" s="10">
        <v>2928</v>
      </c>
      <c r="M367" s="10">
        <v>25</v>
      </c>
      <c r="N367" s="10">
        <v>732</v>
      </c>
      <c r="O367" s="10">
        <v>2196</v>
      </c>
      <c r="P367" s="10">
        <v>3.6</v>
      </c>
      <c r="Q367" s="10" t="s">
        <v>26</v>
      </c>
    </row>
    <row r="368" spans="1:17" x14ac:dyDescent="0.25">
      <c r="A368" s="10" t="s">
        <v>599</v>
      </c>
      <c r="B368" s="10" t="s">
        <v>598</v>
      </c>
      <c r="C368" s="10" t="s">
        <v>91</v>
      </c>
      <c r="D368" s="10" t="s">
        <v>125</v>
      </c>
      <c r="E368" s="10" t="s">
        <v>42</v>
      </c>
      <c r="F368" s="10" t="s">
        <v>79</v>
      </c>
      <c r="G368" s="10" t="s">
        <v>23</v>
      </c>
      <c r="H368" s="10" t="s">
        <v>104</v>
      </c>
      <c r="I368" s="10" t="s">
        <v>34</v>
      </c>
      <c r="J368" s="10">
        <v>3</v>
      </c>
      <c r="K368" s="10">
        <v>2937</v>
      </c>
      <c r="L368" s="10">
        <v>8811</v>
      </c>
      <c r="M368" s="10">
        <v>5</v>
      </c>
      <c r="N368" s="10">
        <v>441</v>
      </c>
      <c r="O368" s="10">
        <v>8370</v>
      </c>
      <c r="P368" s="10">
        <v>4.5999999999999996</v>
      </c>
      <c r="Q368" s="10" t="s">
        <v>26</v>
      </c>
    </row>
    <row r="369" spans="1:17" x14ac:dyDescent="0.25">
      <c r="A369" s="10" t="s">
        <v>600</v>
      </c>
      <c r="B369" s="10" t="s">
        <v>598</v>
      </c>
      <c r="C369" s="10" t="s">
        <v>40</v>
      </c>
      <c r="D369" s="10" t="s">
        <v>41</v>
      </c>
      <c r="E369" s="10" t="s">
        <v>60</v>
      </c>
      <c r="F369" s="10" t="s">
        <v>72</v>
      </c>
      <c r="G369" s="10" t="s">
        <v>32</v>
      </c>
      <c r="H369" s="10" t="s">
        <v>104</v>
      </c>
      <c r="I369" s="10" t="s">
        <v>98</v>
      </c>
      <c r="J369" s="10">
        <v>5</v>
      </c>
      <c r="K369" s="10">
        <v>599</v>
      </c>
      <c r="L369" s="10">
        <v>2995</v>
      </c>
      <c r="M369" s="10">
        <v>15</v>
      </c>
      <c r="N369" s="10">
        <v>449</v>
      </c>
      <c r="O369" s="10">
        <v>2546</v>
      </c>
      <c r="P369" s="10">
        <v>4.9000000000000004</v>
      </c>
      <c r="Q369" s="10" t="s">
        <v>26</v>
      </c>
    </row>
    <row r="370" spans="1:17" x14ac:dyDescent="0.25">
      <c r="A370" s="10" t="s">
        <v>601</v>
      </c>
      <c r="B370" s="10" t="s">
        <v>598</v>
      </c>
      <c r="C370" s="10" t="s">
        <v>40</v>
      </c>
      <c r="D370" s="10" t="s">
        <v>41</v>
      </c>
      <c r="E370" s="10" t="s">
        <v>30</v>
      </c>
      <c r="F370" s="10" t="s">
        <v>130</v>
      </c>
      <c r="G370" s="10" t="s">
        <v>32</v>
      </c>
      <c r="H370" s="10" t="s">
        <v>33</v>
      </c>
      <c r="I370" s="10" t="s">
        <v>25</v>
      </c>
      <c r="J370" s="10">
        <v>4</v>
      </c>
      <c r="K370" s="10">
        <v>1452</v>
      </c>
      <c r="L370" s="10">
        <v>5808</v>
      </c>
      <c r="M370" s="10">
        <v>25</v>
      </c>
      <c r="N370" s="10">
        <v>1452</v>
      </c>
      <c r="O370" s="10">
        <v>4356</v>
      </c>
      <c r="P370" s="10">
        <v>4.8</v>
      </c>
      <c r="Q370" s="10" t="s">
        <v>26</v>
      </c>
    </row>
    <row r="371" spans="1:17" x14ac:dyDescent="0.25">
      <c r="A371" s="10" t="s">
        <v>602</v>
      </c>
      <c r="B371" s="10" t="s">
        <v>598</v>
      </c>
      <c r="C371" s="10" t="s">
        <v>19</v>
      </c>
      <c r="D371" s="10" t="s">
        <v>128</v>
      </c>
      <c r="E371" s="10" t="s">
        <v>82</v>
      </c>
      <c r="F371" s="10" t="s">
        <v>31</v>
      </c>
      <c r="G371" s="10" t="s">
        <v>44</v>
      </c>
      <c r="H371" s="10" t="s">
        <v>33</v>
      </c>
      <c r="I371" s="10" t="s">
        <v>34</v>
      </c>
      <c r="J371" s="10">
        <v>1</v>
      </c>
      <c r="K371" s="10">
        <v>168</v>
      </c>
      <c r="L371" s="10">
        <v>168</v>
      </c>
      <c r="M371" s="10">
        <v>20</v>
      </c>
      <c r="N371" s="10">
        <v>34</v>
      </c>
      <c r="O371" s="10">
        <v>134</v>
      </c>
      <c r="P371" s="10">
        <v>4.5</v>
      </c>
      <c r="Q371" s="10" t="s">
        <v>26</v>
      </c>
    </row>
    <row r="372" spans="1:17" x14ac:dyDescent="0.25">
      <c r="A372" s="10" t="s">
        <v>603</v>
      </c>
      <c r="B372" s="10" t="s">
        <v>604</v>
      </c>
      <c r="C372" s="10" t="s">
        <v>40</v>
      </c>
      <c r="D372" s="10" t="s">
        <v>113</v>
      </c>
      <c r="E372" s="10" t="s">
        <v>82</v>
      </c>
      <c r="F372" s="10" t="s">
        <v>83</v>
      </c>
      <c r="G372" s="10" t="s">
        <v>23</v>
      </c>
      <c r="H372" s="10" t="s">
        <v>33</v>
      </c>
      <c r="I372" s="10" t="s">
        <v>34</v>
      </c>
      <c r="J372" s="10">
        <v>5</v>
      </c>
      <c r="K372" s="10">
        <v>1073</v>
      </c>
      <c r="L372" s="10">
        <v>5365</v>
      </c>
      <c r="M372" s="10">
        <v>10</v>
      </c>
      <c r="N372" s="10">
        <v>536</v>
      </c>
      <c r="O372" s="10">
        <v>4829</v>
      </c>
      <c r="P372" s="10">
        <v>4.8</v>
      </c>
      <c r="Q372" s="10" t="s">
        <v>26</v>
      </c>
    </row>
    <row r="373" spans="1:17" x14ac:dyDescent="0.25">
      <c r="A373" s="10" t="s">
        <v>605</v>
      </c>
      <c r="B373" s="10" t="s">
        <v>604</v>
      </c>
      <c r="C373" s="10" t="s">
        <v>40</v>
      </c>
      <c r="D373" s="10" t="s">
        <v>57</v>
      </c>
      <c r="E373" s="10" t="s">
        <v>42</v>
      </c>
      <c r="F373" s="10" t="s">
        <v>43</v>
      </c>
      <c r="G373" s="10" t="s">
        <v>23</v>
      </c>
      <c r="H373" s="10" t="s">
        <v>33</v>
      </c>
      <c r="I373" s="10" t="s">
        <v>34</v>
      </c>
      <c r="J373" s="10">
        <v>4</v>
      </c>
      <c r="K373" s="10">
        <v>1135</v>
      </c>
      <c r="L373" s="10">
        <v>4540</v>
      </c>
      <c r="M373" s="10">
        <v>0</v>
      </c>
      <c r="N373" s="10">
        <v>0</v>
      </c>
      <c r="O373" s="10">
        <v>4540</v>
      </c>
      <c r="P373" s="10">
        <v>3.8</v>
      </c>
      <c r="Q373" s="10" t="s">
        <v>26</v>
      </c>
    </row>
    <row r="374" spans="1:17" x14ac:dyDescent="0.25">
      <c r="A374" s="10" t="s">
        <v>606</v>
      </c>
      <c r="B374" s="10" t="s">
        <v>604</v>
      </c>
      <c r="C374" s="10" t="s">
        <v>19</v>
      </c>
      <c r="D374" s="10" t="s">
        <v>128</v>
      </c>
      <c r="E374" s="10" t="s">
        <v>155</v>
      </c>
      <c r="F374" s="10" t="s">
        <v>83</v>
      </c>
      <c r="G374" s="10" t="s">
        <v>32</v>
      </c>
      <c r="H374" s="10" t="s">
        <v>104</v>
      </c>
      <c r="I374" s="10" t="s">
        <v>98</v>
      </c>
      <c r="J374" s="10">
        <v>4</v>
      </c>
      <c r="K374" s="10">
        <v>362</v>
      </c>
      <c r="L374" s="10">
        <v>1448</v>
      </c>
      <c r="M374" s="10">
        <v>30</v>
      </c>
      <c r="N374" s="10">
        <v>434</v>
      </c>
      <c r="O374" s="10">
        <v>1014</v>
      </c>
      <c r="P374" s="10">
        <v>3.3</v>
      </c>
      <c r="Q374" s="10" t="s">
        <v>26</v>
      </c>
    </row>
    <row r="375" spans="1:17" x14ac:dyDescent="0.25">
      <c r="A375" s="10" t="s">
        <v>607</v>
      </c>
      <c r="B375" s="10" t="s">
        <v>604</v>
      </c>
      <c r="C375" s="10" t="s">
        <v>28</v>
      </c>
      <c r="D375" s="10" t="s">
        <v>36</v>
      </c>
      <c r="E375" s="10" t="s">
        <v>48</v>
      </c>
      <c r="F375" s="10" t="s">
        <v>65</v>
      </c>
      <c r="G375" s="10" t="s">
        <v>23</v>
      </c>
      <c r="H375" s="10" t="s">
        <v>24</v>
      </c>
      <c r="I375" s="10" t="s">
        <v>45</v>
      </c>
      <c r="J375" s="10">
        <v>5</v>
      </c>
      <c r="K375" s="10">
        <v>969</v>
      </c>
      <c r="L375" s="10">
        <v>4845</v>
      </c>
      <c r="M375" s="10">
        <v>25</v>
      </c>
      <c r="N375" s="10">
        <v>1211</v>
      </c>
      <c r="O375" s="10">
        <v>3634</v>
      </c>
      <c r="P375" s="10">
        <v>4.0999999999999996</v>
      </c>
      <c r="Q375" s="10" t="s">
        <v>26</v>
      </c>
    </row>
    <row r="376" spans="1:17" x14ac:dyDescent="0.25">
      <c r="A376" s="10" t="s">
        <v>608</v>
      </c>
      <c r="B376" s="10" t="s">
        <v>609</v>
      </c>
      <c r="C376" s="10" t="s">
        <v>40</v>
      </c>
      <c r="D376" s="10" t="s">
        <v>113</v>
      </c>
      <c r="E376" s="10" t="s">
        <v>101</v>
      </c>
      <c r="F376" s="10" t="s">
        <v>61</v>
      </c>
      <c r="G376" s="10" t="s">
        <v>23</v>
      </c>
      <c r="H376" s="10" t="s">
        <v>33</v>
      </c>
      <c r="I376" s="10" t="s">
        <v>25</v>
      </c>
      <c r="J376" s="10">
        <v>4</v>
      </c>
      <c r="K376" s="10">
        <v>1151</v>
      </c>
      <c r="L376" s="10">
        <v>4604</v>
      </c>
      <c r="M376" s="10">
        <v>25</v>
      </c>
      <c r="N376" s="10">
        <v>1151</v>
      </c>
      <c r="O376" s="10">
        <v>3453</v>
      </c>
      <c r="P376" s="10">
        <v>4.7</v>
      </c>
      <c r="Q376" s="10" t="s">
        <v>26</v>
      </c>
    </row>
    <row r="377" spans="1:17" x14ac:dyDescent="0.25">
      <c r="A377" s="10" t="s">
        <v>610</v>
      </c>
      <c r="B377" s="10" t="s">
        <v>609</v>
      </c>
      <c r="C377" s="10" t="s">
        <v>91</v>
      </c>
      <c r="D377" s="10" t="s">
        <v>92</v>
      </c>
      <c r="E377" s="10" t="s">
        <v>71</v>
      </c>
      <c r="F377" s="10" t="s">
        <v>43</v>
      </c>
      <c r="G377" s="10" t="s">
        <v>44</v>
      </c>
      <c r="H377" s="10" t="s">
        <v>33</v>
      </c>
      <c r="I377" s="10" t="s">
        <v>34</v>
      </c>
      <c r="J377" s="10">
        <v>4</v>
      </c>
      <c r="K377" s="10">
        <v>1176</v>
      </c>
      <c r="L377" s="10">
        <v>4704</v>
      </c>
      <c r="M377" s="10">
        <v>10</v>
      </c>
      <c r="N377" s="10">
        <v>470</v>
      </c>
      <c r="O377" s="10">
        <v>4234</v>
      </c>
      <c r="P377" s="10">
        <v>3.6</v>
      </c>
      <c r="Q377" s="10" t="s">
        <v>26</v>
      </c>
    </row>
    <row r="378" spans="1:17" x14ac:dyDescent="0.25">
      <c r="A378" s="10" t="s">
        <v>611</v>
      </c>
      <c r="B378" s="10" t="s">
        <v>612</v>
      </c>
      <c r="C378" s="10" t="s">
        <v>63</v>
      </c>
      <c r="D378" s="10" t="s">
        <v>134</v>
      </c>
      <c r="E378" s="10" t="s">
        <v>71</v>
      </c>
      <c r="F378" s="10" t="s">
        <v>130</v>
      </c>
      <c r="G378" s="10" t="s">
        <v>23</v>
      </c>
      <c r="H378" s="10" t="s">
        <v>24</v>
      </c>
      <c r="I378" s="10" t="s">
        <v>25</v>
      </c>
      <c r="J378" s="10">
        <v>3</v>
      </c>
      <c r="K378" s="10">
        <v>1670</v>
      </c>
      <c r="L378" s="10">
        <v>5010</v>
      </c>
      <c r="M378" s="10">
        <v>20</v>
      </c>
      <c r="N378" s="10">
        <v>1002</v>
      </c>
      <c r="O378" s="10">
        <v>4008</v>
      </c>
      <c r="P378" s="10">
        <v>4.9000000000000004</v>
      </c>
      <c r="Q378" s="10" t="s">
        <v>26</v>
      </c>
    </row>
    <row r="379" spans="1:17" x14ac:dyDescent="0.25">
      <c r="A379" s="10" t="s">
        <v>613</v>
      </c>
      <c r="B379" s="10" t="s">
        <v>612</v>
      </c>
      <c r="C379" s="10" t="s">
        <v>91</v>
      </c>
      <c r="D379" s="10" t="s">
        <v>92</v>
      </c>
      <c r="E379" s="10" t="s">
        <v>30</v>
      </c>
      <c r="F379" s="10" t="s">
        <v>61</v>
      </c>
      <c r="G379" s="10" t="s">
        <v>32</v>
      </c>
      <c r="H379" s="10" t="s">
        <v>24</v>
      </c>
      <c r="I379" s="10" t="s">
        <v>34</v>
      </c>
      <c r="J379" s="10">
        <v>2</v>
      </c>
      <c r="K379" s="10">
        <v>1672</v>
      </c>
      <c r="L379" s="10">
        <v>3344</v>
      </c>
      <c r="M379" s="10">
        <v>15</v>
      </c>
      <c r="N379" s="10">
        <v>502</v>
      </c>
      <c r="O379" s="10">
        <v>2842</v>
      </c>
      <c r="P379" s="10">
        <v>3.6</v>
      </c>
      <c r="Q379" s="10" t="s">
        <v>26</v>
      </c>
    </row>
    <row r="380" spans="1:17" x14ac:dyDescent="0.25">
      <c r="A380" s="10" t="s">
        <v>614</v>
      </c>
      <c r="B380" s="10" t="s">
        <v>615</v>
      </c>
      <c r="C380" s="10" t="s">
        <v>40</v>
      </c>
      <c r="D380" s="10" t="s">
        <v>113</v>
      </c>
      <c r="E380" s="10" t="s">
        <v>71</v>
      </c>
      <c r="F380" s="10" t="s">
        <v>72</v>
      </c>
      <c r="G380" s="10" t="s">
        <v>32</v>
      </c>
      <c r="H380" s="10" t="s">
        <v>33</v>
      </c>
      <c r="I380" s="10" t="s">
        <v>98</v>
      </c>
      <c r="J380" s="10">
        <v>3</v>
      </c>
      <c r="K380" s="10">
        <v>978</v>
      </c>
      <c r="L380" s="10">
        <v>2934</v>
      </c>
      <c r="M380" s="10">
        <v>10</v>
      </c>
      <c r="N380" s="10">
        <v>293</v>
      </c>
      <c r="O380" s="10">
        <v>2641</v>
      </c>
      <c r="P380" s="10">
        <v>4.5999999999999996</v>
      </c>
      <c r="Q380" s="10" t="s">
        <v>26</v>
      </c>
    </row>
    <row r="381" spans="1:17" x14ac:dyDescent="0.25">
      <c r="A381" s="10" t="s">
        <v>616</v>
      </c>
      <c r="B381" s="10" t="s">
        <v>615</v>
      </c>
      <c r="C381" s="10" t="s">
        <v>19</v>
      </c>
      <c r="D381" s="10" t="s">
        <v>230</v>
      </c>
      <c r="E381" s="10" t="s">
        <v>48</v>
      </c>
      <c r="F381" s="10" t="s">
        <v>61</v>
      </c>
      <c r="G381" s="10" t="s">
        <v>23</v>
      </c>
      <c r="H381" s="10" t="s">
        <v>33</v>
      </c>
      <c r="I381" s="10" t="s">
        <v>98</v>
      </c>
      <c r="J381" s="10">
        <v>5</v>
      </c>
      <c r="K381" s="10">
        <v>487</v>
      </c>
      <c r="L381" s="10">
        <v>2435</v>
      </c>
      <c r="M381" s="10">
        <v>0</v>
      </c>
      <c r="N381" s="10">
        <v>0</v>
      </c>
      <c r="O381" s="10">
        <v>2435</v>
      </c>
      <c r="P381" s="10">
        <v>3.2</v>
      </c>
      <c r="Q381" s="10" t="s">
        <v>75</v>
      </c>
    </row>
    <row r="382" spans="1:17" x14ac:dyDescent="0.25">
      <c r="A382" s="10" t="s">
        <v>617</v>
      </c>
      <c r="B382" s="10" t="s">
        <v>618</v>
      </c>
      <c r="C382" s="10" t="s">
        <v>19</v>
      </c>
      <c r="D382" s="10" t="s">
        <v>20</v>
      </c>
      <c r="E382" s="10" t="s">
        <v>48</v>
      </c>
      <c r="F382" s="10" t="s">
        <v>130</v>
      </c>
      <c r="G382" s="10" t="s">
        <v>32</v>
      </c>
      <c r="H382" s="10" t="s">
        <v>24</v>
      </c>
      <c r="I382" s="10" t="s">
        <v>34</v>
      </c>
      <c r="J382" s="10">
        <v>5</v>
      </c>
      <c r="K382" s="10">
        <v>221</v>
      </c>
      <c r="L382" s="10">
        <v>1105</v>
      </c>
      <c r="M382" s="10">
        <v>25</v>
      </c>
      <c r="N382" s="10">
        <v>276</v>
      </c>
      <c r="O382" s="10">
        <v>829</v>
      </c>
      <c r="P382" s="10">
        <v>3.3</v>
      </c>
      <c r="Q382" s="10" t="s">
        <v>26</v>
      </c>
    </row>
    <row r="383" spans="1:17" x14ac:dyDescent="0.25">
      <c r="A383" s="10" t="s">
        <v>619</v>
      </c>
      <c r="B383" s="10" t="s">
        <v>618</v>
      </c>
      <c r="C383" s="10" t="s">
        <v>28</v>
      </c>
      <c r="D383" s="10" t="s">
        <v>95</v>
      </c>
      <c r="E383" s="10" t="s">
        <v>53</v>
      </c>
      <c r="F383" s="10" t="s">
        <v>22</v>
      </c>
      <c r="G383" s="10" t="s">
        <v>23</v>
      </c>
      <c r="H383" s="10" t="s">
        <v>33</v>
      </c>
      <c r="I383" s="10" t="s">
        <v>34</v>
      </c>
      <c r="J383" s="10">
        <v>3</v>
      </c>
      <c r="K383" s="10">
        <v>517</v>
      </c>
      <c r="L383" s="10">
        <v>1551</v>
      </c>
      <c r="M383" s="10">
        <v>10</v>
      </c>
      <c r="N383" s="10">
        <v>155</v>
      </c>
      <c r="O383" s="10">
        <v>1396</v>
      </c>
      <c r="P383" s="10">
        <v>4.9000000000000004</v>
      </c>
      <c r="Q383" s="10" t="s">
        <v>26</v>
      </c>
    </row>
    <row r="384" spans="1:17" x14ac:dyDescent="0.25">
      <c r="A384" s="10" t="s">
        <v>620</v>
      </c>
      <c r="B384" s="10" t="s">
        <v>621</v>
      </c>
      <c r="C384" s="10" t="s">
        <v>51</v>
      </c>
      <c r="D384" s="10" t="s">
        <v>52</v>
      </c>
      <c r="E384" s="10" t="s">
        <v>101</v>
      </c>
      <c r="F384" s="10" t="s">
        <v>61</v>
      </c>
      <c r="G384" s="10" t="s">
        <v>32</v>
      </c>
      <c r="H384" s="10" t="s">
        <v>33</v>
      </c>
      <c r="I384" s="10" t="s">
        <v>34</v>
      </c>
      <c r="J384" s="10">
        <v>5</v>
      </c>
      <c r="K384" s="10">
        <v>533</v>
      </c>
      <c r="L384" s="10">
        <v>2665</v>
      </c>
      <c r="M384" s="10">
        <v>25</v>
      </c>
      <c r="N384" s="10">
        <v>666</v>
      </c>
      <c r="O384" s="10">
        <v>1999</v>
      </c>
      <c r="P384" s="10">
        <v>3.4</v>
      </c>
      <c r="Q384" s="10" t="s">
        <v>26</v>
      </c>
    </row>
    <row r="385" spans="1:17" x14ac:dyDescent="0.25">
      <c r="A385" s="10" t="s">
        <v>622</v>
      </c>
      <c r="B385" s="10" t="s">
        <v>621</v>
      </c>
      <c r="C385" s="10" t="s">
        <v>91</v>
      </c>
      <c r="D385" s="10" t="s">
        <v>110</v>
      </c>
      <c r="E385" s="10" t="s">
        <v>155</v>
      </c>
      <c r="F385" s="10" t="s">
        <v>79</v>
      </c>
      <c r="G385" s="10" t="s">
        <v>44</v>
      </c>
      <c r="H385" s="10" t="s">
        <v>24</v>
      </c>
      <c r="I385" s="10" t="s">
        <v>25</v>
      </c>
      <c r="J385" s="10">
        <v>1</v>
      </c>
      <c r="K385" s="10">
        <v>2177</v>
      </c>
      <c r="L385" s="10">
        <v>2177</v>
      </c>
      <c r="M385" s="10">
        <v>15</v>
      </c>
      <c r="N385" s="10">
        <v>327</v>
      </c>
      <c r="O385" s="10">
        <v>1850</v>
      </c>
      <c r="P385" s="10">
        <v>3.9</v>
      </c>
      <c r="Q385" s="10" t="s">
        <v>26</v>
      </c>
    </row>
    <row r="386" spans="1:17" x14ac:dyDescent="0.25">
      <c r="A386" s="10" t="s">
        <v>623</v>
      </c>
      <c r="B386" s="10" t="s">
        <v>624</v>
      </c>
      <c r="C386" s="10" t="s">
        <v>51</v>
      </c>
      <c r="D386" s="10" t="s">
        <v>70</v>
      </c>
      <c r="E386" s="10" t="s">
        <v>48</v>
      </c>
      <c r="F386" s="10" t="s">
        <v>83</v>
      </c>
      <c r="G386" s="10" t="s">
        <v>23</v>
      </c>
      <c r="H386" s="10" t="s">
        <v>33</v>
      </c>
      <c r="I386" s="10" t="s">
        <v>98</v>
      </c>
      <c r="J386" s="10">
        <v>4</v>
      </c>
      <c r="K386" s="10">
        <v>699</v>
      </c>
      <c r="L386" s="10">
        <v>2796</v>
      </c>
      <c r="M386" s="10">
        <v>5</v>
      </c>
      <c r="N386" s="10">
        <v>140</v>
      </c>
      <c r="O386" s="10">
        <v>2656</v>
      </c>
      <c r="P386" s="10">
        <v>4.5</v>
      </c>
      <c r="Q386" s="10" t="s">
        <v>26</v>
      </c>
    </row>
    <row r="387" spans="1:17" x14ac:dyDescent="0.25">
      <c r="A387" s="10" t="s">
        <v>625</v>
      </c>
      <c r="B387" s="10" t="s">
        <v>624</v>
      </c>
      <c r="C387" s="10" t="s">
        <v>63</v>
      </c>
      <c r="D387" s="10" t="s">
        <v>64</v>
      </c>
      <c r="E387" s="10" t="s">
        <v>60</v>
      </c>
      <c r="F387" s="10" t="s">
        <v>65</v>
      </c>
      <c r="G387" s="10" t="s">
        <v>32</v>
      </c>
      <c r="H387" s="10" t="s">
        <v>33</v>
      </c>
      <c r="I387" s="10" t="s">
        <v>25</v>
      </c>
      <c r="J387" s="10">
        <v>1</v>
      </c>
      <c r="K387" s="10">
        <v>1954</v>
      </c>
      <c r="L387" s="10">
        <v>1954</v>
      </c>
      <c r="M387" s="10">
        <v>15</v>
      </c>
      <c r="N387" s="10">
        <v>293</v>
      </c>
      <c r="O387" s="10">
        <v>1661</v>
      </c>
      <c r="P387" s="10">
        <v>3.5</v>
      </c>
      <c r="Q387" s="10" t="s">
        <v>26</v>
      </c>
    </row>
    <row r="388" spans="1:17" x14ac:dyDescent="0.25">
      <c r="A388" s="10" t="s">
        <v>626</v>
      </c>
      <c r="B388" s="10" t="s">
        <v>624</v>
      </c>
      <c r="C388" s="10" t="s">
        <v>51</v>
      </c>
      <c r="D388" s="10" t="s">
        <v>97</v>
      </c>
      <c r="E388" s="10" t="s">
        <v>60</v>
      </c>
      <c r="F388" s="10" t="s">
        <v>65</v>
      </c>
      <c r="G388" s="10" t="s">
        <v>32</v>
      </c>
      <c r="H388" s="10" t="s">
        <v>24</v>
      </c>
      <c r="I388" s="10" t="s">
        <v>45</v>
      </c>
      <c r="J388" s="10">
        <v>4</v>
      </c>
      <c r="K388" s="10">
        <v>516</v>
      </c>
      <c r="L388" s="10">
        <v>2064</v>
      </c>
      <c r="M388" s="10">
        <v>25</v>
      </c>
      <c r="N388" s="10">
        <v>516</v>
      </c>
      <c r="O388" s="10">
        <v>1548</v>
      </c>
      <c r="P388" s="10">
        <v>3.6</v>
      </c>
      <c r="Q388" s="10" t="s">
        <v>26</v>
      </c>
    </row>
    <row r="389" spans="1:17" x14ac:dyDescent="0.25">
      <c r="A389" s="10" t="s">
        <v>627</v>
      </c>
      <c r="B389" s="10" t="s">
        <v>624</v>
      </c>
      <c r="C389" s="10" t="s">
        <v>28</v>
      </c>
      <c r="D389" s="10" t="s">
        <v>29</v>
      </c>
      <c r="E389" s="10" t="s">
        <v>48</v>
      </c>
      <c r="F389" s="10" t="s">
        <v>31</v>
      </c>
      <c r="G389" s="10" t="s">
        <v>23</v>
      </c>
      <c r="H389" s="10" t="s">
        <v>33</v>
      </c>
      <c r="I389" s="10" t="s">
        <v>34</v>
      </c>
      <c r="J389" s="10">
        <v>5</v>
      </c>
      <c r="K389" s="10">
        <v>230</v>
      </c>
      <c r="L389" s="10">
        <v>1150</v>
      </c>
      <c r="M389" s="10">
        <v>25</v>
      </c>
      <c r="N389" s="10">
        <v>288</v>
      </c>
      <c r="O389" s="10">
        <v>862</v>
      </c>
      <c r="P389" s="10">
        <v>3.8</v>
      </c>
      <c r="Q389" s="10" t="s">
        <v>26</v>
      </c>
    </row>
    <row r="390" spans="1:17" x14ac:dyDescent="0.25">
      <c r="A390" s="10" t="s">
        <v>628</v>
      </c>
      <c r="B390" s="10" t="s">
        <v>629</v>
      </c>
      <c r="C390" s="10" t="s">
        <v>63</v>
      </c>
      <c r="D390" s="10" t="s">
        <v>134</v>
      </c>
      <c r="E390" s="10" t="s">
        <v>37</v>
      </c>
      <c r="F390" s="10" t="s">
        <v>31</v>
      </c>
      <c r="G390" s="10" t="s">
        <v>32</v>
      </c>
      <c r="H390" s="10" t="s">
        <v>33</v>
      </c>
      <c r="I390" s="10" t="s">
        <v>84</v>
      </c>
      <c r="J390" s="10">
        <v>4</v>
      </c>
      <c r="K390" s="10">
        <v>888</v>
      </c>
      <c r="L390" s="10">
        <v>3552</v>
      </c>
      <c r="M390" s="10">
        <v>20</v>
      </c>
      <c r="N390" s="10">
        <v>710</v>
      </c>
      <c r="O390" s="10">
        <v>2842</v>
      </c>
      <c r="P390" s="10">
        <v>4.5999999999999996</v>
      </c>
      <c r="Q390" s="10" t="s">
        <v>26</v>
      </c>
    </row>
    <row r="391" spans="1:17" x14ac:dyDescent="0.25">
      <c r="A391" s="10" t="s">
        <v>630</v>
      </c>
      <c r="B391" s="10" t="s">
        <v>629</v>
      </c>
      <c r="C391" s="10" t="s">
        <v>51</v>
      </c>
      <c r="D391" s="10" t="s">
        <v>52</v>
      </c>
      <c r="E391" s="10" t="s">
        <v>21</v>
      </c>
      <c r="F391" s="10" t="s">
        <v>72</v>
      </c>
      <c r="G391" s="10" t="s">
        <v>23</v>
      </c>
      <c r="H391" s="10" t="s">
        <v>33</v>
      </c>
      <c r="I391" s="10" t="s">
        <v>84</v>
      </c>
      <c r="J391" s="10">
        <v>5</v>
      </c>
      <c r="K391" s="10">
        <v>491</v>
      </c>
      <c r="L391" s="10">
        <v>2455</v>
      </c>
      <c r="M391" s="10">
        <v>30</v>
      </c>
      <c r="N391" s="10">
        <v>736</v>
      </c>
      <c r="O391" s="10">
        <v>1719</v>
      </c>
      <c r="P391" s="10">
        <v>4.9000000000000004</v>
      </c>
      <c r="Q391" s="10" t="s">
        <v>26</v>
      </c>
    </row>
    <row r="392" spans="1:17" x14ac:dyDescent="0.25">
      <c r="A392" s="10" t="s">
        <v>631</v>
      </c>
      <c r="B392" s="10" t="s">
        <v>632</v>
      </c>
      <c r="C392" s="10" t="s">
        <v>28</v>
      </c>
      <c r="D392" s="10" t="s">
        <v>77</v>
      </c>
      <c r="E392" s="10" t="s">
        <v>60</v>
      </c>
      <c r="F392" s="10" t="s">
        <v>31</v>
      </c>
      <c r="G392" s="10" t="s">
        <v>32</v>
      </c>
      <c r="H392" s="10" t="s">
        <v>24</v>
      </c>
      <c r="I392" s="10" t="s">
        <v>45</v>
      </c>
      <c r="J392" s="10">
        <v>4</v>
      </c>
      <c r="K392" s="10">
        <v>689</v>
      </c>
      <c r="L392" s="10">
        <v>2756</v>
      </c>
      <c r="M392" s="10">
        <v>30</v>
      </c>
      <c r="N392" s="10">
        <v>827</v>
      </c>
      <c r="O392" s="10">
        <v>1929</v>
      </c>
      <c r="P392" s="10">
        <v>3.7</v>
      </c>
      <c r="Q392" s="10" t="s">
        <v>26</v>
      </c>
    </row>
    <row r="393" spans="1:17" x14ac:dyDescent="0.25">
      <c r="A393" s="10" t="s">
        <v>633</v>
      </c>
      <c r="B393" s="10" t="s">
        <v>632</v>
      </c>
      <c r="C393" s="10" t="s">
        <v>28</v>
      </c>
      <c r="D393" s="10" t="s">
        <v>36</v>
      </c>
      <c r="E393" s="10" t="s">
        <v>42</v>
      </c>
      <c r="F393" s="10" t="s">
        <v>31</v>
      </c>
      <c r="G393" s="10" t="s">
        <v>23</v>
      </c>
      <c r="H393" s="10" t="s">
        <v>33</v>
      </c>
      <c r="I393" s="10" t="s">
        <v>84</v>
      </c>
      <c r="J393" s="10">
        <v>3</v>
      </c>
      <c r="K393" s="10">
        <v>249</v>
      </c>
      <c r="L393" s="10">
        <v>747</v>
      </c>
      <c r="M393" s="10">
        <v>0</v>
      </c>
      <c r="N393" s="10">
        <v>0</v>
      </c>
      <c r="O393" s="10">
        <v>747</v>
      </c>
      <c r="P393" s="10">
        <v>4.2</v>
      </c>
      <c r="Q393" s="10" t="s">
        <v>26</v>
      </c>
    </row>
    <row r="394" spans="1:17" x14ac:dyDescent="0.25">
      <c r="A394" s="10" t="s">
        <v>634</v>
      </c>
      <c r="B394" s="10" t="s">
        <v>632</v>
      </c>
      <c r="C394" s="10" t="s">
        <v>91</v>
      </c>
      <c r="D394" s="10" t="s">
        <v>92</v>
      </c>
      <c r="E394" s="10" t="s">
        <v>37</v>
      </c>
      <c r="F394" s="10" t="s">
        <v>22</v>
      </c>
      <c r="G394" s="10" t="s">
        <v>32</v>
      </c>
      <c r="H394" s="10" t="s">
        <v>104</v>
      </c>
      <c r="I394" s="10" t="s">
        <v>25</v>
      </c>
      <c r="J394" s="10">
        <v>2</v>
      </c>
      <c r="K394" s="10">
        <v>2143</v>
      </c>
      <c r="L394" s="10">
        <v>4286</v>
      </c>
      <c r="M394" s="10">
        <v>10</v>
      </c>
      <c r="N394" s="10">
        <v>429</v>
      </c>
      <c r="O394" s="10">
        <v>3857</v>
      </c>
      <c r="P394" s="10">
        <v>3.5</v>
      </c>
      <c r="Q394" s="10" t="s">
        <v>26</v>
      </c>
    </row>
    <row r="395" spans="1:17" x14ac:dyDescent="0.25">
      <c r="A395" s="10" t="s">
        <v>635</v>
      </c>
      <c r="B395" s="10" t="s">
        <v>632</v>
      </c>
      <c r="C395" s="10" t="s">
        <v>40</v>
      </c>
      <c r="D395" s="10" t="s">
        <v>41</v>
      </c>
      <c r="E395" s="10" t="s">
        <v>37</v>
      </c>
      <c r="F395" s="10" t="s">
        <v>119</v>
      </c>
      <c r="G395" s="10" t="s">
        <v>23</v>
      </c>
      <c r="H395" s="10" t="s">
        <v>104</v>
      </c>
      <c r="I395" s="10" t="s">
        <v>98</v>
      </c>
      <c r="J395" s="10">
        <v>4</v>
      </c>
      <c r="K395" s="10">
        <v>737</v>
      </c>
      <c r="L395" s="10">
        <v>2948</v>
      </c>
      <c r="M395" s="10">
        <v>25</v>
      </c>
      <c r="N395" s="10">
        <v>737</v>
      </c>
      <c r="O395" s="10">
        <v>2211</v>
      </c>
      <c r="P395" s="10">
        <v>3.5</v>
      </c>
      <c r="Q395" s="10" t="s">
        <v>26</v>
      </c>
    </row>
    <row r="396" spans="1:17" x14ac:dyDescent="0.25">
      <c r="A396" s="10" t="s">
        <v>636</v>
      </c>
      <c r="B396" s="10" t="s">
        <v>632</v>
      </c>
      <c r="C396" s="10" t="s">
        <v>28</v>
      </c>
      <c r="D396" s="10" t="s">
        <v>36</v>
      </c>
      <c r="E396" s="10" t="s">
        <v>101</v>
      </c>
      <c r="F396" s="10" t="s">
        <v>65</v>
      </c>
      <c r="G396" s="10" t="s">
        <v>23</v>
      </c>
      <c r="H396" s="10" t="s">
        <v>33</v>
      </c>
      <c r="I396" s="10" t="s">
        <v>98</v>
      </c>
      <c r="J396" s="10">
        <v>4</v>
      </c>
      <c r="K396" s="10">
        <v>1295</v>
      </c>
      <c r="L396" s="10">
        <v>5180</v>
      </c>
      <c r="M396" s="10">
        <v>30</v>
      </c>
      <c r="N396" s="10">
        <v>1554</v>
      </c>
      <c r="O396" s="10">
        <v>3626</v>
      </c>
      <c r="P396" s="10">
        <v>4.5999999999999996</v>
      </c>
      <c r="Q396" s="10" t="s">
        <v>26</v>
      </c>
    </row>
    <row r="397" spans="1:17" x14ac:dyDescent="0.25">
      <c r="A397" s="10" t="s">
        <v>637</v>
      </c>
      <c r="B397" s="10" t="s">
        <v>632</v>
      </c>
      <c r="C397" s="10" t="s">
        <v>28</v>
      </c>
      <c r="D397" s="10" t="s">
        <v>77</v>
      </c>
      <c r="E397" s="10" t="s">
        <v>37</v>
      </c>
      <c r="F397" s="10" t="s">
        <v>22</v>
      </c>
      <c r="G397" s="10" t="s">
        <v>32</v>
      </c>
      <c r="H397" s="10" t="s">
        <v>33</v>
      </c>
      <c r="I397" s="10" t="s">
        <v>98</v>
      </c>
      <c r="J397" s="10">
        <v>2</v>
      </c>
      <c r="K397" s="10">
        <v>872</v>
      </c>
      <c r="L397" s="10">
        <v>1744</v>
      </c>
      <c r="M397" s="10">
        <v>0</v>
      </c>
      <c r="N397" s="10">
        <v>0</v>
      </c>
      <c r="O397" s="10">
        <v>1744</v>
      </c>
      <c r="P397" s="10">
        <v>3.3</v>
      </c>
      <c r="Q397" s="10" t="s">
        <v>26</v>
      </c>
    </row>
    <row r="398" spans="1:17" x14ac:dyDescent="0.25">
      <c r="A398" s="10" t="s">
        <v>638</v>
      </c>
      <c r="B398" s="10" t="s">
        <v>632</v>
      </c>
      <c r="C398" s="10" t="s">
        <v>40</v>
      </c>
      <c r="D398" s="10" t="s">
        <v>57</v>
      </c>
      <c r="E398" s="10" t="s">
        <v>37</v>
      </c>
      <c r="F398" s="10" t="s">
        <v>83</v>
      </c>
      <c r="G398" s="10" t="s">
        <v>23</v>
      </c>
      <c r="H398" s="10" t="s">
        <v>33</v>
      </c>
      <c r="I398" s="10" t="s">
        <v>98</v>
      </c>
      <c r="J398" s="10">
        <v>4</v>
      </c>
      <c r="K398" s="10">
        <v>1061</v>
      </c>
      <c r="L398" s="10">
        <v>4244</v>
      </c>
      <c r="M398" s="10">
        <v>0</v>
      </c>
      <c r="N398" s="10">
        <v>0</v>
      </c>
      <c r="O398" s="10">
        <v>4244</v>
      </c>
      <c r="P398" s="10">
        <v>4.4000000000000004</v>
      </c>
      <c r="Q398" s="10" t="s">
        <v>26</v>
      </c>
    </row>
    <row r="399" spans="1:17" x14ac:dyDescent="0.25">
      <c r="A399" s="10" t="s">
        <v>639</v>
      </c>
      <c r="B399" s="10" t="s">
        <v>640</v>
      </c>
      <c r="C399" s="10" t="s">
        <v>91</v>
      </c>
      <c r="D399" s="10" t="s">
        <v>125</v>
      </c>
      <c r="E399" s="10" t="s">
        <v>42</v>
      </c>
      <c r="F399" s="10" t="s">
        <v>72</v>
      </c>
      <c r="G399" s="10" t="s">
        <v>44</v>
      </c>
      <c r="H399" s="10" t="s">
        <v>24</v>
      </c>
      <c r="I399" s="10" t="s">
        <v>34</v>
      </c>
      <c r="J399" s="10">
        <v>1</v>
      </c>
      <c r="K399" s="10">
        <v>1494</v>
      </c>
      <c r="L399" s="10">
        <v>1494</v>
      </c>
      <c r="M399" s="10">
        <v>5</v>
      </c>
      <c r="N399" s="10">
        <v>75</v>
      </c>
      <c r="O399" s="10">
        <v>1419</v>
      </c>
      <c r="P399" s="10">
        <v>4.9000000000000004</v>
      </c>
      <c r="Q399" s="10" t="s">
        <v>75</v>
      </c>
    </row>
    <row r="400" spans="1:17" x14ac:dyDescent="0.25">
      <c r="A400" s="10" t="s">
        <v>641</v>
      </c>
      <c r="B400" s="10" t="s">
        <v>640</v>
      </c>
      <c r="C400" s="10" t="s">
        <v>51</v>
      </c>
      <c r="D400" s="10" t="s">
        <v>52</v>
      </c>
      <c r="E400" s="10" t="s">
        <v>53</v>
      </c>
      <c r="F400" s="10" t="s">
        <v>22</v>
      </c>
      <c r="G400" s="10" t="s">
        <v>23</v>
      </c>
      <c r="H400" s="10" t="s">
        <v>33</v>
      </c>
      <c r="I400" s="10" t="s">
        <v>84</v>
      </c>
      <c r="J400" s="10">
        <v>3</v>
      </c>
      <c r="K400" s="10">
        <v>183</v>
      </c>
      <c r="L400" s="10">
        <v>549</v>
      </c>
      <c r="M400" s="10">
        <v>0</v>
      </c>
      <c r="N400" s="10">
        <v>0</v>
      </c>
      <c r="O400" s="10">
        <v>549</v>
      </c>
      <c r="P400" s="10">
        <v>4.5999999999999996</v>
      </c>
      <c r="Q400" s="10" t="s">
        <v>26</v>
      </c>
    </row>
    <row r="401" spans="1:17" x14ac:dyDescent="0.25">
      <c r="A401" s="10" t="s">
        <v>642</v>
      </c>
      <c r="B401" s="10" t="s">
        <v>643</v>
      </c>
      <c r="C401" s="10" t="s">
        <v>40</v>
      </c>
      <c r="D401" s="10" t="s">
        <v>41</v>
      </c>
      <c r="E401" s="10" t="s">
        <v>82</v>
      </c>
      <c r="F401" s="10" t="s">
        <v>119</v>
      </c>
      <c r="G401" s="10" t="s">
        <v>23</v>
      </c>
      <c r="H401" s="10" t="s">
        <v>24</v>
      </c>
      <c r="I401" s="10" t="s">
        <v>45</v>
      </c>
      <c r="J401" s="10">
        <v>5</v>
      </c>
      <c r="K401" s="10">
        <v>1458</v>
      </c>
      <c r="L401" s="10">
        <v>7290</v>
      </c>
      <c r="M401" s="10">
        <v>10</v>
      </c>
      <c r="N401" s="10">
        <v>729</v>
      </c>
      <c r="O401" s="10">
        <v>6561</v>
      </c>
      <c r="P401" s="10">
        <v>4.3</v>
      </c>
      <c r="Q401" s="10" t="s">
        <v>26</v>
      </c>
    </row>
    <row r="402" spans="1:17" x14ac:dyDescent="0.25">
      <c r="A402" s="10" t="s">
        <v>644</v>
      </c>
      <c r="B402" s="10" t="s">
        <v>645</v>
      </c>
      <c r="C402" s="10" t="s">
        <v>19</v>
      </c>
      <c r="D402" s="10" t="s">
        <v>20</v>
      </c>
      <c r="E402" s="10" t="s">
        <v>60</v>
      </c>
      <c r="F402" s="10" t="s">
        <v>130</v>
      </c>
      <c r="G402" s="10" t="s">
        <v>23</v>
      </c>
      <c r="H402" s="10" t="s">
        <v>33</v>
      </c>
      <c r="I402" s="10" t="s">
        <v>84</v>
      </c>
      <c r="J402" s="10">
        <v>1</v>
      </c>
      <c r="K402" s="10">
        <v>351</v>
      </c>
      <c r="L402" s="10">
        <v>351</v>
      </c>
      <c r="M402" s="10">
        <v>30</v>
      </c>
      <c r="N402" s="10">
        <v>105</v>
      </c>
      <c r="O402" s="10">
        <v>246</v>
      </c>
      <c r="P402" s="10">
        <v>4.7</v>
      </c>
      <c r="Q402" s="10" t="s">
        <v>26</v>
      </c>
    </row>
    <row r="403" spans="1:17" x14ac:dyDescent="0.25">
      <c r="A403" s="10" t="s">
        <v>646</v>
      </c>
      <c r="B403" s="10" t="s">
        <v>645</v>
      </c>
      <c r="C403" s="10" t="s">
        <v>91</v>
      </c>
      <c r="D403" s="10" t="s">
        <v>92</v>
      </c>
      <c r="E403" s="10" t="s">
        <v>78</v>
      </c>
      <c r="F403" s="10" t="s">
        <v>72</v>
      </c>
      <c r="G403" s="10" t="s">
        <v>32</v>
      </c>
      <c r="H403" s="10" t="s">
        <v>33</v>
      </c>
      <c r="I403" s="10" t="s">
        <v>34</v>
      </c>
      <c r="J403" s="10">
        <v>4</v>
      </c>
      <c r="K403" s="10">
        <v>1626</v>
      </c>
      <c r="L403" s="10">
        <v>6504</v>
      </c>
      <c r="M403" s="10">
        <v>10</v>
      </c>
      <c r="N403" s="10">
        <v>650</v>
      </c>
      <c r="O403" s="10">
        <v>5854</v>
      </c>
      <c r="P403" s="10">
        <v>3.6</v>
      </c>
      <c r="Q403" s="10" t="s">
        <v>26</v>
      </c>
    </row>
    <row r="404" spans="1:17" x14ac:dyDescent="0.25">
      <c r="A404" s="10" t="s">
        <v>647</v>
      </c>
      <c r="B404" s="10" t="s">
        <v>648</v>
      </c>
      <c r="C404" s="10" t="s">
        <v>28</v>
      </c>
      <c r="D404" s="10" t="s">
        <v>36</v>
      </c>
      <c r="E404" s="10" t="s">
        <v>37</v>
      </c>
      <c r="F404" s="10" t="s">
        <v>22</v>
      </c>
      <c r="G404" s="10" t="s">
        <v>44</v>
      </c>
      <c r="H404" s="10" t="s">
        <v>24</v>
      </c>
      <c r="I404" s="10" t="s">
        <v>98</v>
      </c>
      <c r="J404" s="10">
        <v>3</v>
      </c>
      <c r="K404" s="10">
        <v>320</v>
      </c>
      <c r="L404" s="10">
        <v>960</v>
      </c>
      <c r="M404" s="10">
        <v>10</v>
      </c>
      <c r="N404" s="10">
        <v>96</v>
      </c>
      <c r="O404" s="10">
        <v>864</v>
      </c>
      <c r="P404" s="10">
        <v>4.8</v>
      </c>
      <c r="Q404" s="10" t="s">
        <v>26</v>
      </c>
    </row>
    <row r="405" spans="1:17" x14ac:dyDescent="0.25">
      <c r="A405" s="10" t="s">
        <v>649</v>
      </c>
      <c r="B405" s="10" t="s">
        <v>648</v>
      </c>
      <c r="C405" s="10" t="s">
        <v>40</v>
      </c>
      <c r="D405" s="10" t="s">
        <v>113</v>
      </c>
      <c r="E405" s="10" t="s">
        <v>21</v>
      </c>
      <c r="F405" s="10" t="s">
        <v>83</v>
      </c>
      <c r="G405" s="10" t="s">
        <v>23</v>
      </c>
      <c r="H405" s="10" t="s">
        <v>24</v>
      </c>
      <c r="I405" s="10" t="s">
        <v>25</v>
      </c>
      <c r="J405" s="10">
        <v>3</v>
      </c>
      <c r="K405" s="10">
        <v>1116</v>
      </c>
      <c r="L405" s="10">
        <v>3348</v>
      </c>
      <c r="M405" s="10">
        <v>25</v>
      </c>
      <c r="N405" s="10">
        <v>837</v>
      </c>
      <c r="O405" s="10">
        <v>2511</v>
      </c>
      <c r="P405" s="10">
        <v>3.8</v>
      </c>
      <c r="Q405" s="10" t="s">
        <v>26</v>
      </c>
    </row>
    <row r="406" spans="1:17" x14ac:dyDescent="0.25">
      <c r="A406" s="10" t="s">
        <v>650</v>
      </c>
      <c r="B406" s="10" t="s">
        <v>651</v>
      </c>
      <c r="C406" s="10" t="s">
        <v>40</v>
      </c>
      <c r="D406" s="10" t="s">
        <v>57</v>
      </c>
      <c r="E406" s="10" t="s">
        <v>78</v>
      </c>
      <c r="F406" s="10" t="s">
        <v>31</v>
      </c>
      <c r="G406" s="10" t="s">
        <v>32</v>
      </c>
      <c r="H406" s="10" t="s">
        <v>33</v>
      </c>
      <c r="I406" s="10" t="s">
        <v>98</v>
      </c>
      <c r="J406" s="10">
        <v>5</v>
      </c>
      <c r="K406" s="10">
        <v>695</v>
      </c>
      <c r="L406" s="10">
        <v>3475</v>
      </c>
      <c r="M406" s="10">
        <v>0</v>
      </c>
      <c r="N406" s="10">
        <v>0</v>
      </c>
      <c r="O406" s="10">
        <v>3475</v>
      </c>
      <c r="P406" s="10">
        <v>3.9</v>
      </c>
      <c r="Q406" s="10" t="s">
        <v>26</v>
      </c>
    </row>
    <row r="407" spans="1:17" x14ac:dyDescent="0.25">
      <c r="A407" s="10" t="s">
        <v>652</v>
      </c>
      <c r="B407" s="10" t="s">
        <v>651</v>
      </c>
      <c r="C407" s="10" t="s">
        <v>63</v>
      </c>
      <c r="D407" s="10" t="s">
        <v>143</v>
      </c>
      <c r="E407" s="10" t="s">
        <v>82</v>
      </c>
      <c r="F407" s="10" t="s">
        <v>31</v>
      </c>
      <c r="G407" s="10" t="s">
        <v>32</v>
      </c>
      <c r="H407" s="10" t="s">
        <v>104</v>
      </c>
      <c r="I407" s="10" t="s">
        <v>25</v>
      </c>
      <c r="J407" s="10">
        <v>1</v>
      </c>
      <c r="K407" s="10">
        <v>1103</v>
      </c>
      <c r="L407" s="10">
        <v>1103</v>
      </c>
      <c r="M407" s="10">
        <v>15</v>
      </c>
      <c r="N407" s="10">
        <v>165</v>
      </c>
      <c r="O407" s="10">
        <v>938</v>
      </c>
      <c r="P407" s="10">
        <v>3.7</v>
      </c>
      <c r="Q407" s="10" t="s">
        <v>26</v>
      </c>
    </row>
    <row r="408" spans="1:17" x14ac:dyDescent="0.25">
      <c r="A408" s="10" t="s">
        <v>653</v>
      </c>
      <c r="B408" s="10" t="s">
        <v>654</v>
      </c>
      <c r="C408" s="10" t="s">
        <v>91</v>
      </c>
      <c r="D408" s="10" t="s">
        <v>125</v>
      </c>
      <c r="E408" s="10" t="s">
        <v>48</v>
      </c>
      <c r="F408" s="10" t="s">
        <v>43</v>
      </c>
      <c r="G408" s="10" t="s">
        <v>23</v>
      </c>
      <c r="H408" s="10" t="s">
        <v>33</v>
      </c>
      <c r="I408" s="10" t="s">
        <v>98</v>
      </c>
      <c r="J408" s="10">
        <v>1</v>
      </c>
      <c r="K408" s="10">
        <v>1521</v>
      </c>
      <c r="L408" s="10">
        <v>1521</v>
      </c>
      <c r="M408" s="10">
        <v>0</v>
      </c>
      <c r="N408" s="10">
        <v>0</v>
      </c>
      <c r="O408" s="10">
        <v>1521</v>
      </c>
      <c r="P408" s="10">
        <v>5</v>
      </c>
      <c r="Q408" s="10" t="s">
        <v>26</v>
      </c>
    </row>
    <row r="409" spans="1:17" x14ac:dyDescent="0.25">
      <c r="A409" s="10" t="s">
        <v>655</v>
      </c>
      <c r="B409" s="10" t="s">
        <v>654</v>
      </c>
      <c r="C409" s="10" t="s">
        <v>40</v>
      </c>
      <c r="D409" s="10" t="s">
        <v>68</v>
      </c>
      <c r="E409" s="10" t="s">
        <v>101</v>
      </c>
      <c r="F409" s="10" t="s">
        <v>43</v>
      </c>
      <c r="G409" s="10" t="s">
        <v>23</v>
      </c>
      <c r="H409" s="10" t="s">
        <v>33</v>
      </c>
      <c r="I409" s="10" t="s">
        <v>98</v>
      </c>
      <c r="J409" s="10">
        <v>2</v>
      </c>
      <c r="K409" s="10">
        <v>503</v>
      </c>
      <c r="L409" s="10">
        <v>1006</v>
      </c>
      <c r="M409" s="10">
        <v>0</v>
      </c>
      <c r="N409" s="10">
        <v>0</v>
      </c>
      <c r="O409" s="10">
        <v>1006</v>
      </c>
      <c r="P409" s="10">
        <v>4.3</v>
      </c>
      <c r="Q409" s="10" t="s">
        <v>26</v>
      </c>
    </row>
    <row r="410" spans="1:17" x14ac:dyDescent="0.25">
      <c r="A410" s="10" t="s">
        <v>656</v>
      </c>
      <c r="B410" s="10" t="s">
        <v>654</v>
      </c>
      <c r="C410" s="10" t="s">
        <v>19</v>
      </c>
      <c r="D410" s="10" t="s">
        <v>121</v>
      </c>
      <c r="E410" s="10" t="s">
        <v>82</v>
      </c>
      <c r="F410" s="10" t="s">
        <v>31</v>
      </c>
      <c r="G410" s="10" t="s">
        <v>23</v>
      </c>
      <c r="H410" s="10" t="s">
        <v>33</v>
      </c>
      <c r="I410" s="10" t="s">
        <v>84</v>
      </c>
      <c r="J410" s="10">
        <v>5</v>
      </c>
      <c r="K410" s="10">
        <v>475</v>
      </c>
      <c r="L410" s="10">
        <v>2375</v>
      </c>
      <c r="M410" s="10">
        <v>5</v>
      </c>
      <c r="N410" s="10">
        <v>119</v>
      </c>
      <c r="O410" s="10">
        <v>2256</v>
      </c>
      <c r="P410" s="10">
        <v>4.0999999999999996</v>
      </c>
      <c r="Q410" s="10" t="s">
        <v>26</v>
      </c>
    </row>
    <row r="411" spans="1:17" x14ac:dyDescent="0.25">
      <c r="A411" s="10" t="s">
        <v>657</v>
      </c>
      <c r="B411" s="10" t="s">
        <v>658</v>
      </c>
      <c r="C411" s="10" t="s">
        <v>63</v>
      </c>
      <c r="D411" s="10" t="s">
        <v>64</v>
      </c>
      <c r="E411" s="10" t="s">
        <v>37</v>
      </c>
      <c r="F411" s="10" t="s">
        <v>65</v>
      </c>
      <c r="G411" s="10" t="s">
        <v>32</v>
      </c>
      <c r="H411" s="10" t="s">
        <v>33</v>
      </c>
      <c r="I411" s="10" t="s">
        <v>98</v>
      </c>
      <c r="J411" s="10">
        <v>1</v>
      </c>
      <c r="K411" s="10">
        <v>1789</v>
      </c>
      <c r="L411" s="10">
        <v>1789</v>
      </c>
      <c r="M411" s="10">
        <v>25</v>
      </c>
      <c r="N411" s="10">
        <v>447</v>
      </c>
      <c r="O411" s="10">
        <v>1342</v>
      </c>
      <c r="P411" s="10">
        <v>4.7</v>
      </c>
      <c r="Q411" s="10" t="s">
        <v>26</v>
      </c>
    </row>
    <row r="412" spans="1:17" x14ac:dyDescent="0.25">
      <c r="A412" s="10" t="s">
        <v>659</v>
      </c>
      <c r="B412" s="10" t="s">
        <v>658</v>
      </c>
      <c r="C412" s="10" t="s">
        <v>19</v>
      </c>
      <c r="D412" s="10" t="s">
        <v>121</v>
      </c>
      <c r="E412" s="10" t="s">
        <v>101</v>
      </c>
      <c r="F412" s="10" t="s">
        <v>22</v>
      </c>
      <c r="G412" s="10" t="s">
        <v>32</v>
      </c>
      <c r="H412" s="10" t="s">
        <v>33</v>
      </c>
      <c r="I412" s="10" t="s">
        <v>45</v>
      </c>
      <c r="J412" s="10">
        <v>2</v>
      </c>
      <c r="K412" s="10">
        <v>655</v>
      </c>
      <c r="L412" s="10">
        <v>1310</v>
      </c>
      <c r="M412" s="10">
        <v>30</v>
      </c>
      <c r="N412" s="10">
        <v>393</v>
      </c>
      <c r="O412" s="10">
        <v>917</v>
      </c>
      <c r="P412" s="10">
        <v>4.5999999999999996</v>
      </c>
      <c r="Q412" s="10" t="s">
        <v>26</v>
      </c>
    </row>
    <row r="413" spans="1:17" x14ac:dyDescent="0.25">
      <c r="A413" s="10" t="s">
        <v>660</v>
      </c>
      <c r="B413" s="10" t="s">
        <v>661</v>
      </c>
      <c r="C413" s="10" t="s">
        <v>63</v>
      </c>
      <c r="D413" s="10" t="s">
        <v>64</v>
      </c>
      <c r="E413" s="10" t="s">
        <v>78</v>
      </c>
      <c r="F413" s="10" t="s">
        <v>130</v>
      </c>
      <c r="G413" s="10" t="s">
        <v>23</v>
      </c>
      <c r="H413" s="10" t="s">
        <v>33</v>
      </c>
      <c r="I413" s="10" t="s">
        <v>84</v>
      </c>
      <c r="J413" s="10">
        <v>2</v>
      </c>
      <c r="K413" s="10">
        <v>1625</v>
      </c>
      <c r="L413" s="10">
        <v>3250</v>
      </c>
      <c r="M413" s="10">
        <v>10</v>
      </c>
      <c r="N413" s="10">
        <v>325</v>
      </c>
      <c r="O413" s="10">
        <v>2925</v>
      </c>
      <c r="P413" s="10">
        <v>3.2</v>
      </c>
      <c r="Q413" s="10" t="s">
        <v>26</v>
      </c>
    </row>
    <row r="414" spans="1:17" x14ac:dyDescent="0.25">
      <c r="A414" s="10" t="s">
        <v>662</v>
      </c>
      <c r="B414" s="10" t="s">
        <v>661</v>
      </c>
      <c r="C414" s="10" t="s">
        <v>40</v>
      </c>
      <c r="D414" s="10" t="s">
        <v>68</v>
      </c>
      <c r="E414" s="10" t="s">
        <v>48</v>
      </c>
      <c r="F414" s="10" t="s">
        <v>31</v>
      </c>
      <c r="G414" s="10" t="s">
        <v>23</v>
      </c>
      <c r="H414" s="10" t="s">
        <v>33</v>
      </c>
      <c r="I414" s="10" t="s">
        <v>98</v>
      </c>
      <c r="J414" s="10">
        <v>4</v>
      </c>
      <c r="K414" s="10">
        <v>1211</v>
      </c>
      <c r="L414" s="10">
        <v>4844</v>
      </c>
      <c r="M414" s="10">
        <v>30</v>
      </c>
      <c r="N414" s="10">
        <v>1453</v>
      </c>
      <c r="O414" s="10">
        <v>3391</v>
      </c>
      <c r="P414" s="10">
        <v>4.9000000000000004</v>
      </c>
      <c r="Q414" s="10" t="s">
        <v>26</v>
      </c>
    </row>
    <row r="415" spans="1:17" x14ac:dyDescent="0.25">
      <c r="A415" s="10" t="s">
        <v>663</v>
      </c>
      <c r="B415" s="10" t="s">
        <v>661</v>
      </c>
      <c r="C415" s="10" t="s">
        <v>51</v>
      </c>
      <c r="D415" s="10" t="s">
        <v>52</v>
      </c>
      <c r="E415" s="10" t="s">
        <v>101</v>
      </c>
      <c r="F415" s="10" t="s">
        <v>79</v>
      </c>
      <c r="G415" s="10" t="s">
        <v>23</v>
      </c>
      <c r="H415" s="10" t="s">
        <v>33</v>
      </c>
      <c r="I415" s="10" t="s">
        <v>45</v>
      </c>
      <c r="J415" s="10">
        <v>1</v>
      </c>
      <c r="K415" s="10">
        <v>598</v>
      </c>
      <c r="L415" s="10">
        <v>598</v>
      </c>
      <c r="M415" s="10">
        <v>5</v>
      </c>
      <c r="N415" s="10">
        <v>30</v>
      </c>
      <c r="O415" s="10">
        <v>568</v>
      </c>
      <c r="P415" s="10">
        <v>3.8</v>
      </c>
      <c r="Q415" s="10" t="s">
        <v>26</v>
      </c>
    </row>
    <row r="416" spans="1:17" x14ac:dyDescent="0.25">
      <c r="A416" s="10" t="s">
        <v>664</v>
      </c>
      <c r="B416" s="10" t="s">
        <v>665</v>
      </c>
      <c r="C416" s="10" t="s">
        <v>63</v>
      </c>
      <c r="D416" s="10" t="s">
        <v>64</v>
      </c>
      <c r="E416" s="10" t="s">
        <v>53</v>
      </c>
      <c r="F416" s="10" t="s">
        <v>31</v>
      </c>
      <c r="G416" s="10" t="s">
        <v>32</v>
      </c>
      <c r="H416" s="10" t="s">
        <v>24</v>
      </c>
      <c r="I416" s="10" t="s">
        <v>98</v>
      </c>
      <c r="J416" s="10">
        <v>1</v>
      </c>
      <c r="K416" s="10">
        <v>800</v>
      </c>
      <c r="L416" s="10">
        <v>800</v>
      </c>
      <c r="M416" s="10">
        <v>15</v>
      </c>
      <c r="N416" s="10">
        <v>120</v>
      </c>
      <c r="O416" s="10">
        <v>680</v>
      </c>
      <c r="P416" s="10">
        <v>3.8</v>
      </c>
      <c r="Q416" s="10" t="s">
        <v>26</v>
      </c>
    </row>
    <row r="417" spans="1:17" x14ac:dyDescent="0.25">
      <c r="A417" s="10" t="s">
        <v>666</v>
      </c>
      <c r="B417" s="10" t="s">
        <v>665</v>
      </c>
      <c r="C417" s="10" t="s">
        <v>40</v>
      </c>
      <c r="D417" s="10" t="s">
        <v>57</v>
      </c>
      <c r="E417" s="10" t="s">
        <v>21</v>
      </c>
      <c r="F417" s="10" t="s">
        <v>72</v>
      </c>
      <c r="G417" s="10" t="s">
        <v>23</v>
      </c>
      <c r="H417" s="10" t="s">
        <v>33</v>
      </c>
      <c r="I417" s="10" t="s">
        <v>84</v>
      </c>
      <c r="J417" s="10">
        <v>2</v>
      </c>
      <c r="K417" s="10">
        <v>1133</v>
      </c>
      <c r="L417" s="10">
        <v>2266</v>
      </c>
      <c r="M417" s="10">
        <v>25</v>
      </c>
      <c r="N417" s="10">
        <v>566</v>
      </c>
      <c r="O417" s="10">
        <v>1700</v>
      </c>
      <c r="P417" s="10">
        <v>3.2</v>
      </c>
      <c r="Q417" s="10" t="s">
        <v>26</v>
      </c>
    </row>
    <row r="418" spans="1:17" x14ac:dyDescent="0.25">
      <c r="A418" s="10" t="s">
        <v>667</v>
      </c>
      <c r="B418" s="10" t="s">
        <v>665</v>
      </c>
      <c r="C418" s="10" t="s">
        <v>91</v>
      </c>
      <c r="D418" s="10" t="s">
        <v>110</v>
      </c>
      <c r="E418" s="10" t="s">
        <v>53</v>
      </c>
      <c r="F418" s="10" t="s">
        <v>119</v>
      </c>
      <c r="G418" s="10" t="s">
        <v>32</v>
      </c>
      <c r="H418" s="10" t="s">
        <v>104</v>
      </c>
      <c r="I418" s="10" t="s">
        <v>84</v>
      </c>
      <c r="J418" s="10">
        <v>4</v>
      </c>
      <c r="K418" s="10">
        <v>2800</v>
      </c>
      <c r="L418" s="10">
        <v>11200</v>
      </c>
      <c r="M418" s="10">
        <v>0</v>
      </c>
      <c r="N418" s="10">
        <v>0</v>
      </c>
      <c r="O418" s="10">
        <v>11200</v>
      </c>
      <c r="P418" s="10">
        <v>4.8</v>
      </c>
      <c r="Q418" s="10" t="s">
        <v>26</v>
      </c>
    </row>
    <row r="419" spans="1:17" x14ac:dyDescent="0.25">
      <c r="A419" s="10" t="s">
        <v>668</v>
      </c>
      <c r="B419" s="10" t="s">
        <v>665</v>
      </c>
      <c r="C419" s="10" t="s">
        <v>51</v>
      </c>
      <c r="D419" s="10" t="s">
        <v>97</v>
      </c>
      <c r="E419" s="10" t="s">
        <v>71</v>
      </c>
      <c r="F419" s="10" t="s">
        <v>43</v>
      </c>
      <c r="G419" s="10" t="s">
        <v>32</v>
      </c>
      <c r="H419" s="10" t="s">
        <v>104</v>
      </c>
      <c r="I419" s="10" t="s">
        <v>84</v>
      </c>
      <c r="J419" s="10">
        <v>3</v>
      </c>
      <c r="K419" s="10">
        <v>176</v>
      </c>
      <c r="L419" s="10">
        <v>528</v>
      </c>
      <c r="M419" s="10">
        <v>25</v>
      </c>
      <c r="N419" s="10">
        <v>132</v>
      </c>
      <c r="O419" s="10">
        <v>396</v>
      </c>
      <c r="P419" s="10">
        <v>3.3</v>
      </c>
      <c r="Q419" s="10" t="s">
        <v>75</v>
      </c>
    </row>
    <row r="420" spans="1:17" x14ac:dyDescent="0.25">
      <c r="A420" s="10" t="s">
        <v>669</v>
      </c>
      <c r="B420" s="10" t="s">
        <v>670</v>
      </c>
      <c r="C420" s="10" t="s">
        <v>91</v>
      </c>
      <c r="D420" s="10" t="s">
        <v>110</v>
      </c>
      <c r="E420" s="10" t="s">
        <v>42</v>
      </c>
      <c r="F420" s="10" t="s">
        <v>79</v>
      </c>
      <c r="G420" s="10" t="s">
        <v>23</v>
      </c>
      <c r="H420" s="10" t="s">
        <v>24</v>
      </c>
      <c r="I420" s="10" t="s">
        <v>34</v>
      </c>
      <c r="J420" s="10">
        <v>1</v>
      </c>
      <c r="K420" s="10">
        <v>2944</v>
      </c>
      <c r="L420" s="10">
        <v>2944</v>
      </c>
      <c r="M420" s="10">
        <v>25</v>
      </c>
      <c r="N420" s="10">
        <v>736</v>
      </c>
      <c r="O420" s="10">
        <v>2208</v>
      </c>
      <c r="P420" s="10">
        <v>3.9</v>
      </c>
      <c r="Q420" s="10" t="s">
        <v>26</v>
      </c>
    </row>
    <row r="421" spans="1:17" x14ac:dyDescent="0.25">
      <c r="A421" s="10" t="s">
        <v>671</v>
      </c>
      <c r="B421" s="10" t="s">
        <v>670</v>
      </c>
      <c r="C421" s="10" t="s">
        <v>63</v>
      </c>
      <c r="D421" s="10" t="s">
        <v>134</v>
      </c>
      <c r="E421" s="10" t="s">
        <v>78</v>
      </c>
      <c r="F421" s="10" t="s">
        <v>22</v>
      </c>
      <c r="G421" s="10" t="s">
        <v>44</v>
      </c>
      <c r="H421" s="10" t="s">
        <v>33</v>
      </c>
      <c r="I421" s="10" t="s">
        <v>84</v>
      </c>
      <c r="J421" s="10">
        <v>4</v>
      </c>
      <c r="K421" s="10">
        <v>904</v>
      </c>
      <c r="L421" s="10">
        <v>3616</v>
      </c>
      <c r="M421" s="10">
        <v>5</v>
      </c>
      <c r="N421" s="10">
        <v>181</v>
      </c>
      <c r="O421" s="10">
        <v>3435</v>
      </c>
      <c r="P421" s="10">
        <v>4</v>
      </c>
      <c r="Q421" s="10" t="s">
        <v>26</v>
      </c>
    </row>
    <row r="422" spans="1:17" x14ac:dyDescent="0.25">
      <c r="A422" s="10" t="s">
        <v>672</v>
      </c>
      <c r="B422" s="10" t="s">
        <v>670</v>
      </c>
      <c r="C422" s="10" t="s">
        <v>28</v>
      </c>
      <c r="D422" s="10" t="s">
        <v>163</v>
      </c>
      <c r="E422" s="10" t="s">
        <v>53</v>
      </c>
      <c r="F422" s="10" t="s">
        <v>22</v>
      </c>
      <c r="G422" s="10" t="s">
        <v>23</v>
      </c>
      <c r="H422" s="10" t="s">
        <v>33</v>
      </c>
      <c r="I422" s="10" t="s">
        <v>25</v>
      </c>
      <c r="J422" s="10">
        <v>1</v>
      </c>
      <c r="K422" s="10">
        <v>1156</v>
      </c>
      <c r="L422" s="10">
        <v>1156</v>
      </c>
      <c r="M422" s="10">
        <v>0</v>
      </c>
      <c r="N422" s="10">
        <v>0</v>
      </c>
      <c r="O422" s="10">
        <v>1156</v>
      </c>
      <c r="P422" s="10">
        <v>4.9000000000000004</v>
      </c>
      <c r="Q422" s="10" t="s">
        <v>26</v>
      </c>
    </row>
    <row r="423" spans="1:17" x14ac:dyDescent="0.25">
      <c r="A423" s="10" t="s">
        <v>673</v>
      </c>
      <c r="B423" s="10" t="s">
        <v>670</v>
      </c>
      <c r="C423" s="10" t="s">
        <v>51</v>
      </c>
      <c r="D423" s="10" t="s">
        <v>52</v>
      </c>
      <c r="E423" s="10" t="s">
        <v>60</v>
      </c>
      <c r="F423" s="10" t="s">
        <v>43</v>
      </c>
      <c r="G423" s="10" t="s">
        <v>23</v>
      </c>
      <c r="H423" s="10" t="s">
        <v>33</v>
      </c>
      <c r="I423" s="10" t="s">
        <v>84</v>
      </c>
      <c r="J423" s="10">
        <v>5</v>
      </c>
      <c r="K423" s="10">
        <v>661</v>
      </c>
      <c r="L423" s="10">
        <v>3305</v>
      </c>
      <c r="M423" s="10">
        <v>20</v>
      </c>
      <c r="N423" s="10">
        <v>661</v>
      </c>
      <c r="O423" s="10">
        <v>2644</v>
      </c>
      <c r="P423" s="10">
        <v>3.2</v>
      </c>
      <c r="Q423" s="10" t="s">
        <v>26</v>
      </c>
    </row>
    <row r="424" spans="1:17" x14ac:dyDescent="0.25">
      <c r="A424" s="10" t="s">
        <v>674</v>
      </c>
      <c r="B424" s="10" t="s">
        <v>670</v>
      </c>
      <c r="C424" s="10" t="s">
        <v>51</v>
      </c>
      <c r="D424" s="10" t="s">
        <v>97</v>
      </c>
      <c r="E424" s="10" t="s">
        <v>48</v>
      </c>
      <c r="F424" s="10" t="s">
        <v>83</v>
      </c>
      <c r="G424" s="10" t="s">
        <v>44</v>
      </c>
      <c r="H424" s="10" t="s">
        <v>24</v>
      </c>
      <c r="I424" s="10" t="s">
        <v>45</v>
      </c>
      <c r="J424" s="10">
        <v>2</v>
      </c>
      <c r="K424" s="10">
        <v>458</v>
      </c>
      <c r="L424" s="10">
        <v>916</v>
      </c>
      <c r="M424" s="10">
        <v>10</v>
      </c>
      <c r="N424" s="10">
        <v>92</v>
      </c>
      <c r="O424" s="10">
        <v>824</v>
      </c>
      <c r="P424" s="10">
        <v>4.2</v>
      </c>
      <c r="Q424" s="10" t="s">
        <v>26</v>
      </c>
    </row>
    <row r="425" spans="1:17" x14ac:dyDescent="0.25">
      <c r="A425" s="10" t="s">
        <v>675</v>
      </c>
      <c r="B425" s="10" t="s">
        <v>676</v>
      </c>
      <c r="C425" s="10" t="s">
        <v>51</v>
      </c>
      <c r="D425" s="10" t="s">
        <v>70</v>
      </c>
      <c r="E425" s="10" t="s">
        <v>78</v>
      </c>
      <c r="F425" s="10" t="s">
        <v>22</v>
      </c>
      <c r="G425" s="10" t="s">
        <v>23</v>
      </c>
      <c r="H425" s="10" t="s">
        <v>33</v>
      </c>
      <c r="I425" s="10" t="s">
        <v>98</v>
      </c>
      <c r="J425" s="10">
        <v>5</v>
      </c>
      <c r="K425" s="10">
        <v>226</v>
      </c>
      <c r="L425" s="10">
        <v>1130</v>
      </c>
      <c r="M425" s="10">
        <v>0</v>
      </c>
      <c r="N425" s="10">
        <v>0</v>
      </c>
      <c r="O425" s="10">
        <v>1130</v>
      </c>
      <c r="P425" s="10">
        <v>3.9</v>
      </c>
      <c r="Q425" s="10" t="s">
        <v>26</v>
      </c>
    </row>
    <row r="426" spans="1:17" x14ac:dyDescent="0.25">
      <c r="A426" s="10" t="s">
        <v>677</v>
      </c>
      <c r="B426" s="10" t="s">
        <v>678</v>
      </c>
      <c r="C426" s="10" t="s">
        <v>19</v>
      </c>
      <c r="D426" s="10" t="s">
        <v>121</v>
      </c>
      <c r="E426" s="10" t="s">
        <v>78</v>
      </c>
      <c r="F426" s="10" t="s">
        <v>22</v>
      </c>
      <c r="G426" s="10" t="s">
        <v>23</v>
      </c>
      <c r="H426" s="10" t="s">
        <v>24</v>
      </c>
      <c r="I426" s="10" t="s">
        <v>34</v>
      </c>
      <c r="J426" s="10">
        <v>5</v>
      </c>
      <c r="K426" s="10">
        <v>538</v>
      </c>
      <c r="L426" s="10">
        <v>2690</v>
      </c>
      <c r="M426" s="10">
        <v>30</v>
      </c>
      <c r="N426" s="10">
        <v>807</v>
      </c>
      <c r="O426" s="10">
        <v>1883</v>
      </c>
      <c r="P426" s="10">
        <v>3.2</v>
      </c>
      <c r="Q426" s="10" t="s">
        <v>26</v>
      </c>
    </row>
    <row r="427" spans="1:17" x14ac:dyDescent="0.25">
      <c r="A427" s="10" t="s">
        <v>679</v>
      </c>
      <c r="B427" s="10" t="s">
        <v>678</v>
      </c>
      <c r="C427" s="10" t="s">
        <v>91</v>
      </c>
      <c r="D427" s="10" t="s">
        <v>110</v>
      </c>
      <c r="E427" s="10" t="s">
        <v>30</v>
      </c>
      <c r="F427" s="10" t="s">
        <v>119</v>
      </c>
      <c r="G427" s="10" t="s">
        <v>23</v>
      </c>
      <c r="H427" s="10" t="s">
        <v>24</v>
      </c>
      <c r="I427" s="10" t="s">
        <v>25</v>
      </c>
      <c r="J427" s="10">
        <v>3</v>
      </c>
      <c r="K427" s="10">
        <v>1102</v>
      </c>
      <c r="L427" s="10">
        <v>3306</v>
      </c>
      <c r="M427" s="10">
        <v>25</v>
      </c>
      <c r="N427" s="10">
        <v>826</v>
      </c>
      <c r="O427" s="10">
        <v>2480</v>
      </c>
      <c r="P427" s="10">
        <v>4.3</v>
      </c>
      <c r="Q427" s="10" t="s">
        <v>26</v>
      </c>
    </row>
    <row r="428" spans="1:17" x14ac:dyDescent="0.25">
      <c r="A428" s="10" t="s">
        <v>680</v>
      </c>
      <c r="B428" s="10" t="s">
        <v>681</v>
      </c>
      <c r="C428" s="10" t="s">
        <v>63</v>
      </c>
      <c r="D428" s="10" t="s">
        <v>64</v>
      </c>
      <c r="E428" s="10" t="s">
        <v>30</v>
      </c>
      <c r="F428" s="10" t="s">
        <v>43</v>
      </c>
      <c r="G428" s="10" t="s">
        <v>23</v>
      </c>
      <c r="H428" s="10" t="s">
        <v>24</v>
      </c>
      <c r="I428" s="10" t="s">
        <v>84</v>
      </c>
      <c r="J428" s="10">
        <v>5</v>
      </c>
      <c r="K428" s="10">
        <v>2005</v>
      </c>
      <c r="L428" s="10">
        <v>10025</v>
      </c>
      <c r="M428" s="10">
        <v>20</v>
      </c>
      <c r="N428" s="10">
        <v>2005</v>
      </c>
      <c r="O428" s="10">
        <v>8020</v>
      </c>
      <c r="P428" s="10">
        <v>4.7</v>
      </c>
      <c r="Q428" s="10" t="s">
        <v>26</v>
      </c>
    </row>
    <row r="429" spans="1:17" x14ac:dyDescent="0.25">
      <c r="A429" s="10" t="s">
        <v>682</v>
      </c>
      <c r="B429" s="10" t="s">
        <v>683</v>
      </c>
      <c r="C429" s="10" t="s">
        <v>28</v>
      </c>
      <c r="D429" s="10" t="s">
        <v>95</v>
      </c>
      <c r="E429" s="10" t="s">
        <v>60</v>
      </c>
      <c r="F429" s="10" t="s">
        <v>72</v>
      </c>
      <c r="G429" s="10" t="s">
        <v>23</v>
      </c>
      <c r="H429" s="10" t="s">
        <v>24</v>
      </c>
      <c r="I429" s="10" t="s">
        <v>34</v>
      </c>
      <c r="J429" s="10">
        <v>4</v>
      </c>
      <c r="K429" s="10">
        <v>1110</v>
      </c>
      <c r="L429" s="10">
        <v>4440</v>
      </c>
      <c r="M429" s="10">
        <v>0</v>
      </c>
      <c r="N429" s="10">
        <v>0</v>
      </c>
      <c r="O429" s="10">
        <v>4440</v>
      </c>
      <c r="P429" s="10">
        <v>5</v>
      </c>
      <c r="Q429" s="10" t="s">
        <v>26</v>
      </c>
    </row>
    <row r="430" spans="1:17" x14ac:dyDescent="0.25">
      <c r="A430" s="10" t="s">
        <v>684</v>
      </c>
      <c r="B430" s="10" t="s">
        <v>685</v>
      </c>
      <c r="C430" s="10" t="s">
        <v>63</v>
      </c>
      <c r="D430" s="10" t="s">
        <v>143</v>
      </c>
      <c r="E430" s="10" t="s">
        <v>37</v>
      </c>
      <c r="F430" s="10" t="s">
        <v>119</v>
      </c>
      <c r="G430" s="10" t="s">
        <v>32</v>
      </c>
      <c r="H430" s="10" t="s">
        <v>24</v>
      </c>
      <c r="I430" s="10" t="s">
        <v>45</v>
      </c>
      <c r="J430" s="10">
        <v>3</v>
      </c>
      <c r="K430" s="10">
        <v>2283</v>
      </c>
      <c r="L430" s="10">
        <v>6849</v>
      </c>
      <c r="M430" s="10">
        <v>0</v>
      </c>
      <c r="N430" s="10">
        <v>0</v>
      </c>
      <c r="O430" s="10">
        <v>6849</v>
      </c>
      <c r="P430" s="10">
        <v>3.8</v>
      </c>
      <c r="Q430" s="10" t="s">
        <v>26</v>
      </c>
    </row>
    <row r="431" spans="1:17" x14ac:dyDescent="0.25">
      <c r="A431" s="10" t="s">
        <v>686</v>
      </c>
      <c r="B431" s="10" t="s">
        <v>685</v>
      </c>
      <c r="C431" s="10" t="s">
        <v>63</v>
      </c>
      <c r="D431" s="10" t="s">
        <v>134</v>
      </c>
      <c r="E431" s="10" t="s">
        <v>101</v>
      </c>
      <c r="F431" s="10" t="s">
        <v>22</v>
      </c>
      <c r="G431" s="10" t="s">
        <v>23</v>
      </c>
      <c r="H431" s="10" t="s">
        <v>24</v>
      </c>
      <c r="I431" s="10" t="s">
        <v>84</v>
      </c>
      <c r="J431" s="10">
        <v>1</v>
      </c>
      <c r="K431" s="10">
        <v>2398</v>
      </c>
      <c r="L431" s="10">
        <v>2398</v>
      </c>
      <c r="M431" s="10">
        <v>30</v>
      </c>
      <c r="N431" s="10">
        <v>719</v>
      </c>
      <c r="O431" s="10">
        <v>1679</v>
      </c>
      <c r="P431" s="10">
        <v>4</v>
      </c>
      <c r="Q431" s="10" t="s">
        <v>26</v>
      </c>
    </row>
    <row r="432" spans="1:17" x14ac:dyDescent="0.25">
      <c r="A432" s="10" t="s">
        <v>687</v>
      </c>
      <c r="B432" s="10" t="s">
        <v>685</v>
      </c>
      <c r="C432" s="10" t="s">
        <v>19</v>
      </c>
      <c r="D432" s="10" t="s">
        <v>230</v>
      </c>
      <c r="E432" s="10" t="s">
        <v>48</v>
      </c>
      <c r="F432" s="10" t="s">
        <v>130</v>
      </c>
      <c r="G432" s="10" t="s">
        <v>23</v>
      </c>
      <c r="H432" s="10" t="s">
        <v>33</v>
      </c>
      <c r="I432" s="10" t="s">
        <v>84</v>
      </c>
      <c r="J432" s="10">
        <v>4</v>
      </c>
      <c r="K432" s="10">
        <v>826</v>
      </c>
      <c r="L432" s="10">
        <v>3304</v>
      </c>
      <c r="M432" s="10">
        <v>30</v>
      </c>
      <c r="N432" s="10">
        <v>991</v>
      </c>
      <c r="O432" s="10">
        <v>2313</v>
      </c>
      <c r="P432" s="10">
        <v>4.2</v>
      </c>
      <c r="Q432" s="10" t="s">
        <v>75</v>
      </c>
    </row>
    <row r="433" spans="1:17" x14ac:dyDescent="0.25">
      <c r="A433" s="10" t="s">
        <v>688</v>
      </c>
      <c r="B433" s="10" t="s">
        <v>685</v>
      </c>
      <c r="C433" s="10" t="s">
        <v>63</v>
      </c>
      <c r="D433" s="10" t="s">
        <v>143</v>
      </c>
      <c r="E433" s="10" t="s">
        <v>101</v>
      </c>
      <c r="F433" s="10" t="s">
        <v>79</v>
      </c>
      <c r="G433" s="10" t="s">
        <v>32</v>
      </c>
      <c r="H433" s="10" t="s">
        <v>24</v>
      </c>
      <c r="I433" s="10" t="s">
        <v>84</v>
      </c>
      <c r="J433" s="10">
        <v>2</v>
      </c>
      <c r="K433" s="10">
        <v>1093</v>
      </c>
      <c r="L433" s="10">
        <v>2186</v>
      </c>
      <c r="M433" s="10">
        <v>10</v>
      </c>
      <c r="N433" s="10">
        <v>219</v>
      </c>
      <c r="O433" s="10">
        <v>1967</v>
      </c>
      <c r="P433" s="10">
        <v>4.9000000000000004</v>
      </c>
      <c r="Q433" s="10" t="s">
        <v>26</v>
      </c>
    </row>
    <row r="434" spans="1:17" x14ac:dyDescent="0.25">
      <c r="A434" s="10" t="s">
        <v>689</v>
      </c>
      <c r="B434" s="10" t="s">
        <v>690</v>
      </c>
      <c r="C434" s="10" t="s">
        <v>28</v>
      </c>
      <c r="D434" s="10" t="s">
        <v>95</v>
      </c>
      <c r="E434" s="10" t="s">
        <v>60</v>
      </c>
      <c r="F434" s="10" t="s">
        <v>119</v>
      </c>
      <c r="G434" s="10" t="s">
        <v>32</v>
      </c>
      <c r="H434" s="10" t="s">
        <v>33</v>
      </c>
      <c r="I434" s="10" t="s">
        <v>84</v>
      </c>
      <c r="J434" s="10">
        <v>5</v>
      </c>
      <c r="K434" s="10">
        <v>216</v>
      </c>
      <c r="L434" s="10">
        <v>1080</v>
      </c>
      <c r="M434" s="10">
        <v>25</v>
      </c>
      <c r="N434" s="10">
        <v>270</v>
      </c>
      <c r="O434" s="10">
        <v>810</v>
      </c>
      <c r="P434" s="10">
        <v>3.3</v>
      </c>
      <c r="Q434" s="10" t="s">
        <v>26</v>
      </c>
    </row>
    <row r="435" spans="1:17" x14ac:dyDescent="0.25">
      <c r="A435" s="10" t="s">
        <v>691</v>
      </c>
      <c r="B435" s="10" t="s">
        <v>692</v>
      </c>
      <c r="C435" s="10" t="s">
        <v>51</v>
      </c>
      <c r="D435" s="10" t="s">
        <v>97</v>
      </c>
      <c r="E435" s="10" t="s">
        <v>101</v>
      </c>
      <c r="F435" s="10" t="s">
        <v>79</v>
      </c>
      <c r="G435" s="10" t="s">
        <v>23</v>
      </c>
      <c r="H435" s="10" t="s">
        <v>104</v>
      </c>
      <c r="I435" s="10" t="s">
        <v>25</v>
      </c>
      <c r="J435" s="10">
        <v>3</v>
      </c>
      <c r="K435" s="10">
        <v>433</v>
      </c>
      <c r="L435" s="10">
        <v>1299</v>
      </c>
      <c r="M435" s="10">
        <v>15</v>
      </c>
      <c r="N435" s="10">
        <v>195</v>
      </c>
      <c r="O435" s="10">
        <v>1104</v>
      </c>
      <c r="P435" s="10">
        <v>3.2</v>
      </c>
      <c r="Q435" s="10" t="s">
        <v>26</v>
      </c>
    </row>
    <row r="436" spans="1:17" x14ac:dyDescent="0.25">
      <c r="A436" s="10" t="s">
        <v>693</v>
      </c>
      <c r="B436" s="10" t="s">
        <v>692</v>
      </c>
      <c r="C436" s="10" t="s">
        <v>28</v>
      </c>
      <c r="D436" s="10" t="s">
        <v>163</v>
      </c>
      <c r="E436" s="10" t="s">
        <v>71</v>
      </c>
      <c r="F436" s="10" t="s">
        <v>22</v>
      </c>
      <c r="G436" s="10" t="s">
        <v>23</v>
      </c>
      <c r="H436" s="10" t="s">
        <v>24</v>
      </c>
      <c r="I436" s="10" t="s">
        <v>98</v>
      </c>
      <c r="J436" s="10">
        <v>4</v>
      </c>
      <c r="K436" s="10">
        <v>1226</v>
      </c>
      <c r="L436" s="10">
        <v>4904</v>
      </c>
      <c r="M436" s="10">
        <v>10</v>
      </c>
      <c r="N436" s="10">
        <v>490</v>
      </c>
      <c r="O436" s="10">
        <v>4414</v>
      </c>
      <c r="P436" s="10">
        <v>4.2</v>
      </c>
      <c r="Q436" s="10" t="s">
        <v>75</v>
      </c>
    </row>
    <row r="437" spans="1:17" x14ac:dyDescent="0.25">
      <c r="A437" s="10" t="s">
        <v>694</v>
      </c>
      <c r="B437" s="10" t="s">
        <v>695</v>
      </c>
      <c r="C437" s="10" t="s">
        <v>19</v>
      </c>
      <c r="D437" s="10" t="s">
        <v>128</v>
      </c>
      <c r="E437" s="10" t="s">
        <v>82</v>
      </c>
      <c r="F437" s="10" t="s">
        <v>130</v>
      </c>
      <c r="G437" s="10" t="s">
        <v>23</v>
      </c>
      <c r="H437" s="10" t="s">
        <v>33</v>
      </c>
      <c r="I437" s="10" t="s">
        <v>84</v>
      </c>
      <c r="J437" s="10">
        <v>2</v>
      </c>
      <c r="K437" s="10">
        <v>773</v>
      </c>
      <c r="L437" s="10">
        <v>1546</v>
      </c>
      <c r="M437" s="10">
        <v>20</v>
      </c>
      <c r="N437" s="10">
        <v>309</v>
      </c>
      <c r="O437" s="10">
        <v>1237</v>
      </c>
      <c r="P437" s="10">
        <v>4.0999999999999996</v>
      </c>
      <c r="Q437" s="10" t="s">
        <v>26</v>
      </c>
    </row>
    <row r="438" spans="1:17" x14ac:dyDescent="0.25">
      <c r="A438" s="10" t="s">
        <v>696</v>
      </c>
      <c r="B438" s="10" t="s">
        <v>695</v>
      </c>
      <c r="C438" s="10" t="s">
        <v>19</v>
      </c>
      <c r="D438" s="10" t="s">
        <v>128</v>
      </c>
      <c r="E438" s="10" t="s">
        <v>155</v>
      </c>
      <c r="F438" s="10" t="s">
        <v>61</v>
      </c>
      <c r="G438" s="10" t="s">
        <v>32</v>
      </c>
      <c r="H438" s="10" t="s">
        <v>104</v>
      </c>
      <c r="I438" s="10" t="s">
        <v>98</v>
      </c>
      <c r="J438" s="10">
        <v>5</v>
      </c>
      <c r="K438" s="10">
        <v>703</v>
      </c>
      <c r="L438" s="10">
        <v>3515</v>
      </c>
      <c r="M438" s="10">
        <v>25</v>
      </c>
      <c r="N438" s="10">
        <v>879</v>
      </c>
      <c r="O438" s="10">
        <v>2636</v>
      </c>
      <c r="P438" s="10">
        <v>3.8</v>
      </c>
      <c r="Q438" s="10" t="s">
        <v>26</v>
      </c>
    </row>
    <row r="439" spans="1:17" x14ac:dyDescent="0.25">
      <c r="A439" s="10" t="s">
        <v>697</v>
      </c>
      <c r="B439" s="10" t="s">
        <v>698</v>
      </c>
      <c r="C439" s="10" t="s">
        <v>91</v>
      </c>
      <c r="D439" s="10" t="s">
        <v>110</v>
      </c>
      <c r="E439" s="10" t="s">
        <v>60</v>
      </c>
      <c r="F439" s="10" t="s">
        <v>72</v>
      </c>
      <c r="G439" s="10" t="s">
        <v>32</v>
      </c>
      <c r="H439" s="10" t="s">
        <v>33</v>
      </c>
      <c r="I439" s="10" t="s">
        <v>98</v>
      </c>
      <c r="J439" s="10">
        <v>4</v>
      </c>
      <c r="K439" s="10">
        <v>1318</v>
      </c>
      <c r="L439" s="10">
        <v>5272</v>
      </c>
      <c r="M439" s="10">
        <v>25</v>
      </c>
      <c r="N439" s="10">
        <v>1318</v>
      </c>
      <c r="O439" s="10">
        <v>3954</v>
      </c>
      <c r="P439" s="10">
        <v>4.4000000000000004</v>
      </c>
      <c r="Q439" s="10" t="s">
        <v>26</v>
      </c>
    </row>
    <row r="440" spans="1:17" x14ac:dyDescent="0.25">
      <c r="A440" s="10" t="s">
        <v>699</v>
      </c>
      <c r="B440" s="10" t="s">
        <v>698</v>
      </c>
      <c r="C440" s="10" t="s">
        <v>91</v>
      </c>
      <c r="D440" s="10" t="s">
        <v>125</v>
      </c>
      <c r="E440" s="10" t="s">
        <v>155</v>
      </c>
      <c r="F440" s="10" t="s">
        <v>79</v>
      </c>
      <c r="G440" s="10" t="s">
        <v>32</v>
      </c>
      <c r="H440" s="10" t="s">
        <v>24</v>
      </c>
      <c r="I440" s="10" t="s">
        <v>98</v>
      </c>
      <c r="J440" s="10">
        <v>3</v>
      </c>
      <c r="K440" s="10">
        <v>2226</v>
      </c>
      <c r="L440" s="10">
        <v>6678</v>
      </c>
      <c r="M440" s="10">
        <v>25</v>
      </c>
      <c r="N440" s="10">
        <v>1670</v>
      </c>
      <c r="O440" s="10">
        <v>5008</v>
      </c>
      <c r="P440" s="10">
        <v>4.4000000000000004</v>
      </c>
      <c r="Q440" s="10" t="s">
        <v>26</v>
      </c>
    </row>
    <row r="441" spans="1:17" x14ac:dyDescent="0.25">
      <c r="A441" s="10" t="s">
        <v>700</v>
      </c>
      <c r="B441" s="10" t="s">
        <v>698</v>
      </c>
      <c r="C441" s="10" t="s">
        <v>40</v>
      </c>
      <c r="D441" s="10" t="s">
        <v>113</v>
      </c>
      <c r="E441" s="10" t="s">
        <v>78</v>
      </c>
      <c r="F441" s="10" t="s">
        <v>43</v>
      </c>
      <c r="G441" s="10" t="s">
        <v>23</v>
      </c>
      <c r="H441" s="10" t="s">
        <v>33</v>
      </c>
      <c r="I441" s="10" t="s">
        <v>25</v>
      </c>
      <c r="J441" s="10">
        <v>2</v>
      </c>
      <c r="K441" s="10">
        <v>398</v>
      </c>
      <c r="L441" s="10">
        <v>796</v>
      </c>
      <c r="M441" s="10">
        <v>30</v>
      </c>
      <c r="N441" s="10">
        <v>239</v>
      </c>
      <c r="O441" s="10">
        <v>557</v>
      </c>
      <c r="P441" s="10">
        <v>4</v>
      </c>
      <c r="Q441" s="10" t="s">
        <v>26</v>
      </c>
    </row>
    <row r="442" spans="1:17" x14ac:dyDescent="0.25">
      <c r="A442" s="10" t="s">
        <v>701</v>
      </c>
      <c r="B442" s="10" t="s">
        <v>702</v>
      </c>
      <c r="C442" s="10" t="s">
        <v>28</v>
      </c>
      <c r="D442" s="10" t="s">
        <v>163</v>
      </c>
      <c r="E442" s="10" t="s">
        <v>60</v>
      </c>
      <c r="F442" s="10" t="s">
        <v>61</v>
      </c>
      <c r="G442" s="10" t="s">
        <v>32</v>
      </c>
      <c r="H442" s="10" t="s">
        <v>33</v>
      </c>
      <c r="I442" s="10" t="s">
        <v>84</v>
      </c>
      <c r="J442" s="10">
        <v>1</v>
      </c>
      <c r="K442" s="10">
        <v>521</v>
      </c>
      <c r="L442" s="10">
        <v>521</v>
      </c>
      <c r="M442" s="10">
        <v>15</v>
      </c>
      <c r="N442" s="10">
        <v>78</v>
      </c>
      <c r="O442" s="10">
        <v>443</v>
      </c>
      <c r="P442" s="10">
        <v>3.4</v>
      </c>
      <c r="Q442" s="10" t="s">
        <v>26</v>
      </c>
    </row>
    <row r="443" spans="1:17" x14ac:dyDescent="0.25">
      <c r="A443" s="10" t="s">
        <v>703</v>
      </c>
      <c r="B443" s="10" t="s">
        <v>704</v>
      </c>
      <c r="C443" s="10" t="s">
        <v>91</v>
      </c>
      <c r="D443" s="10" t="s">
        <v>92</v>
      </c>
      <c r="E443" s="10" t="s">
        <v>60</v>
      </c>
      <c r="F443" s="10" t="s">
        <v>72</v>
      </c>
      <c r="G443" s="10" t="s">
        <v>23</v>
      </c>
      <c r="H443" s="10" t="s">
        <v>33</v>
      </c>
      <c r="I443" s="10" t="s">
        <v>34</v>
      </c>
      <c r="J443" s="10">
        <v>2</v>
      </c>
      <c r="K443" s="10">
        <v>1172</v>
      </c>
      <c r="L443" s="10">
        <v>2344</v>
      </c>
      <c r="M443" s="10">
        <v>5</v>
      </c>
      <c r="N443" s="10">
        <v>117</v>
      </c>
      <c r="O443" s="10">
        <v>2227</v>
      </c>
      <c r="P443" s="10">
        <v>4.9000000000000004</v>
      </c>
      <c r="Q443" s="10" t="s">
        <v>26</v>
      </c>
    </row>
    <row r="444" spans="1:17" x14ac:dyDescent="0.25">
      <c r="A444" s="10" t="s">
        <v>705</v>
      </c>
      <c r="B444" s="10" t="s">
        <v>704</v>
      </c>
      <c r="C444" s="10" t="s">
        <v>63</v>
      </c>
      <c r="D444" s="10" t="s">
        <v>134</v>
      </c>
      <c r="E444" s="10" t="s">
        <v>82</v>
      </c>
      <c r="F444" s="10" t="s">
        <v>130</v>
      </c>
      <c r="G444" s="10" t="s">
        <v>44</v>
      </c>
      <c r="H444" s="10" t="s">
        <v>104</v>
      </c>
      <c r="I444" s="10" t="s">
        <v>84</v>
      </c>
      <c r="J444" s="10">
        <v>2</v>
      </c>
      <c r="K444" s="10">
        <v>923</v>
      </c>
      <c r="L444" s="10">
        <v>1846</v>
      </c>
      <c r="M444" s="10">
        <v>25</v>
      </c>
      <c r="N444" s="10">
        <v>462</v>
      </c>
      <c r="O444" s="10">
        <v>1384</v>
      </c>
      <c r="P444" s="10">
        <v>3.8</v>
      </c>
      <c r="Q444" s="10" t="s">
        <v>26</v>
      </c>
    </row>
    <row r="445" spans="1:17" x14ac:dyDescent="0.25">
      <c r="A445" s="10" t="s">
        <v>706</v>
      </c>
      <c r="B445" s="10" t="s">
        <v>707</v>
      </c>
      <c r="C445" s="10" t="s">
        <v>28</v>
      </c>
      <c r="D445" s="10" t="s">
        <v>29</v>
      </c>
      <c r="E445" s="10" t="s">
        <v>42</v>
      </c>
      <c r="F445" s="10" t="s">
        <v>65</v>
      </c>
      <c r="G445" s="10" t="s">
        <v>23</v>
      </c>
      <c r="H445" s="10" t="s">
        <v>33</v>
      </c>
      <c r="I445" s="10" t="s">
        <v>98</v>
      </c>
      <c r="J445" s="10">
        <v>2</v>
      </c>
      <c r="K445" s="10">
        <v>888</v>
      </c>
      <c r="L445" s="10">
        <v>1776</v>
      </c>
      <c r="M445" s="10">
        <v>15</v>
      </c>
      <c r="N445" s="10">
        <v>266</v>
      </c>
      <c r="O445" s="10">
        <v>1510</v>
      </c>
      <c r="P445" s="10">
        <v>4.2</v>
      </c>
      <c r="Q445" s="10" t="s">
        <v>26</v>
      </c>
    </row>
    <row r="446" spans="1:17" x14ac:dyDescent="0.25">
      <c r="A446" s="10" t="s">
        <v>708</v>
      </c>
      <c r="B446" s="10" t="s">
        <v>707</v>
      </c>
      <c r="C446" s="10" t="s">
        <v>63</v>
      </c>
      <c r="D446" s="10" t="s">
        <v>143</v>
      </c>
      <c r="E446" s="10" t="s">
        <v>82</v>
      </c>
      <c r="F446" s="10" t="s">
        <v>61</v>
      </c>
      <c r="G446" s="10" t="s">
        <v>32</v>
      </c>
      <c r="H446" s="10" t="s">
        <v>24</v>
      </c>
      <c r="I446" s="10" t="s">
        <v>45</v>
      </c>
      <c r="J446" s="10">
        <v>1</v>
      </c>
      <c r="K446" s="10">
        <v>2139</v>
      </c>
      <c r="L446" s="10">
        <v>2139</v>
      </c>
      <c r="M446" s="10">
        <v>30</v>
      </c>
      <c r="N446" s="10">
        <v>642</v>
      </c>
      <c r="O446" s="10">
        <v>1497</v>
      </c>
      <c r="P446" s="10">
        <v>4.8</v>
      </c>
      <c r="Q446" s="10" t="s">
        <v>26</v>
      </c>
    </row>
    <row r="447" spans="1:17" x14ac:dyDescent="0.25">
      <c r="A447" s="10" t="s">
        <v>709</v>
      </c>
      <c r="B447" s="10" t="s">
        <v>707</v>
      </c>
      <c r="C447" s="10" t="s">
        <v>19</v>
      </c>
      <c r="D447" s="10" t="s">
        <v>121</v>
      </c>
      <c r="E447" s="10" t="s">
        <v>60</v>
      </c>
      <c r="F447" s="10" t="s">
        <v>72</v>
      </c>
      <c r="G447" s="10" t="s">
        <v>23</v>
      </c>
      <c r="H447" s="10" t="s">
        <v>24</v>
      </c>
      <c r="I447" s="10" t="s">
        <v>45</v>
      </c>
      <c r="J447" s="10">
        <v>3</v>
      </c>
      <c r="K447" s="10">
        <v>333</v>
      </c>
      <c r="L447" s="10">
        <v>999</v>
      </c>
      <c r="M447" s="10">
        <v>10</v>
      </c>
      <c r="N447" s="10">
        <v>100</v>
      </c>
      <c r="O447" s="10">
        <v>899</v>
      </c>
      <c r="P447" s="10">
        <v>3.5</v>
      </c>
      <c r="Q447" s="10" t="s">
        <v>26</v>
      </c>
    </row>
    <row r="448" spans="1:17" x14ac:dyDescent="0.25">
      <c r="A448" s="10" t="s">
        <v>710</v>
      </c>
      <c r="B448" s="10" t="s">
        <v>707</v>
      </c>
      <c r="C448" s="10" t="s">
        <v>28</v>
      </c>
      <c r="D448" s="10" t="s">
        <v>95</v>
      </c>
      <c r="E448" s="10" t="s">
        <v>101</v>
      </c>
      <c r="F448" s="10" t="s">
        <v>43</v>
      </c>
      <c r="G448" s="10" t="s">
        <v>23</v>
      </c>
      <c r="H448" s="10" t="s">
        <v>33</v>
      </c>
      <c r="I448" s="10" t="s">
        <v>34</v>
      </c>
      <c r="J448" s="10">
        <v>2</v>
      </c>
      <c r="K448" s="10">
        <v>1056</v>
      </c>
      <c r="L448" s="10">
        <v>2112</v>
      </c>
      <c r="M448" s="10">
        <v>0</v>
      </c>
      <c r="N448" s="10">
        <v>0</v>
      </c>
      <c r="O448" s="10">
        <v>2112</v>
      </c>
      <c r="P448" s="10">
        <v>3.4</v>
      </c>
      <c r="Q448" s="10" t="s">
        <v>26</v>
      </c>
    </row>
    <row r="449" spans="1:17" x14ac:dyDescent="0.25">
      <c r="A449" s="10" t="s">
        <v>711</v>
      </c>
      <c r="B449" s="10" t="s">
        <v>712</v>
      </c>
      <c r="C449" s="10" t="s">
        <v>63</v>
      </c>
      <c r="D449" s="10" t="s">
        <v>143</v>
      </c>
      <c r="E449" s="10" t="s">
        <v>155</v>
      </c>
      <c r="F449" s="10" t="s">
        <v>61</v>
      </c>
      <c r="G449" s="10" t="s">
        <v>23</v>
      </c>
      <c r="H449" s="10" t="s">
        <v>33</v>
      </c>
      <c r="I449" s="10" t="s">
        <v>45</v>
      </c>
      <c r="J449" s="10">
        <v>4</v>
      </c>
      <c r="K449" s="10">
        <v>692</v>
      </c>
      <c r="L449" s="10">
        <v>2768</v>
      </c>
      <c r="M449" s="10">
        <v>20</v>
      </c>
      <c r="N449" s="10">
        <v>554</v>
      </c>
      <c r="O449" s="10">
        <v>2214</v>
      </c>
      <c r="P449" s="10">
        <v>4.3</v>
      </c>
      <c r="Q449" s="10" t="s">
        <v>26</v>
      </c>
    </row>
    <row r="450" spans="1:17" x14ac:dyDescent="0.25">
      <c r="A450" s="10" t="s">
        <v>713</v>
      </c>
      <c r="B450" s="10" t="s">
        <v>712</v>
      </c>
      <c r="C450" s="10" t="s">
        <v>40</v>
      </c>
      <c r="D450" s="10" t="s">
        <v>68</v>
      </c>
      <c r="E450" s="10" t="s">
        <v>101</v>
      </c>
      <c r="F450" s="10" t="s">
        <v>31</v>
      </c>
      <c r="G450" s="10" t="s">
        <v>23</v>
      </c>
      <c r="H450" s="10" t="s">
        <v>33</v>
      </c>
      <c r="I450" s="10" t="s">
        <v>34</v>
      </c>
      <c r="J450" s="10">
        <v>5</v>
      </c>
      <c r="K450" s="10">
        <v>901</v>
      </c>
      <c r="L450" s="10">
        <v>4505</v>
      </c>
      <c r="M450" s="10">
        <v>10</v>
      </c>
      <c r="N450" s="10">
        <v>450</v>
      </c>
      <c r="O450" s="10">
        <v>4055</v>
      </c>
      <c r="P450" s="10">
        <v>4.7</v>
      </c>
      <c r="Q450" s="10" t="s">
        <v>26</v>
      </c>
    </row>
    <row r="451" spans="1:17" x14ac:dyDescent="0.25">
      <c r="A451" s="10" t="s">
        <v>714</v>
      </c>
      <c r="B451" s="10" t="s">
        <v>715</v>
      </c>
      <c r="C451" s="10" t="s">
        <v>91</v>
      </c>
      <c r="D451" s="10" t="s">
        <v>110</v>
      </c>
      <c r="E451" s="10" t="s">
        <v>78</v>
      </c>
      <c r="F451" s="10" t="s">
        <v>65</v>
      </c>
      <c r="G451" s="10" t="s">
        <v>23</v>
      </c>
      <c r="H451" s="10" t="s">
        <v>33</v>
      </c>
      <c r="I451" s="10" t="s">
        <v>45</v>
      </c>
      <c r="J451" s="10">
        <v>5</v>
      </c>
      <c r="K451" s="10">
        <v>2519</v>
      </c>
      <c r="L451" s="10">
        <v>12595</v>
      </c>
      <c r="M451" s="10">
        <v>10</v>
      </c>
      <c r="N451" s="10">
        <v>1260</v>
      </c>
      <c r="O451" s="10">
        <v>11335</v>
      </c>
      <c r="P451" s="10">
        <v>4.9000000000000004</v>
      </c>
      <c r="Q451" s="10" t="s">
        <v>26</v>
      </c>
    </row>
    <row r="452" spans="1:17" x14ac:dyDescent="0.25">
      <c r="A452" s="10" t="s">
        <v>716</v>
      </c>
      <c r="B452" s="10" t="s">
        <v>717</v>
      </c>
      <c r="C452" s="10" t="s">
        <v>40</v>
      </c>
      <c r="D452" s="10" t="s">
        <v>47</v>
      </c>
      <c r="E452" s="10" t="s">
        <v>71</v>
      </c>
      <c r="F452" s="10" t="s">
        <v>61</v>
      </c>
      <c r="G452" s="10" t="s">
        <v>32</v>
      </c>
      <c r="H452" s="10" t="s">
        <v>24</v>
      </c>
      <c r="I452" s="10" t="s">
        <v>84</v>
      </c>
      <c r="J452" s="10">
        <v>2</v>
      </c>
      <c r="K452" s="10">
        <v>1344</v>
      </c>
      <c r="L452" s="10">
        <v>2688</v>
      </c>
      <c r="M452" s="10">
        <v>10</v>
      </c>
      <c r="N452" s="10">
        <v>269</v>
      </c>
      <c r="O452" s="10">
        <v>2419</v>
      </c>
      <c r="P452" s="10">
        <v>4</v>
      </c>
      <c r="Q452" s="10" t="s">
        <v>26</v>
      </c>
    </row>
    <row r="453" spans="1:17" x14ac:dyDescent="0.25">
      <c r="A453" s="10" t="s">
        <v>718</v>
      </c>
      <c r="B453" s="10" t="s">
        <v>717</v>
      </c>
      <c r="C453" s="10" t="s">
        <v>91</v>
      </c>
      <c r="D453" s="10" t="s">
        <v>125</v>
      </c>
      <c r="E453" s="10" t="s">
        <v>60</v>
      </c>
      <c r="F453" s="10" t="s">
        <v>43</v>
      </c>
      <c r="G453" s="10" t="s">
        <v>23</v>
      </c>
      <c r="H453" s="10" t="s">
        <v>24</v>
      </c>
      <c r="I453" s="10" t="s">
        <v>98</v>
      </c>
      <c r="J453" s="10">
        <v>2</v>
      </c>
      <c r="K453" s="10">
        <v>1357</v>
      </c>
      <c r="L453" s="10">
        <v>2714</v>
      </c>
      <c r="M453" s="10">
        <v>25</v>
      </c>
      <c r="N453" s="10">
        <v>678</v>
      </c>
      <c r="O453" s="10">
        <v>2036</v>
      </c>
      <c r="P453" s="10">
        <v>3.6</v>
      </c>
      <c r="Q453" s="10" t="s">
        <v>26</v>
      </c>
    </row>
    <row r="454" spans="1:17" x14ac:dyDescent="0.25">
      <c r="A454" s="10" t="s">
        <v>719</v>
      </c>
      <c r="B454" s="10" t="s">
        <v>720</v>
      </c>
      <c r="C454" s="10" t="s">
        <v>19</v>
      </c>
      <c r="D454" s="10" t="s">
        <v>20</v>
      </c>
      <c r="E454" s="10" t="s">
        <v>71</v>
      </c>
      <c r="F454" s="10" t="s">
        <v>79</v>
      </c>
      <c r="G454" s="10" t="s">
        <v>23</v>
      </c>
      <c r="H454" s="10" t="s">
        <v>24</v>
      </c>
      <c r="I454" s="10" t="s">
        <v>45</v>
      </c>
      <c r="J454" s="10">
        <v>2</v>
      </c>
      <c r="K454" s="10">
        <v>500</v>
      </c>
      <c r="L454" s="10">
        <v>1000</v>
      </c>
      <c r="M454" s="10">
        <v>30</v>
      </c>
      <c r="N454" s="10">
        <v>300</v>
      </c>
      <c r="O454" s="10">
        <v>700</v>
      </c>
      <c r="P454" s="10">
        <v>4.2</v>
      </c>
      <c r="Q454" s="10" t="s">
        <v>26</v>
      </c>
    </row>
    <row r="455" spans="1:17" x14ac:dyDescent="0.25">
      <c r="A455" s="10" t="s">
        <v>721</v>
      </c>
      <c r="B455" s="10" t="s">
        <v>720</v>
      </c>
      <c r="C455" s="10" t="s">
        <v>63</v>
      </c>
      <c r="D455" s="10" t="s">
        <v>134</v>
      </c>
      <c r="E455" s="10" t="s">
        <v>155</v>
      </c>
      <c r="F455" s="10" t="s">
        <v>43</v>
      </c>
      <c r="G455" s="10" t="s">
        <v>23</v>
      </c>
      <c r="H455" s="10" t="s">
        <v>104</v>
      </c>
      <c r="I455" s="10" t="s">
        <v>45</v>
      </c>
      <c r="J455" s="10">
        <v>5</v>
      </c>
      <c r="K455" s="10">
        <v>1241</v>
      </c>
      <c r="L455" s="10">
        <v>6205</v>
      </c>
      <c r="M455" s="10">
        <v>20</v>
      </c>
      <c r="N455" s="10">
        <v>1241</v>
      </c>
      <c r="O455" s="10">
        <v>4964</v>
      </c>
      <c r="P455" s="10">
        <v>4.9000000000000004</v>
      </c>
      <c r="Q455" s="10" t="s">
        <v>26</v>
      </c>
    </row>
    <row r="456" spans="1:17" x14ac:dyDescent="0.25">
      <c r="A456" s="10" t="s">
        <v>722</v>
      </c>
      <c r="B456" s="10" t="s">
        <v>723</v>
      </c>
      <c r="C456" s="10" t="s">
        <v>28</v>
      </c>
      <c r="D456" s="10" t="s">
        <v>163</v>
      </c>
      <c r="E456" s="10" t="s">
        <v>78</v>
      </c>
      <c r="F456" s="10" t="s">
        <v>72</v>
      </c>
      <c r="G456" s="10" t="s">
        <v>23</v>
      </c>
      <c r="H456" s="10" t="s">
        <v>33</v>
      </c>
      <c r="I456" s="10" t="s">
        <v>45</v>
      </c>
      <c r="J456" s="10">
        <v>1</v>
      </c>
      <c r="K456" s="10">
        <v>415</v>
      </c>
      <c r="L456" s="10">
        <v>415</v>
      </c>
      <c r="M456" s="10">
        <v>0</v>
      </c>
      <c r="N456" s="10">
        <v>0</v>
      </c>
      <c r="O456" s="10">
        <v>415</v>
      </c>
      <c r="P456" s="10">
        <v>4.5999999999999996</v>
      </c>
      <c r="Q456" s="10" t="s">
        <v>26</v>
      </c>
    </row>
    <row r="457" spans="1:17" x14ac:dyDescent="0.25">
      <c r="A457" s="10" t="s">
        <v>724</v>
      </c>
      <c r="B457" s="10" t="s">
        <v>723</v>
      </c>
      <c r="C457" s="10" t="s">
        <v>63</v>
      </c>
      <c r="D457" s="10" t="s">
        <v>134</v>
      </c>
      <c r="E457" s="10" t="s">
        <v>42</v>
      </c>
      <c r="F457" s="10" t="s">
        <v>31</v>
      </c>
      <c r="G457" s="10" t="s">
        <v>32</v>
      </c>
      <c r="H457" s="10" t="s">
        <v>24</v>
      </c>
      <c r="I457" s="10" t="s">
        <v>98</v>
      </c>
      <c r="J457" s="10">
        <v>4</v>
      </c>
      <c r="K457" s="10">
        <v>2431</v>
      </c>
      <c r="L457" s="10">
        <v>9724</v>
      </c>
      <c r="M457" s="10">
        <v>5</v>
      </c>
      <c r="N457" s="10">
        <v>486</v>
      </c>
      <c r="O457" s="10">
        <v>9238</v>
      </c>
      <c r="P457" s="10">
        <v>3.7</v>
      </c>
      <c r="Q457" s="10" t="s">
        <v>26</v>
      </c>
    </row>
    <row r="458" spans="1:17" x14ac:dyDescent="0.25">
      <c r="A458" s="10" t="s">
        <v>725</v>
      </c>
      <c r="B458" s="10" t="s">
        <v>723</v>
      </c>
      <c r="C458" s="10" t="s">
        <v>91</v>
      </c>
      <c r="D458" s="10" t="s">
        <v>110</v>
      </c>
      <c r="E458" s="10" t="s">
        <v>42</v>
      </c>
      <c r="F458" s="10" t="s">
        <v>61</v>
      </c>
      <c r="G458" s="10" t="s">
        <v>23</v>
      </c>
      <c r="H458" s="10" t="s">
        <v>33</v>
      </c>
      <c r="I458" s="10" t="s">
        <v>98</v>
      </c>
      <c r="J458" s="10">
        <v>5</v>
      </c>
      <c r="K458" s="10">
        <v>1181</v>
      </c>
      <c r="L458" s="10">
        <v>5905</v>
      </c>
      <c r="M458" s="10">
        <v>30</v>
      </c>
      <c r="N458" s="10">
        <v>1772</v>
      </c>
      <c r="O458" s="10">
        <v>4133</v>
      </c>
      <c r="P458" s="10">
        <v>4.5999999999999996</v>
      </c>
      <c r="Q458" s="10" t="s">
        <v>75</v>
      </c>
    </row>
    <row r="459" spans="1:17" x14ac:dyDescent="0.25">
      <c r="A459" s="10" t="s">
        <v>726</v>
      </c>
      <c r="B459" s="10" t="s">
        <v>727</v>
      </c>
      <c r="C459" s="10" t="s">
        <v>19</v>
      </c>
      <c r="D459" s="10" t="s">
        <v>230</v>
      </c>
      <c r="E459" s="10" t="s">
        <v>82</v>
      </c>
      <c r="F459" s="10" t="s">
        <v>119</v>
      </c>
      <c r="G459" s="10" t="s">
        <v>23</v>
      </c>
      <c r="H459" s="10" t="s">
        <v>24</v>
      </c>
      <c r="I459" s="10" t="s">
        <v>34</v>
      </c>
      <c r="J459" s="10">
        <v>3</v>
      </c>
      <c r="K459" s="10">
        <v>411</v>
      </c>
      <c r="L459" s="10">
        <v>1233</v>
      </c>
      <c r="M459" s="10">
        <v>15</v>
      </c>
      <c r="N459" s="10">
        <v>185</v>
      </c>
      <c r="O459" s="10">
        <v>1048</v>
      </c>
      <c r="P459" s="10">
        <v>4.8</v>
      </c>
      <c r="Q459" s="10" t="s">
        <v>26</v>
      </c>
    </row>
    <row r="460" spans="1:17" x14ac:dyDescent="0.25">
      <c r="A460" s="10" t="s">
        <v>728</v>
      </c>
      <c r="B460" s="10" t="s">
        <v>729</v>
      </c>
      <c r="C460" s="10" t="s">
        <v>28</v>
      </c>
      <c r="D460" s="10" t="s">
        <v>29</v>
      </c>
      <c r="E460" s="10" t="s">
        <v>48</v>
      </c>
      <c r="F460" s="10" t="s">
        <v>72</v>
      </c>
      <c r="G460" s="10" t="s">
        <v>23</v>
      </c>
      <c r="H460" s="10" t="s">
        <v>24</v>
      </c>
      <c r="I460" s="10" t="s">
        <v>34</v>
      </c>
      <c r="J460" s="10">
        <v>2</v>
      </c>
      <c r="K460" s="10">
        <v>215</v>
      </c>
      <c r="L460" s="10">
        <v>430</v>
      </c>
      <c r="M460" s="10">
        <v>25</v>
      </c>
      <c r="N460" s="10">
        <v>108</v>
      </c>
      <c r="O460" s="10">
        <v>322</v>
      </c>
      <c r="P460" s="10">
        <v>3.8</v>
      </c>
      <c r="Q460" s="10" t="s">
        <v>26</v>
      </c>
    </row>
    <row r="461" spans="1:17" x14ac:dyDescent="0.25">
      <c r="A461" s="10" t="s">
        <v>730</v>
      </c>
      <c r="B461" s="10" t="s">
        <v>729</v>
      </c>
      <c r="C461" s="10" t="s">
        <v>40</v>
      </c>
      <c r="D461" s="10" t="s">
        <v>68</v>
      </c>
      <c r="E461" s="10" t="s">
        <v>53</v>
      </c>
      <c r="F461" s="10" t="s">
        <v>79</v>
      </c>
      <c r="G461" s="10" t="s">
        <v>23</v>
      </c>
      <c r="H461" s="10" t="s">
        <v>33</v>
      </c>
      <c r="I461" s="10" t="s">
        <v>34</v>
      </c>
      <c r="J461" s="10">
        <v>1</v>
      </c>
      <c r="K461" s="10">
        <v>785</v>
      </c>
      <c r="L461" s="10">
        <v>785</v>
      </c>
      <c r="M461" s="10">
        <v>10</v>
      </c>
      <c r="N461" s="10">
        <v>78</v>
      </c>
      <c r="O461" s="10">
        <v>707</v>
      </c>
      <c r="P461" s="10">
        <v>3.5</v>
      </c>
      <c r="Q461" s="10" t="s">
        <v>75</v>
      </c>
    </row>
    <row r="462" spans="1:17" x14ac:dyDescent="0.25">
      <c r="A462" s="10" t="s">
        <v>731</v>
      </c>
      <c r="B462" s="10" t="s">
        <v>732</v>
      </c>
      <c r="C462" s="10" t="s">
        <v>40</v>
      </c>
      <c r="D462" s="10" t="s">
        <v>113</v>
      </c>
      <c r="E462" s="10" t="s">
        <v>30</v>
      </c>
      <c r="F462" s="10" t="s">
        <v>119</v>
      </c>
      <c r="G462" s="10" t="s">
        <v>23</v>
      </c>
      <c r="H462" s="10" t="s">
        <v>33</v>
      </c>
      <c r="I462" s="10" t="s">
        <v>25</v>
      </c>
      <c r="J462" s="10">
        <v>1</v>
      </c>
      <c r="K462" s="10">
        <v>372</v>
      </c>
      <c r="L462" s="10">
        <v>372</v>
      </c>
      <c r="M462" s="10">
        <v>25</v>
      </c>
      <c r="N462" s="10">
        <v>93</v>
      </c>
      <c r="O462" s="10">
        <v>279</v>
      </c>
      <c r="P462" s="10">
        <v>3.8</v>
      </c>
      <c r="Q462" s="10" t="s">
        <v>26</v>
      </c>
    </row>
    <row r="463" spans="1:17" x14ac:dyDescent="0.25">
      <c r="A463" s="10" t="s">
        <v>733</v>
      </c>
      <c r="B463" s="10" t="s">
        <v>732</v>
      </c>
      <c r="C463" s="10" t="s">
        <v>91</v>
      </c>
      <c r="D463" s="10" t="s">
        <v>125</v>
      </c>
      <c r="E463" s="10" t="s">
        <v>37</v>
      </c>
      <c r="F463" s="10" t="s">
        <v>65</v>
      </c>
      <c r="G463" s="10" t="s">
        <v>32</v>
      </c>
      <c r="H463" s="10" t="s">
        <v>33</v>
      </c>
      <c r="I463" s="10" t="s">
        <v>98</v>
      </c>
      <c r="J463" s="10">
        <v>3</v>
      </c>
      <c r="K463" s="10">
        <v>970</v>
      </c>
      <c r="L463" s="10">
        <v>2910</v>
      </c>
      <c r="M463" s="10">
        <v>20</v>
      </c>
      <c r="N463" s="10">
        <v>582</v>
      </c>
      <c r="O463" s="10">
        <v>2328</v>
      </c>
      <c r="P463" s="10">
        <v>4</v>
      </c>
      <c r="Q463" s="10" t="s">
        <v>26</v>
      </c>
    </row>
    <row r="464" spans="1:17" x14ac:dyDescent="0.25">
      <c r="A464" s="10" t="s">
        <v>734</v>
      </c>
      <c r="B464" s="10" t="s">
        <v>732</v>
      </c>
      <c r="C464" s="10" t="s">
        <v>19</v>
      </c>
      <c r="D464" s="10" t="s">
        <v>230</v>
      </c>
      <c r="E464" s="10" t="s">
        <v>101</v>
      </c>
      <c r="F464" s="10" t="s">
        <v>79</v>
      </c>
      <c r="G464" s="10" t="s">
        <v>23</v>
      </c>
      <c r="H464" s="10" t="s">
        <v>24</v>
      </c>
      <c r="I464" s="10" t="s">
        <v>84</v>
      </c>
      <c r="J464" s="10">
        <v>4</v>
      </c>
      <c r="K464" s="10">
        <v>416</v>
      </c>
      <c r="L464" s="10">
        <v>1664</v>
      </c>
      <c r="M464" s="10">
        <v>15</v>
      </c>
      <c r="N464" s="10">
        <v>250</v>
      </c>
      <c r="O464" s="10">
        <v>1414</v>
      </c>
      <c r="P464" s="10">
        <v>4.9000000000000004</v>
      </c>
      <c r="Q464" s="10" t="s">
        <v>26</v>
      </c>
    </row>
    <row r="465" spans="1:17" x14ac:dyDescent="0.25">
      <c r="A465" s="10" t="s">
        <v>735</v>
      </c>
      <c r="B465" s="10" t="s">
        <v>732</v>
      </c>
      <c r="C465" s="10" t="s">
        <v>19</v>
      </c>
      <c r="D465" s="10" t="s">
        <v>230</v>
      </c>
      <c r="E465" s="10" t="s">
        <v>30</v>
      </c>
      <c r="F465" s="10" t="s">
        <v>119</v>
      </c>
      <c r="G465" s="10" t="s">
        <v>32</v>
      </c>
      <c r="H465" s="10" t="s">
        <v>33</v>
      </c>
      <c r="I465" s="10" t="s">
        <v>84</v>
      </c>
      <c r="J465" s="10">
        <v>4</v>
      </c>
      <c r="K465" s="10">
        <v>800</v>
      </c>
      <c r="L465" s="10">
        <v>3200</v>
      </c>
      <c r="M465" s="10">
        <v>25</v>
      </c>
      <c r="N465" s="10">
        <v>800</v>
      </c>
      <c r="O465" s="10">
        <v>2400</v>
      </c>
      <c r="P465" s="10">
        <v>3.7</v>
      </c>
      <c r="Q465" s="10" t="s">
        <v>75</v>
      </c>
    </row>
    <row r="466" spans="1:17" x14ac:dyDescent="0.25">
      <c r="A466" s="10" t="s">
        <v>736</v>
      </c>
      <c r="B466" s="10" t="s">
        <v>732</v>
      </c>
      <c r="C466" s="10" t="s">
        <v>51</v>
      </c>
      <c r="D466" s="10" t="s">
        <v>52</v>
      </c>
      <c r="E466" s="10" t="s">
        <v>37</v>
      </c>
      <c r="F466" s="10" t="s">
        <v>72</v>
      </c>
      <c r="G466" s="10" t="s">
        <v>23</v>
      </c>
      <c r="H466" s="10" t="s">
        <v>24</v>
      </c>
      <c r="I466" s="10" t="s">
        <v>45</v>
      </c>
      <c r="J466" s="10">
        <v>4</v>
      </c>
      <c r="K466" s="10">
        <v>448</v>
      </c>
      <c r="L466" s="10">
        <v>1792</v>
      </c>
      <c r="M466" s="10">
        <v>0</v>
      </c>
      <c r="N466" s="10">
        <v>0</v>
      </c>
      <c r="O466" s="10">
        <v>1792</v>
      </c>
      <c r="P466" s="10">
        <v>3.5</v>
      </c>
      <c r="Q466" s="10" t="s">
        <v>26</v>
      </c>
    </row>
    <row r="467" spans="1:17" x14ac:dyDescent="0.25">
      <c r="A467" s="10" t="s">
        <v>737</v>
      </c>
      <c r="B467" s="10" t="s">
        <v>732</v>
      </c>
      <c r="C467" s="10" t="s">
        <v>91</v>
      </c>
      <c r="D467" s="10" t="s">
        <v>92</v>
      </c>
      <c r="E467" s="10" t="s">
        <v>53</v>
      </c>
      <c r="F467" s="10" t="s">
        <v>72</v>
      </c>
      <c r="G467" s="10" t="s">
        <v>32</v>
      </c>
      <c r="H467" s="10" t="s">
        <v>24</v>
      </c>
      <c r="I467" s="10" t="s">
        <v>98</v>
      </c>
      <c r="J467" s="10">
        <v>2</v>
      </c>
      <c r="K467" s="10">
        <v>1574</v>
      </c>
      <c r="L467" s="10">
        <v>3148</v>
      </c>
      <c r="M467" s="10">
        <v>5</v>
      </c>
      <c r="N467" s="10">
        <v>157</v>
      </c>
      <c r="O467" s="10">
        <v>2991</v>
      </c>
      <c r="P467" s="10">
        <v>3.9</v>
      </c>
      <c r="Q467" s="10" t="s">
        <v>26</v>
      </c>
    </row>
    <row r="468" spans="1:17" x14ac:dyDescent="0.25">
      <c r="A468" s="10" t="s">
        <v>738</v>
      </c>
      <c r="B468" s="10" t="s">
        <v>732</v>
      </c>
      <c r="C468" s="10" t="s">
        <v>51</v>
      </c>
      <c r="D468" s="10" t="s">
        <v>52</v>
      </c>
      <c r="E468" s="10" t="s">
        <v>78</v>
      </c>
      <c r="F468" s="10" t="s">
        <v>31</v>
      </c>
      <c r="G468" s="10" t="s">
        <v>32</v>
      </c>
      <c r="H468" s="10" t="s">
        <v>33</v>
      </c>
      <c r="I468" s="10" t="s">
        <v>45</v>
      </c>
      <c r="J468" s="10">
        <v>3</v>
      </c>
      <c r="K468" s="10">
        <v>178</v>
      </c>
      <c r="L468" s="10">
        <v>534</v>
      </c>
      <c r="M468" s="10">
        <v>0</v>
      </c>
      <c r="N468" s="10">
        <v>0</v>
      </c>
      <c r="O468" s="10">
        <v>534</v>
      </c>
      <c r="P468" s="10">
        <v>4.2</v>
      </c>
      <c r="Q468" s="10" t="s">
        <v>26</v>
      </c>
    </row>
    <row r="469" spans="1:17" x14ac:dyDescent="0.25">
      <c r="A469" s="10" t="s">
        <v>739</v>
      </c>
      <c r="B469" s="10" t="s">
        <v>732</v>
      </c>
      <c r="C469" s="10" t="s">
        <v>19</v>
      </c>
      <c r="D469" s="10" t="s">
        <v>128</v>
      </c>
      <c r="E469" s="10" t="s">
        <v>21</v>
      </c>
      <c r="F469" s="10" t="s">
        <v>31</v>
      </c>
      <c r="G469" s="10" t="s">
        <v>23</v>
      </c>
      <c r="H469" s="10" t="s">
        <v>24</v>
      </c>
      <c r="I469" s="10" t="s">
        <v>25</v>
      </c>
      <c r="J469" s="10">
        <v>5</v>
      </c>
      <c r="K469" s="10">
        <v>723</v>
      </c>
      <c r="L469" s="10">
        <v>3615</v>
      </c>
      <c r="M469" s="10">
        <v>25</v>
      </c>
      <c r="N469" s="10">
        <v>904</v>
      </c>
      <c r="O469" s="10">
        <v>2711</v>
      </c>
      <c r="P469" s="10">
        <v>4.2</v>
      </c>
      <c r="Q469" s="10" t="s">
        <v>26</v>
      </c>
    </row>
    <row r="470" spans="1:17" x14ac:dyDescent="0.25">
      <c r="A470" s="10" t="s">
        <v>740</v>
      </c>
      <c r="B470" s="10" t="s">
        <v>741</v>
      </c>
      <c r="C470" s="10" t="s">
        <v>91</v>
      </c>
      <c r="D470" s="10" t="s">
        <v>125</v>
      </c>
      <c r="E470" s="10" t="s">
        <v>21</v>
      </c>
      <c r="F470" s="10" t="s">
        <v>43</v>
      </c>
      <c r="G470" s="10" t="s">
        <v>23</v>
      </c>
      <c r="H470" s="10" t="s">
        <v>33</v>
      </c>
      <c r="I470" s="10" t="s">
        <v>34</v>
      </c>
      <c r="J470" s="10">
        <v>4</v>
      </c>
      <c r="K470" s="10">
        <v>561</v>
      </c>
      <c r="L470" s="10">
        <v>2244</v>
      </c>
      <c r="M470" s="10">
        <v>15</v>
      </c>
      <c r="N470" s="10">
        <v>337</v>
      </c>
      <c r="O470" s="10">
        <v>1907</v>
      </c>
      <c r="P470" s="10">
        <v>3.6</v>
      </c>
      <c r="Q470" s="10" t="s">
        <v>26</v>
      </c>
    </row>
    <row r="471" spans="1:17" x14ac:dyDescent="0.25">
      <c r="A471" s="10" t="s">
        <v>742</v>
      </c>
      <c r="B471" s="10" t="s">
        <v>743</v>
      </c>
      <c r="C471" s="10" t="s">
        <v>40</v>
      </c>
      <c r="D471" s="10" t="s">
        <v>47</v>
      </c>
      <c r="E471" s="10" t="s">
        <v>30</v>
      </c>
      <c r="F471" s="10" t="s">
        <v>119</v>
      </c>
      <c r="G471" s="10" t="s">
        <v>23</v>
      </c>
      <c r="H471" s="10" t="s">
        <v>33</v>
      </c>
      <c r="I471" s="10" t="s">
        <v>98</v>
      </c>
      <c r="J471" s="10">
        <v>1</v>
      </c>
      <c r="K471" s="10">
        <v>774</v>
      </c>
      <c r="L471" s="10">
        <v>774</v>
      </c>
      <c r="M471" s="10">
        <v>5</v>
      </c>
      <c r="N471" s="10">
        <v>39</v>
      </c>
      <c r="O471" s="10">
        <v>735</v>
      </c>
      <c r="P471" s="10">
        <v>3.2</v>
      </c>
      <c r="Q471" s="10" t="s">
        <v>26</v>
      </c>
    </row>
    <row r="472" spans="1:17" x14ac:dyDescent="0.25">
      <c r="A472" s="10" t="s">
        <v>744</v>
      </c>
      <c r="B472" s="10" t="s">
        <v>743</v>
      </c>
      <c r="C472" s="10" t="s">
        <v>63</v>
      </c>
      <c r="D472" s="10" t="s">
        <v>134</v>
      </c>
      <c r="E472" s="10" t="s">
        <v>53</v>
      </c>
      <c r="F472" s="10" t="s">
        <v>31</v>
      </c>
      <c r="G472" s="10" t="s">
        <v>23</v>
      </c>
      <c r="H472" s="10" t="s">
        <v>24</v>
      </c>
      <c r="I472" s="10" t="s">
        <v>84</v>
      </c>
      <c r="J472" s="10">
        <v>4</v>
      </c>
      <c r="K472" s="10">
        <v>1863</v>
      </c>
      <c r="L472" s="10">
        <v>7452</v>
      </c>
      <c r="M472" s="10">
        <v>25</v>
      </c>
      <c r="N472" s="10">
        <v>1863</v>
      </c>
      <c r="O472" s="10">
        <v>5589</v>
      </c>
      <c r="P472" s="10">
        <v>4.9000000000000004</v>
      </c>
      <c r="Q472" s="10" t="s">
        <v>26</v>
      </c>
    </row>
    <row r="473" spans="1:17" x14ac:dyDescent="0.25">
      <c r="A473" s="10" t="s">
        <v>745</v>
      </c>
      <c r="B473" s="10" t="s">
        <v>743</v>
      </c>
      <c r="C473" s="10" t="s">
        <v>28</v>
      </c>
      <c r="D473" s="10" t="s">
        <v>29</v>
      </c>
      <c r="E473" s="10" t="s">
        <v>53</v>
      </c>
      <c r="F473" s="10" t="s">
        <v>72</v>
      </c>
      <c r="G473" s="10" t="s">
        <v>23</v>
      </c>
      <c r="H473" s="10" t="s">
        <v>104</v>
      </c>
      <c r="I473" s="10" t="s">
        <v>84</v>
      </c>
      <c r="J473" s="10">
        <v>2</v>
      </c>
      <c r="K473" s="10">
        <v>410</v>
      </c>
      <c r="L473" s="10">
        <v>820</v>
      </c>
      <c r="M473" s="10">
        <v>15</v>
      </c>
      <c r="N473" s="10">
        <v>123</v>
      </c>
      <c r="O473" s="10">
        <v>697</v>
      </c>
      <c r="P473" s="10">
        <v>4.4000000000000004</v>
      </c>
      <c r="Q473" s="10" t="s">
        <v>26</v>
      </c>
    </row>
    <row r="474" spans="1:17" x14ac:dyDescent="0.25">
      <c r="A474" s="10" t="s">
        <v>746</v>
      </c>
      <c r="B474" s="10" t="s">
        <v>747</v>
      </c>
      <c r="C474" s="10" t="s">
        <v>51</v>
      </c>
      <c r="D474" s="10" t="s">
        <v>52</v>
      </c>
      <c r="E474" s="10" t="s">
        <v>42</v>
      </c>
      <c r="F474" s="10" t="s">
        <v>65</v>
      </c>
      <c r="G474" s="10" t="s">
        <v>32</v>
      </c>
      <c r="H474" s="10" t="s">
        <v>33</v>
      </c>
      <c r="I474" s="10" t="s">
        <v>34</v>
      </c>
      <c r="J474" s="10">
        <v>5</v>
      </c>
      <c r="K474" s="10">
        <v>610</v>
      </c>
      <c r="L474" s="10">
        <v>3050</v>
      </c>
      <c r="M474" s="10">
        <v>25</v>
      </c>
      <c r="N474" s="10">
        <v>762</v>
      </c>
      <c r="O474" s="10">
        <v>2288</v>
      </c>
      <c r="P474" s="10">
        <v>4.4000000000000004</v>
      </c>
      <c r="Q474" s="10" t="s">
        <v>26</v>
      </c>
    </row>
    <row r="475" spans="1:17" x14ac:dyDescent="0.25">
      <c r="A475" s="10" t="s">
        <v>748</v>
      </c>
      <c r="B475" s="10" t="s">
        <v>749</v>
      </c>
      <c r="C475" s="10" t="s">
        <v>63</v>
      </c>
      <c r="D475" s="10" t="s">
        <v>134</v>
      </c>
      <c r="E475" s="10" t="s">
        <v>42</v>
      </c>
      <c r="F475" s="10" t="s">
        <v>83</v>
      </c>
      <c r="G475" s="10" t="s">
        <v>44</v>
      </c>
      <c r="H475" s="10" t="s">
        <v>33</v>
      </c>
      <c r="I475" s="10" t="s">
        <v>45</v>
      </c>
      <c r="J475" s="10">
        <v>5</v>
      </c>
      <c r="K475" s="10">
        <v>2220</v>
      </c>
      <c r="L475" s="10">
        <v>11100</v>
      </c>
      <c r="M475" s="10">
        <v>30</v>
      </c>
      <c r="N475" s="10">
        <v>3330</v>
      </c>
      <c r="O475" s="10">
        <v>7770</v>
      </c>
      <c r="P475" s="10">
        <v>3.3</v>
      </c>
      <c r="Q475" s="10" t="s">
        <v>26</v>
      </c>
    </row>
    <row r="476" spans="1:17" x14ac:dyDescent="0.25">
      <c r="A476" s="10" t="s">
        <v>750</v>
      </c>
      <c r="B476" s="10" t="s">
        <v>749</v>
      </c>
      <c r="C476" s="10" t="s">
        <v>51</v>
      </c>
      <c r="D476" s="10" t="s">
        <v>52</v>
      </c>
      <c r="E476" s="10" t="s">
        <v>78</v>
      </c>
      <c r="F476" s="10" t="s">
        <v>119</v>
      </c>
      <c r="G476" s="10" t="s">
        <v>44</v>
      </c>
      <c r="H476" s="10" t="s">
        <v>24</v>
      </c>
      <c r="I476" s="10" t="s">
        <v>45</v>
      </c>
      <c r="J476" s="10">
        <v>3</v>
      </c>
      <c r="K476" s="10">
        <v>446</v>
      </c>
      <c r="L476" s="10">
        <v>1338</v>
      </c>
      <c r="M476" s="10">
        <v>10</v>
      </c>
      <c r="N476" s="10">
        <v>134</v>
      </c>
      <c r="O476" s="10">
        <v>1204</v>
      </c>
      <c r="P476" s="10">
        <v>3.6</v>
      </c>
      <c r="Q476" s="10" t="s">
        <v>26</v>
      </c>
    </row>
    <row r="477" spans="1:17" x14ac:dyDescent="0.25">
      <c r="A477" s="10" t="s">
        <v>751</v>
      </c>
      <c r="B477" s="10" t="s">
        <v>749</v>
      </c>
      <c r="C477" s="10" t="s">
        <v>19</v>
      </c>
      <c r="D477" s="10" t="s">
        <v>230</v>
      </c>
      <c r="E477" s="10" t="s">
        <v>21</v>
      </c>
      <c r="F477" s="10" t="s">
        <v>83</v>
      </c>
      <c r="G477" s="10" t="s">
        <v>23</v>
      </c>
      <c r="H477" s="10" t="s">
        <v>33</v>
      </c>
      <c r="I477" s="10" t="s">
        <v>84</v>
      </c>
      <c r="J477" s="10">
        <v>1</v>
      </c>
      <c r="K477" s="10">
        <v>390</v>
      </c>
      <c r="L477" s="10">
        <v>390</v>
      </c>
      <c r="M477" s="10">
        <v>25</v>
      </c>
      <c r="N477" s="10">
        <v>98</v>
      </c>
      <c r="O477" s="10">
        <v>292</v>
      </c>
      <c r="P477" s="10">
        <v>4.3</v>
      </c>
      <c r="Q477" s="10" t="s">
        <v>26</v>
      </c>
    </row>
    <row r="478" spans="1:17" x14ac:dyDescent="0.25">
      <c r="A478" s="10" t="s">
        <v>752</v>
      </c>
      <c r="B478" s="10" t="s">
        <v>753</v>
      </c>
      <c r="C478" s="10" t="s">
        <v>40</v>
      </c>
      <c r="D478" s="10" t="s">
        <v>47</v>
      </c>
      <c r="E478" s="10" t="s">
        <v>78</v>
      </c>
      <c r="F478" s="10" t="s">
        <v>22</v>
      </c>
      <c r="G478" s="10" t="s">
        <v>23</v>
      </c>
      <c r="H478" s="10" t="s">
        <v>33</v>
      </c>
      <c r="I478" s="10" t="s">
        <v>98</v>
      </c>
      <c r="J478" s="10">
        <v>2</v>
      </c>
      <c r="K478" s="10">
        <v>527</v>
      </c>
      <c r="L478" s="10">
        <v>1054</v>
      </c>
      <c r="M478" s="10">
        <v>15</v>
      </c>
      <c r="N478" s="10">
        <v>158</v>
      </c>
      <c r="O478" s="10">
        <v>896</v>
      </c>
      <c r="P478" s="10">
        <v>4.5</v>
      </c>
      <c r="Q478" s="10" t="s">
        <v>26</v>
      </c>
    </row>
    <row r="479" spans="1:17" x14ac:dyDescent="0.25">
      <c r="A479" s="10" t="s">
        <v>754</v>
      </c>
      <c r="B479" s="10" t="s">
        <v>755</v>
      </c>
      <c r="C479" s="10" t="s">
        <v>40</v>
      </c>
      <c r="D479" s="10" t="s">
        <v>113</v>
      </c>
      <c r="E479" s="10" t="s">
        <v>71</v>
      </c>
      <c r="F479" s="10" t="s">
        <v>72</v>
      </c>
      <c r="G479" s="10" t="s">
        <v>44</v>
      </c>
      <c r="H479" s="10" t="s">
        <v>24</v>
      </c>
      <c r="I479" s="10" t="s">
        <v>45</v>
      </c>
      <c r="J479" s="10">
        <v>3</v>
      </c>
      <c r="K479" s="10">
        <v>1023</v>
      </c>
      <c r="L479" s="10">
        <v>3069</v>
      </c>
      <c r="M479" s="10">
        <v>20</v>
      </c>
      <c r="N479" s="10">
        <v>614</v>
      </c>
      <c r="O479" s="10">
        <v>2455</v>
      </c>
      <c r="P479" s="10">
        <v>4.9000000000000004</v>
      </c>
      <c r="Q479" s="10" t="s">
        <v>26</v>
      </c>
    </row>
    <row r="480" spans="1:17" x14ac:dyDescent="0.25">
      <c r="A480" s="10" t="s">
        <v>756</v>
      </c>
      <c r="B480" s="10" t="s">
        <v>755</v>
      </c>
      <c r="C480" s="10" t="s">
        <v>28</v>
      </c>
      <c r="D480" s="10" t="s">
        <v>36</v>
      </c>
      <c r="E480" s="10" t="s">
        <v>60</v>
      </c>
      <c r="F480" s="10" t="s">
        <v>31</v>
      </c>
      <c r="G480" s="10" t="s">
        <v>23</v>
      </c>
      <c r="H480" s="10" t="s">
        <v>33</v>
      </c>
      <c r="I480" s="10" t="s">
        <v>84</v>
      </c>
      <c r="J480" s="10">
        <v>3</v>
      </c>
      <c r="K480" s="10">
        <v>748</v>
      </c>
      <c r="L480" s="10">
        <v>2244</v>
      </c>
      <c r="M480" s="10">
        <v>20</v>
      </c>
      <c r="N480" s="10">
        <v>449</v>
      </c>
      <c r="O480" s="10">
        <v>1795</v>
      </c>
      <c r="P480" s="10">
        <v>4.0999999999999996</v>
      </c>
      <c r="Q480" s="10" t="s">
        <v>26</v>
      </c>
    </row>
    <row r="481" spans="1:17" x14ac:dyDescent="0.25">
      <c r="A481" s="10" t="s">
        <v>757</v>
      </c>
      <c r="B481" s="10" t="s">
        <v>758</v>
      </c>
      <c r="C481" s="10" t="s">
        <v>28</v>
      </c>
      <c r="D481" s="10" t="s">
        <v>95</v>
      </c>
      <c r="E481" s="10" t="s">
        <v>60</v>
      </c>
      <c r="F481" s="10" t="s">
        <v>83</v>
      </c>
      <c r="G481" s="10" t="s">
        <v>32</v>
      </c>
      <c r="H481" s="10" t="s">
        <v>33</v>
      </c>
      <c r="I481" s="10" t="s">
        <v>45</v>
      </c>
      <c r="J481" s="10">
        <v>3</v>
      </c>
      <c r="K481" s="10">
        <v>231</v>
      </c>
      <c r="L481" s="10">
        <v>693</v>
      </c>
      <c r="M481" s="10">
        <v>30</v>
      </c>
      <c r="N481" s="10">
        <v>208</v>
      </c>
      <c r="O481" s="10">
        <v>485</v>
      </c>
      <c r="P481" s="10">
        <v>3.8</v>
      </c>
      <c r="Q481" s="10" t="s">
        <v>26</v>
      </c>
    </row>
    <row r="482" spans="1:17" x14ac:dyDescent="0.25">
      <c r="A482" s="10" t="s">
        <v>759</v>
      </c>
      <c r="B482" s="10" t="s">
        <v>758</v>
      </c>
      <c r="C482" s="10" t="s">
        <v>40</v>
      </c>
      <c r="D482" s="10" t="s">
        <v>41</v>
      </c>
      <c r="E482" s="10" t="s">
        <v>42</v>
      </c>
      <c r="F482" s="10" t="s">
        <v>79</v>
      </c>
      <c r="G482" s="10" t="s">
        <v>23</v>
      </c>
      <c r="H482" s="10" t="s">
        <v>24</v>
      </c>
      <c r="I482" s="10" t="s">
        <v>84</v>
      </c>
      <c r="J482" s="10">
        <v>2</v>
      </c>
      <c r="K482" s="10">
        <v>633</v>
      </c>
      <c r="L482" s="10">
        <v>1266</v>
      </c>
      <c r="M482" s="10">
        <v>25</v>
      </c>
      <c r="N482" s="10">
        <v>316</v>
      </c>
      <c r="O482" s="10">
        <v>950</v>
      </c>
      <c r="P482" s="10">
        <v>4.7</v>
      </c>
      <c r="Q482" s="10" t="s">
        <v>26</v>
      </c>
    </row>
    <row r="483" spans="1:17" x14ac:dyDescent="0.25">
      <c r="A483" s="10" t="s">
        <v>760</v>
      </c>
      <c r="B483" s="10" t="s">
        <v>758</v>
      </c>
      <c r="C483" s="10" t="s">
        <v>91</v>
      </c>
      <c r="D483" s="10" t="s">
        <v>125</v>
      </c>
      <c r="E483" s="10" t="s">
        <v>37</v>
      </c>
      <c r="F483" s="10" t="s">
        <v>79</v>
      </c>
      <c r="G483" s="10" t="s">
        <v>23</v>
      </c>
      <c r="H483" s="10" t="s">
        <v>24</v>
      </c>
      <c r="I483" s="10" t="s">
        <v>45</v>
      </c>
      <c r="J483" s="10">
        <v>1</v>
      </c>
      <c r="K483" s="10">
        <v>1334</v>
      </c>
      <c r="L483" s="10">
        <v>1334</v>
      </c>
      <c r="M483" s="10">
        <v>0</v>
      </c>
      <c r="N483" s="10">
        <v>0</v>
      </c>
      <c r="O483" s="10">
        <v>1334</v>
      </c>
      <c r="P483" s="10">
        <v>4.3</v>
      </c>
      <c r="Q483" s="10" t="s">
        <v>26</v>
      </c>
    </row>
    <row r="484" spans="1:17" x14ac:dyDescent="0.25">
      <c r="A484" s="10" t="s">
        <v>761</v>
      </c>
      <c r="B484" s="10" t="s">
        <v>762</v>
      </c>
      <c r="C484" s="10" t="s">
        <v>63</v>
      </c>
      <c r="D484" s="10" t="s">
        <v>134</v>
      </c>
      <c r="E484" s="10" t="s">
        <v>82</v>
      </c>
      <c r="F484" s="10" t="s">
        <v>72</v>
      </c>
      <c r="G484" s="10" t="s">
        <v>32</v>
      </c>
      <c r="H484" s="10" t="s">
        <v>24</v>
      </c>
      <c r="I484" s="10" t="s">
        <v>25</v>
      </c>
      <c r="J484" s="10">
        <v>3</v>
      </c>
      <c r="K484" s="10">
        <v>947</v>
      </c>
      <c r="L484" s="10">
        <v>2841</v>
      </c>
      <c r="M484" s="10">
        <v>0</v>
      </c>
      <c r="N484" s="10">
        <v>0</v>
      </c>
      <c r="O484" s="10">
        <v>2841</v>
      </c>
      <c r="P484" s="10">
        <v>3.3</v>
      </c>
      <c r="Q484" s="10" t="s">
        <v>26</v>
      </c>
    </row>
    <row r="485" spans="1:17" x14ac:dyDescent="0.25">
      <c r="A485" s="10" t="s">
        <v>763</v>
      </c>
      <c r="B485" s="10" t="s">
        <v>764</v>
      </c>
      <c r="C485" s="10" t="s">
        <v>51</v>
      </c>
      <c r="D485" s="10" t="s">
        <v>70</v>
      </c>
      <c r="E485" s="10" t="s">
        <v>37</v>
      </c>
      <c r="F485" s="10" t="s">
        <v>31</v>
      </c>
      <c r="G485" s="10" t="s">
        <v>23</v>
      </c>
      <c r="H485" s="10" t="s">
        <v>33</v>
      </c>
      <c r="I485" s="10" t="s">
        <v>25</v>
      </c>
      <c r="J485" s="10">
        <v>5</v>
      </c>
      <c r="K485" s="10">
        <v>450</v>
      </c>
      <c r="L485" s="10">
        <v>2250</v>
      </c>
      <c r="M485" s="10">
        <v>30</v>
      </c>
      <c r="N485" s="10">
        <v>675</v>
      </c>
      <c r="O485" s="10">
        <v>1575</v>
      </c>
      <c r="P485" s="10">
        <v>3.8</v>
      </c>
      <c r="Q485" s="10" t="s">
        <v>26</v>
      </c>
    </row>
    <row r="486" spans="1:17" x14ac:dyDescent="0.25">
      <c r="A486" s="10" t="s">
        <v>765</v>
      </c>
      <c r="B486" s="10" t="s">
        <v>766</v>
      </c>
      <c r="C486" s="10" t="s">
        <v>40</v>
      </c>
      <c r="D486" s="10" t="s">
        <v>47</v>
      </c>
      <c r="E486" s="10" t="s">
        <v>21</v>
      </c>
      <c r="F486" s="10" t="s">
        <v>130</v>
      </c>
      <c r="G486" s="10" t="s">
        <v>44</v>
      </c>
      <c r="H486" s="10" t="s">
        <v>33</v>
      </c>
      <c r="I486" s="10" t="s">
        <v>84</v>
      </c>
      <c r="J486" s="10">
        <v>3</v>
      </c>
      <c r="K486" s="10">
        <v>490</v>
      </c>
      <c r="L486" s="10">
        <v>1470</v>
      </c>
      <c r="M486" s="10">
        <v>10</v>
      </c>
      <c r="N486" s="10">
        <v>147</v>
      </c>
      <c r="O486" s="10">
        <v>1323</v>
      </c>
      <c r="P486" s="10">
        <v>3.4</v>
      </c>
      <c r="Q486" s="10" t="s">
        <v>26</v>
      </c>
    </row>
    <row r="487" spans="1:17" x14ac:dyDescent="0.25">
      <c r="A487" s="10" t="s">
        <v>767</v>
      </c>
      <c r="B487" s="10" t="s">
        <v>766</v>
      </c>
      <c r="C487" s="10" t="s">
        <v>51</v>
      </c>
      <c r="D487" s="10" t="s">
        <v>52</v>
      </c>
      <c r="E487" s="10" t="s">
        <v>21</v>
      </c>
      <c r="F487" s="10" t="s">
        <v>130</v>
      </c>
      <c r="G487" s="10" t="s">
        <v>32</v>
      </c>
      <c r="H487" s="10" t="s">
        <v>24</v>
      </c>
      <c r="I487" s="10" t="s">
        <v>98</v>
      </c>
      <c r="J487" s="10">
        <v>4</v>
      </c>
      <c r="K487" s="10">
        <v>788</v>
      </c>
      <c r="L487" s="10">
        <v>3152</v>
      </c>
      <c r="M487" s="10">
        <v>0</v>
      </c>
      <c r="N487" s="10">
        <v>0</v>
      </c>
      <c r="O487" s="10">
        <v>3152</v>
      </c>
      <c r="P487" s="10">
        <v>4.2</v>
      </c>
      <c r="Q487" s="10" t="s">
        <v>26</v>
      </c>
    </row>
    <row r="488" spans="1:17" x14ac:dyDescent="0.25">
      <c r="A488" s="10" t="s">
        <v>768</v>
      </c>
      <c r="B488" s="10" t="s">
        <v>766</v>
      </c>
      <c r="C488" s="10" t="s">
        <v>40</v>
      </c>
      <c r="D488" s="10" t="s">
        <v>57</v>
      </c>
      <c r="E488" s="10" t="s">
        <v>78</v>
      </c>
      <c r="F488" s="10" t="s">
        <v>65</v>
      </c>
      <c r="G488" s="10" t="s">
        <v>32</v>
      </c>
      <c r="H488" s="10" t="s">
        <v>33</v>
      </c>
      <c r="I488" s="10" t="s">
        <v>45</v>
      </c>
      <c r="J488" s="10">
        <v>4</v>
      </c>
      <c r="K488" s="10">
        <v>577</v>
      </c>
      <c r="L488" s="10">
        <v>2308</v>
      </c>
      <c r="M488" s="10">
        <v>5</v>
      </c>
      <c r="N488" s="10">
        <v>115</v>
      </c>
      <c r="O488" s="10">
        <v>2193</v>
      </c>
      <c r="P488" s="10">
        <v>3.5</v>
      </c>
      <c r="Q488" s="10" t="s">
        <v>26</v>
      </c>
    </row>
    <row r="489" spans="1:17" x14ac:dyDescent="0.25">
      <c r="A489" s="10" t="s">
        <v>769</v>
      </c>
      <c r="B489" s="10" t="s">
        <v>770</v>
      </c>
      <c r="C489" s="10" t="s">
        <v>63</v>
      </c>
      <c r="D489" s="10" t="s">
        <v>64</v>
      </c>
      <c r="E489" s="10" t="s">
        <v>21</v>
      </c>
      <c r="F489" s="10" t="s">
        <v>61</v>
      </c>
      <c r="G489" s="10" t="s">
        <v>23</v>
      </c>
      <c r="H489" s="10" t="s">
        <v>33</v>
      </c>
      <c r="I489" s="10" t="s">
        <v>84</v>
      </c>
      <c r="J489" s="10">
        <v>1</v>
      </c>
      <c r="K489" s="10">
        <v>1133</v>
      </c>
      <c r="L489" s="10">
        <v>1133</v>
      </c>
      <c r="M489" s="10">
        <v>5</v>
      </c>
      <c r="N489" s="10">
        <v>57</v>
      </c>
      <c r="O489" s="10">
        <v>1076</v>
      </c>
      <c r="P489" s="10">
        <v>4.8</v>
      </c>
      <c r="Q489" s="10" t="s">
        <v>26</v>
      </c>
    </row>
    <row r="490" spans="1:17" x14ac:dyDescent="0.25">
      <c r="A490" s="10" t="s">
        <v>771</v>
      </c>
      <c r="B490" s="10" t="s">
        <v>770</v>
      </c>
      <c r="C490" s="10" t="s">
        <v>63</v>
      </c>
      <c r="D490" s="10" t="s">
        <v>64</v>
      </c>
      <c r="E490" s="10" t="s">
        <v>60</v>
      </c>
      <c r="F490" s="10" t="s">
        <v>130</v>
      </c>
      <c r="G490" s="10" t="s">
        <v>23</v>
      </c>
      <c r="H490" s="10" t="s">
        <v>33</v>
      </c>
      <c r="I490" s="10" t="s">
        <v>45</v>
      </c>
      <c r="J490" s="10">
        <v>4</v>
      </c>
      <c r="K490" s="10">
        <v>1840</v>
      </c>
      <c r="L490" s="10">
        <v>7360</v>
      </c>
      <c r="M490" s="10">
        <v>15</v>
      </c>
      <c r="N490" s="10">
        <v>1104</v>
      </c>
      <c r="O490" s="10">
        <v>6256</v>
      </c>
      <c r="P490" s="10">
        <v>4.5</v>
      </c>
      <c r="Q490" s="10" t="s">
        <v>26</v>
      </c>
    </row>
    <row r="491" spans="1:17" x14ac:dyDescent="0.25">
      <c r="A491" s="10" t="s">
        <v>772</v>
      </c>
      <c r="B491" s="10" t="s">
        <v>770</v>
      </c>
      <c r="C491" s="10" t="s">
        <v>63</v>
      </c>
      <c r="D491" s="10" t="s">
        <v>64</v>
      </c>
      <c r="E491" s="10" t="s">
        <v>60</v>
      </c>
      <c r="F491" s="10" t="s">
        <v>119</v>
      </c>
      <c r="G491" s="10" t="s">
        <v>44</v>
      </c>
      <c r="H491" s="10" t="s">
        <v>104</v>
      </c>
      <c r="I491" s="10" t="s">
        <v>25</v>
      </c>
      <c r="J491" s="10">
        <v>4</v>
      </c>
      <c r="K491" s="10">
        <v>1703</v>
      </c>
      <c r="L491" s="10">
        <v>6812</v>
      </c>
      <c r="M491" s="10">
        <v>20</v>
      </c>
      <c r="N491" s="10">
        <v>1362</v>
      </c>
      <c r="O491" s="10">
        <v>5450</v>
      </c>
      <c r="P491" s="10">
        <v>5</v>
      </c>
      <c r="Q491" s="10" t="s">
        <v>26</v>
      </c>
    </row>
    <row r="492" spans="1:17" x14ac:dyDescent="0.25">
      <c r="A492" s="10" t="s">
        <v>773</v>
      </c>
      <c r="B492" s="10" t="s">
        <v>770</v>
      </c>
      <c r="C492" s="10" t="s">
        <v>28</v>
      </c>
      <c r="D492" s="10" t="s">
        <v>77</v>
      </c>
      <c r="E492" s="10" t="s">
        <v>155</v>
      </c>
      <c r="F492" s="10" t="s">
        <v>31</v>
      </c>
      <c r="G492" s="10" t="s">
        <v>44</v>
      </c>
      <c r="H492" s="10" t="s">
        <v>33</v>
      </c>
      <c r="I492" s="10" t="s">
        <v>98</v>
      </c>
      <c r="J492" s="10">
        <v>1</v>
      </c>
      <c r="K492" s="10">
        <v>963</v>
      </c>
      <c r="L492" s="10">
        <v>963</v>
      </c>
      <c r="M492" s="10">
        <v>15</v>
      </c>
      <c r="N492" s="10">
        <v>144</v>
      </c>
      <c r="O492" s="10">
        <v>819</v>
      </c>
      <c r="P492" s="10">
        <v>4.0999999999999996</v>
      </c>
      <c r="Q492" s="10" t="s">
        <v>26</v>
      </c>
    </row>
    <row r="493" spans="1:17" x14ac:dyDescent="0.25">
      <c r="A493" s="10" t="s">
        <v>774</v>
      </c>
      <c r="B493" s="10" t="s">
        <v>775</v>
      </c>
      <c r="C493" s="10" t="s">
        <v>63</v>
      </c>
      <c r="D493" s="10" t="s">
        <v>134</v>
      </c>
      <c r="E493" s="10" t="s">
        <v>48</v>
      </c>
      <c r="F493" s="10" t="s">
        <v>72</v>
      </c>
      <c r="G493" s="10" t="s">
        <v>23</v>
      </c>
      <c r="H493" s="10" t="s">
        <v>24</v>
      </c>
      <c r="I493" s="10" t="s">
        <v>25</v>
      </c>
      <c r="J493" s="10">
        <v>4</v>
      </c>
      <c r="K493" s="10">
        <v>1130</v>
      </c>
      <c r="L493" s="10">
        <v>4520</v>
      </c>
      <c r="M493" s="10">
        <v>25</v>
      </c>
      <c r="N493" s="10">
        <v>1130</v>
      </c>
      <c r="O493" s="10">
        <v>3390</v>
      </c>
      <c r="P493" s="10">
        <v>3.9</v>
      </c>
      <c r="Q493" s="10" t="s">
        <v>26</v>
      </c>
    </row>
    <row r="494" spans="1:17" x14ac:dyDescent="0.25">
      <c r="A494" s="10" t="s">
        <v>776</v>
      </c>
      <c r="B494" s="10" t="s">
        <v>775</v>
      </c>
      <c r="C494" s="10" t="s">
        <v>91</v>
      </c>
      <c r="D494" s="10" t="s">
        <v>110</v>
      </c>
      <c r="E494" s="10" t="s">
        <v>42</v>
      </c>
      <c r="F494" s="10" t="s">
        <v>119</v>
      </c>
      <c r="G494" s="10" t="s">
        <v>23</v>
      </c>
      <c r="H494" s="10" t="s">
        <v>33</v>
      </c>
      <c r="I494" s="10" t="s">
        <v>84</v>
      </c>
      <c r="J494" s="10">
        <v>2</v>
      </c>
      <c r="K494" s="10">
        <v>558</v>
      </c>
      <c r="L494" s="10">
        <v>1116</v>
      </c>
      <c r="M494" s="10">
        <v>5</v>
      </c>
      <c r="N494" s="10">
        <v>56</v>
      </c>
      <c r="O494" s="10">
        <v>1060</v>
      </c>
      <c r="P494" s="10">
        <v>3.9</v>
      </c>
      <c r="Q494" s="10" t="s">
        <v>26</v>
      </c>
    </row>
    <row r="495" spans="1:17" x14ac:dyDescent="0.25">
      <c r="A495" s="10" t="s">
        <v>777</v>
      </c>
      <c r="B495" s="10" t="s">
        <v>778</v>
      </c>
      <c r="C495" s="10" t="s">
        <v>19</v>
      </c>
      <c r="D495" s="10" t="s">
        <v>230</v>
      </c>
      <c r="E495" s="10" t="s">
        <v>21</v>
      </c>
      <c r="F495" s="10" t="s">
        <v>72</v>
      </c>
      <c r="G495" s="10" t="s">
        <v>23</v>
      </c>
      <c r="H495" s="10" t="s">
        <v>33</v>
      </c>
      <c r="I495" s="10" t="s">
        <v>45</v>
      </c>
      <c r="J495" s="10">
        <v>2</v>
      </c>
      <c r="K495" s="10">
        <v>549</v>
      </c>
      <c r="L495" s="10">
        <v>1098</v>
      </c>
      <c r="M495" s="10">
        <v>10</v>
      </c>
      <c r="N495" s="10">
        <v>110</v>
      </c>
      <c r="O495" s="10">
        <v>988</v>
      </c>
      <c r="P495" s="10">
        <v>4.7</v>
      </c>
      <c r="Q495" s="10" t="s">
        <v>26</v>
      </c>
    </row>
    <row r="496" spans="1:17" x14ac:dyDescent="0.25">
      <c r="A496" s="10" t="s">
        <v>779</v>
      </c>
      <c r="B496" s="10" t="s">
        <v>778</v>
      </c>
      <c r="C496" s="10" t="s">
        <v>63</v>
      </c>
      <c r="D496" s="10" t="s">
        <v>134</v>
      </c>
      <c r="E496" s="10" t="s">
        <v>78</v>
      </c>
      <c r="F496" s="10" t="s">
        <v>83</v>
      </c>
      <c r="G496" s="10" t="s">
        <v>23</v>
      </c>
      <c r="H496" s="10" t="s">
        <v>104</v>
      </c>
      <c r="I496" s="10" t="s">
        <v>25</v>
      </c>
      <c r="J496" s="10">
        <v>4</v>
      </c>
      <c r="K496" s="10">
        <v>1697</v>
      </c>
      <c r="L496" s="10">
        <v>6788</v>
      </c>
      <c r="M496" s="10">
        <v>20</v>
      </c>
      <c r="N496" s="10">
        <v>1358</v>
      </c>
      <c r="O496" s="10">
        <v>5430</v>
      </c>
      <c r="P496" s="10">
        <v>3.7</v>
      </c>
      <c r="Q496" s="10" t="s">
        <v>26</v>
      </c>
    </row>
    <row r="497" spans="1:17" x14ac:dyDescent="0.25">
      <c r="A497" s="10" t="s">
        <v>780</v>
      </c>
      <c r="B497" s="10" t="s">
        <v>778</v>
      </c>
      <c r="C497" s="10" t="s">
        <v>28</v>
      </c>
      <c r="D497" s="10" t="s">
        <v>29</v>
      </c>
      <c r="E497" s="10" t="s">
        <v>37</v>
      </c>
      <c r="F497" s="10" t="s">
        <v>83</v>
      </c>
      <c r="G497" s="10" t="s">
        <v>23</v>
      </c>
      <c r="H497" s="10" t="s">
        <v>24</v>
      </c>
      <c r="I497" s="10" t="s">
        <v>25</v>
      </c>
      <c r="J497" s="10">
        <v>4</v>
      </c>
      <c r="K497" s="10">
        <v>939</v>
      </c>
      <c r="L497" s="10">
        <v>3756</v>
      </c>
      <c r="M497" s="10">
        <v>5</v>
      </c>
      <c r="N497" s="10">
        <v>188</v>
      </c>
      <c r="O497" s="10">
        <v>3568</v>
      </c>
      <c r="P497" s="10">
        <v>4.3</v>
      </c>
      <c r="Q497" s="10" t="s">
        <v>26</v>
      </c>
    </row>
    <row r="498" spans="1:17" x14ac:dyDescent="0.25">
      <c r="A498" s="10" t="s">
        <v>781</v>
      </c>
      <c r="B498" s="10" t="s">
        <v>778</v>
      </c>
      <c r="C498" s="10" t="s">
        <v>19</v>
      </c>
      <c r="D498" s="10" t="s">
        <v>121</v>
      </c>
      <c r="E498" s="10" t="s">
        <v>37</v>
      </c>
      <c r="F498" s="10" t="s">
        <v>130</v>
      </c>
      <c r="G498" s="10" t="s">
        <v>23</v>
      </c>
      <c r="H498" s="10" t="s">
        <v>33</v>
      </c>
      <c r="I498" s="10" t="s">
        <v>45</v>
      </c>
      <c r="J498" s="10">
        <v>4</v>
      </c>
      <c r="K498" s="10">
        <v>174</v>
      </c>
      <c r="L498" s="10">
        <v>696</v>
      </c>
      <c r="M498" s="10">
        <v>25</v>
      </c>
      <c r="N498" s="10">
        <v>174</v>
      </c>
      <c r="O498" s="10">
        <v>522</v>
      </c>
      <c r="P498" s="10">
        <v>4</v>
      </c>
      <c r="Q498" s="10" t="s">
        <v>26</v>
      </c>
    </row>
    <row r="499" spans="1:17" x14ac:dyDescent="0.25">
      <c r="A499" s="10" t="s">
        <v>782</v>
      </c>
      <c r="B499" s="10" t="s">
        <v>783</v>
      </c>
      <c r="C499" s="10" t="s">
        <v>19</v>
      </c>
      <c r="D499" s="10" t="s">
        <v>230</v>
      </c>
      <c r="E499" s="10" t="s">
        <v>71</v>
      </c>
      <c r="F499" s="10" t="s">
        <v>83</v>
      </c>
      <c r="G499" s="10" t="s">
        <v>23</v>
      </c>
      <c r="H499" s="10" t="s">
        <v>24</v>
      </c>
      <c r="I499" s="10" t="s">
        <v>34</v>
      </c>
      <c r="J499" s="10">
        <v>3</v>
      </c>
      <c r="K499" s="10">
        <v>962</v>
      </c>
      <c r="L499" s="10">
        <v>2886</v>
      </c>
      <c r="M499" s="10">
        <v>30</v>
      </c>
      <c r="N499" s="10">
        <v>866</v>
      </c>
      <c r="O499" s="10">
        <v>2020</v>
      </c>
      <c r="P499" s="10">
        <v>4.3</v>
      </c>
      <c r="Q499" s="10" t="s">
        <v>26</v>
      </c>
    </row>
    <row r="500" spans="1:17" x14ac:dyDescent="0.25">
      <c r="A500" s="10" t="s">
        <v>784</v>
      </c>
      <c r="B500" s="10" t="s">
        <v>783</v>
      </c>
      <c r="C500" s="10" t="s">
        <v>28</v>
      </c>
      <c r="D500" s="10" t="s">
        <v>77</v>
      </c>
      <c r="E500" s="10" t="s">
        <v>60</v>
      </c>
      <c r="F500" s="10" t="s">
        <v>65</v>
      </c>
      <c r="G500" s="10" t="s">
        <v>32</v>
      </c>
      <c r="H500" s="10" t="s">
        <v>24</v>
      </c>
      <c r="I500" s="10" t="s">
        <v>34</v>
      </c>
      <c r="J500" s="10">
        <v>5</v>
      </c>
      <c r="K500" s="10">
        <v>243</v>
      </c>
      <c r="L500" s="10">
        <v>1215</v>
      </c>
      <c r="M500" s="10">
        <v>30</v>
      </c>
      <c r="N500" s="10">
        <v>364</v>
      </c>
      <c r="O500" s="10">
        <v>851</v>
      </c>
      <c r="P500" s="10">
        <v>4.7</v>
      </c>
      <c r="Q500" s="10" t="s">
        <v>26</v>
      </c>
    </row>
    <row r="501" spans="1:17" x14ac:dyDescent="0.25">
      <c r="A501" s="10" t="s">
        <v>785</v>
      </c>
      <c r="B501" s="10" t="s">
        <v>786</v>
      </c>
      <c r="C501" s="10" t="s">
        <v>40</v>
      </c>
      <c r="D501" s="10" t="s">
        <v>68</v>
      </c>
      <c r="E501" s="10" t="s">
        <v>42</v>
      </c>
      <c r="F501" s="10" t="s">
        <v>72</v>
      </c>
      <c r="G501" s="10" t="s">
        <v>23</v>
      </c>
      <c r="H501" s="10" t="s">
        <v>24</v>
      </c>
      <c r="I501" s="10" t="s">
        <v>25</v>
      </c>
      <c r="J501" s="10">
        <v>1</v>
      </c>
      <c r="K501" s="10">
        <v>647</v>
      </c>
      <c r="L501" s="10">
        <v>647</v>
      </c>
      <c r="M501" s="10">
        <v>15</v>
      </c>
      <c r="N501" s="10">
        <v>97</v>
      </c>
      <c r="O501" s="10">
        <v>550</v>
      </c>
      <c r="P501" s="10">
        <v>4.8</v>
      </c>
      <c r="Q501" s="10" t="s">
        <v>26</v>
      </c>
    </row>
    <row r="502" spans="1:17" x14ac:dyDescent="0.25">
      <c r="A502" s="10" t="s">
        <v>787</v>
      </c>
      <c r="B502" s="10" t="s">
        <v>788</v>
      </c>
      <c r="C502" s="10" t="s">
        <v>51</v>
      </c>
      <c r="D502" s="10" t="s">
        <v>52</v>
      </c>
      <c r="E502" s="10" t="s">
        <v>101</v>
      </c>
      <c r="F502" s="10" t="s">
        <v>130</v>
      </c>
      <c r="G502" s="10" t="s">
        <v>23</v>
      </c>
      <c r="H502" s="10" t="s">
        <v>33</v>
      </c>
      <c r="I502" s="10" t="s">
        <v>34</v>
      </c>
      <c r="J502" s="10">
        <v>1</v>
      </c>
      <c r="K502" s="10">
        <v>524</v>
      </c>
      <c r="L502" s="10">
        <v>524</v>
      </c>
      <c r="M502" s="10">
        <v>10</v>
      </c>
      <c r="N502" s="10">
        <v>52</v>
      </c>
      <c r="O502" s="10">
        <v>472</v>
      </c>
      <c r="P502" s="10">
        <v>4.3</v>
      </c>
      <c r="Q502" s="10" t="s">
        <v>26</v>
      </c>
    </row>
    <row r="503" spans="1:17" x14ac:dyDescent="0.25">
      <c r="A503" s="10" t="s">
        <v>789</v>
      </c>
      <c r="B503" s="10" t="s">
        <v>790</v>
      </c>
      <c r="C503" s="10" t="s">
        <v>28</v>
      </c>
      <c r="D503" s="10" t="s">
        <v>163</v>
      </c>
      <c r="E503" s="10" t="s">
        <v>82</v>
      </c>
      <c r="F503" s="10" t="s">
        <v>72</v>
      </c>
      <c r="G503" s="10" t="s">
        <v>32</v>
      </c>
      <c r="H503" s="10" t="s">
        <v>24</v>
      </c>
      <c r="I503" s="10" t="s">
        <v>34</v>
      </c>
      <c r="J503" s="10">
        <v>3</v>
      </c>
      <c r="K503" s="10">
        <v>384</v>
      </c>
      <c r="L503" s="10">
        <v>1152</v>
      </c>
      <c r="M503" s="10">
        <v>20</v>
      </c>
      <c r="N503" s="10">
        <v>230</v>
      </c>
      <c r="O503" s="10">
        <v>922</v>
      </c>
      <c r="P503" s="10">
        <v>4.9000000000000004</v>
      </c>
      <c r="Q503" s="10" t="s">
        <v>26</v>
      </c>
    </row>
    <row r="504" spans="1:17" x14ac:dyDescent="0.25">
      <c r="A504" s="10" t="s">
        <v>791</v>
      </c>
      <c r="B504" s="10" t="s">
        <v>790</v>
      </c>
      <c r="C504" s="10" t="s">
        <v>51</v>
      </c>
      <c r="D504" s="10" t="s">
        <v>97</v>
      </c>
      <c r="E504" s="10" t="s">
        <v>53</v>
      </c>
      <c r="F504" s="10" t="s">
        <v>119</v>
      </c>
      <c r="G504" s="10" t="s">
        <v>32</v>
      </c>
      <c r="H504" s="10" t="s">
        <v>24</v>
      </c>
      <c r="I504" s="10" t="s">
        <v>84</v>
      </c>
      <c r="J504" s="10">
        <v>1</v>
      </c>
      <c r="K504" s="10">
        <v>371</v>
      </c>
      <c r="L504" s="10">
        <v>371</v>
      </c>
      <c r="M504" s="10">
        <v>30</v>
      </c>
      <c r="N504" s="10">
        <v>111</v>
      </c>
      <c r="O504" s="10">
        <v>260</v>
      </c>
      <c r="P504" s="10">
        <v>4.3</v>
      </c>
      <c r="Q504" s="10" t="s">
        <v>26</v>
      </c>
    </row>
    <row r="505" spans="1:17" x14ac:dyDescent="0.25">
      <c r="A505" s="10" t="s">
        <v>792</v>
      </c>
      <c r="B505" s="10" t="s">
        <v>793</v>
      </c>
      <c r="C505" s="10" t="s">
        <v>28</v>
      </c>
      <c r="D505" s="10" t="s">
        <v>77</v>
      </c>
      <c r="E505" s="10" t="s">
        <v>30</v>
      </c>
      <c r="F505" s="10" t="s">
        <v>61</v>
      </c>
      <c r="G505" s="10" t="s">
        <v>32</v>
      </c>
      <c r="H505" s="10" t="s">
        <v>33</v>
      </c>
      <c r="I505" s="10" t="s">
        <v>34</v>
      </c>
      <c r="J505" s="10">
        <v>3</v>
      </c>
      <c r="K505" s="10">
        <v>513</v>
      </c>
      <c r="L505" s="10">
        <v>1539</v>
      </c>
      <c r="M505" s="10">
        <v>0</v>
      </c>
      <c r="N505" s="10">
        <v>0</v>
      </c>
      <c r="O505" s="10">
        <v>1539</v>
      </c>
      <c r="P505" s="10">
        <v>4.8</v>
      </c>
      <c r="Q505" s="10" t="s">
        <v>26</v>
      </c>
    </row>
    <row r="506" spans="1:17" x14ac:dyDescent="0.25">
      <c r="A506" s="10" t="s">
        <v>794</v>
      </c>
      <c r="B506" s="10" t="s">
        <v>793</v>
      </c>
      <c r="C506" s="10" t="s">
        <v>28</v>
      </c>
      <c r="D506" s="10" t="s">
        <v>36</v>
      </c>
      <c r="E506" s="10" t="s">
        <v>78</v>
      </c>
      <c r="F506" s="10" t="s">
        <v>79</v>
      </c>
      <c r="G506" s="10" t="s">
        <v>32</v>
      </c>
      <c r="H506" s="10" t="s">
        <v>33</v>
      </c>
      <c r="I506" s="10" t="s">
        <v>34</v>
      </c>
      <c r="J506" s="10">
        <v>1</v>
      </c>
      <c r="K506" s="10">
        <v>637</v>
      </c>
      <c r="L506" s="10">
        <v>637</v>
      </c>
      <c r="M506" s="10">
        <v>15</v>
      </c>
      <c r="N506" s="10">
        <v>96</v>
      </c>
      <c r="O506" s="10">
        <v>541</v>
      </c>
      <c r="P506" s="10">
        <v>4.5999999999999996</v>
      </c>
      <c r="Q506" s="10" t="s">
        <v>26</v>
      </c>
    </row>
    <row r="507" spans="1:17" x14ac:dyDescent="0.25">
      <c r="A507" s="10" t="s">
        <v>795</v>
      </c>
      <c r="B507" s="10" t="s">
        <v>793</v>
      </c>
      <c r="C507" s="10" t="s">
        <v>51</v>
      </c>
      <c r="D507" s="10" t="s">
        <v>52</v>
      </c>
      <c r="E507" s="10" t="s">
        <v>82</v>
      </c>
      <c r="F507" s="10" t="s">
        <v>79</v>
      </c>
      <c r="G507" s="10" t="s">
        <v>32</v>
      </c>
      <c r="H507" s="10" t="s">
        <v>104</v>
      </c>
      <c r="I507" s="10" t="s">
        <v>98</v>
      </c>
      <c r="J507" s="10">
        <v>5</v>
      </c>
      <c r="K507" s="10">
        <v>638</v>
      </c>
      <c r="L507" s="10">
        <v>3190</v>
      </c>
      <c r="M507" s="10">
        <v>0</v>
      </c>
      <c r="N507" s="10">
        <v>0</v>
      </c>
      <c r="O507" s="10">
        <v>3190</v>
      </c>
      <c r="P507" s="10">
        <v>4.0999999999999996</v>
      </c>
      <c r="Q507" s="10" t="s">
        <v>26</v>
      </c>
    </row>
    <row r="508" spans="1:17" x14ac:dyDescent="0.25">
      <c r="A508" s="10" t="s">
        <v>796</v>
      </c>
      <c r="B508" s="10" t="s">
        <v>793</v>
      </c>
      <c r="C508" s="10" t="s">
        <v>28</v>
      </c>
      <c r="D508" s="10" t="s">
        <v>95</v>
      </c>
      <c r="E508" s="10" t="s">
        <v>53</v>
      </c>
      <c r="F508" s="10" t="s">
        <v>130</v>
      </c>
      <c r="G508" s="10" t="s">
        <v>44</v>
      </c>
      <c r="H508" s="10" t="s">
        <v>33</v>
      </c>
      <c r="I508" s="10" t="s">
        <v>45</v>
      </c>
      <c r="J508" s="10">
        <v>5</v>
      </c>
      <c r="K508" s="10">
        <v>1184</v>
      </c>
      <c r="L508" s="10">
        <v>5920</v>
      </c>
      <c r="M508" s="10">
        <v>25</v>
      </c>
      <c r="N508" s="10">
        <v>1480</v>
      </c>
      <c r="O508" s="10">
        <v>4440</v>
      </c>
      <c r="P508" s="10">
        <v>4.0999999999999996</v>
      </c>
      <c r="Q508" s="10" t="s">
        <v>26</v>
      </c>
    </row>
    <row r="509" spans="1:17" x14ac:dyDescent="0.25">
      <c r="A509" s="10" t="s">
        <v>797</v>
      </c>
      <c r="B509" s="10" t="s">
        <v>793</v>
      </c>
      <c r="C509" s="10" t="s">
        <v>51</v>
      </c>
      <c r="D509" s="10" t="s">
        <v>52</v>
      </c>
      <c r="E509" s="10" t="s">
        <v>155</v>
      </c>
      <c r="F509" s="10" t="s">
        <v>61</v>
      </c>
      <c r="G509" s="10" t="s">
        <v>23</v>
      </c>
      <c r="H509" s="10" t="s">
        <v>24</v>
      </c>
      <c r="I509" s="10" t="s">
        <v>34</v>
      </c>
      <c r="J509" s="10">
        <v>2</v>
      </c>
      <c r="K509" s="10">
        <v>412</v>
      </c>
      <c r="L509" s="10">
        <v>824</v>
      </c>
      <c r="M509" s="10">
        <v>5</v>
      </c>
      <c r="N509" s="10">
        <v>41</v>
      </c>
      <c r="O509" s="10">
        <v>783</v>
      </c>
      <c r="P509" s="10">
        <v>3.8</v>
      </c>
      <c r="Q509" s="10" t="s">
        <v>26</v>
      </c>
    </row>
    <row r="510" spans="1:17" x14ac:dyDescent="0.25">
      <c r="A510" s="10" t="s">
        <v>798</v>
      </c>
      <c r="B510" s="10" t="s">
        <v>799</v>
      </c>
      <c r="C510" s="10" t="s">
        <v>40</v>
      </c>
      <c r="D510" s="10" t="s">
        <v>41</v>
      </c>
      <c r="E510" s="10" t="s">
        <v>42</v>
      </c>
      <c r="F510" s="10" t="s">
        <v>61</v>
      </c>
      <c r="G510" s="10" t="s">
        <v>32</v>
      </c>
      <c r="H510" s="10" t="s">
        <v>24</v>
      </c>
      <c r="I510" s="10" t="s">
        <v>25</v>
      </c>
      <c r="J510" s="10">
        <v>3</v>
      </c>
      <c r="K510" s="10">
        <v>1201</v>
      </c>
      <c r="L510" s="10">
        <v>3603</v>
      </c>
      <c r="M510" s="10">
        <v>0</v>
      </c>
      <c r="N510" s="10">
        <v>0</v>
      </c>
      <c r="O510" s="10">
        <v>3603</v>
      </c>
      <c r="P510" s="10">
        <v>4.4000000000000004</v>
      </c>
      <c r="Q510" s="10" t="s">
        <v>26</v>
      </c>
    </row>
    <row r="511" spans="1:17" x14ac:dyDescent="0.25">
      <c r="A511" s="10" t="s">
        <v>800</v>
      </c>
      <c r="B511" s="10" t="s">
        <v>801</v>
      </c>
      <c r="C511" s="10" t="s">
        <v>63</v>
      </c>
      <c r="D511" s="10" t="s">
        <v>64</v>
      </c>
      <c r="E511" s="10" t="s">
        <v>53</v>
      </c>
      <c r="F511" s="10" t="s">
        <v>83</v>
      </c>
      <c r="G511" s="10" t="s">
        <v>23</v>
      </c>
      <c r="H511" s="10" t="s">
        <v>24</v>
      </c>
      <c r="I511" s="10" t="s">
        <v>34</v>
      </c>
      <c r="J511" s="10">
        <v>1</v>
      </c>
      <c r="K511" s="10">
        <v>1393</v>
      </c>
      <c r="L511" s="10">
        <v>1393</v>
      </c>
      <c r="M511" s="10">
        <v>0</v>
      </c>
      <c r="N511" s="10">
        <v>0</v>
      </c>
      <c r="O511" s="10">
        <v>1393</v>
      </c>
      <c r="P511" s="10">
        <v>3.8</v>
      </c>
      <c r="Q511" s="10" t="s">
        <v>26</v>
      </c>
    </row>
    <row r="512" spans="1:17" x14ac:dyDescent="0.25">
      <c r="A512" s="10" t="s">
        <v>802</v>
      </c>
      <c r="B512" s="10" t="s">
        <v>801</v>
      </c>
      <c r="C512" s="10" t="s">
        <v>63</v>
      </c>
      <c r="D512" s="10" t="s">
        <v>143</v>
      </c>
      <c r="E512" s="10" t="s">
        <v>155</v>
      </c>
      <c r="F512" s="10" t="s">
        <v>83</v>
      </c>
      <c r="G512" s="10" t="s">
        <v>23</v>
      </c>
      <c r="H512" s="10" t="s">
        <v>33</v>
      </c>
      <c r="I512" s="10" t="s">
        <v>98</v>
      </c>
      <c r="J512" s="10">
        <v>3</v>
      </c>
      <c r="K512" s="10">
        <v>687</v>
      </c>
      <c r="L512" s="10">
        <v>2061</v>
      </c>
      <c r="M512" s="10">
        <v>20</v>
      </c>
      <c r="N512" s="10">
        <v>412</v>
      </c>
      <c r="O512" s="10">
        <v>1649</v>
      </c>
      <c r="P512" s="10">
        <v>4.5</v>
      </c>
      <c r="Q512" s="10" t="s">
        <v>26</v>
      </c>
    </row>
    <row r="513" spans="1:17" x14ac:dyDescent="0.25">
      <c r="A513" s="10" t="s">
        <v>803</v>
      </c>
      <c r="B513" s="10" t="s">
        <v>801</v>
      </c>
      <c r="C513" s="10" t="s">
        <v>40</v>
      </c>
      <c r="D513" s="10" t="s">
        <v>113</v>
      </c>
      <c r="E513" s="10" t="s">
        <v>37</v>
      </c>
      <c r="F513" s="10" t="s">
        <v>43</v>
      </c>
      <c r="G513" s="10" t="s">
        <v>32</v>
      </c>
      <c r="H513" s="10" t="s">
        <v>33</v>
      </c>
      <c r="I513" s="10" t="s">
        <v>34</v>
      </c>
      <c r="J513" s="10">
        <v>3</v>
      </c>
      <c r="K513" s="10">
        <v>596</v>
      </c>
      <c r="L513" s="10">
        <v>1788</v>
      </c>
      <c r="M513" s="10">
        <v>15</v>
      </c>
      <c r="N513" s="10">
        <v>268</v>
      </c>
      <c r="O513" s="10">
        <v>1520</v>
      </c>
      <c r="P513" s="10">
        <v>3.6</v>
      </c>
      <c r="Q513" s="10" t="s">
        <v>26</v>
      </c>
    </row>
    <row r="514" spans="1:17" x14ac:dyDescent="0.25">
      <c r="A514" s="10" t="s">
        <v>804</v>
      </c>
      <c r="B514" s="10" t="s">
        <v>805</v>
      </c>
      <c r="C514" s="10" t="s">
        <v>63</v>
      </c>
      <c r="D514" s="10" t="s">
        <v>143</v>
      </c>
      <c r="E514" s="10" t="s">
        <v>53</v>
      </c>
      <c r="F514" s="10" t="s">
        <v>79</v>
      </c>
      <c r="G514" s="10" t="s">
        <v>23</v>
      </c>
      <c r="H514" s="10" t="s">
        <v>24</v>
      </c>
      <c r="I514" s="10" t="s">
        <v>45</v>
      </c>
      <c r="J514" s="10">
        <v>1</v>
      </c>
      <c r="K514" s="10">
        <v>1183</v>
      </c>
      <c r="L514" s="10">
        <v>1183</v>
      </c>
      <c r="M514" s="10">
        <v>25</v>
      </c>
      <c r="N514" s="10">
        <v>296</v>
      </c>
      <c r="O514" s="10">
        <v>887</v>
      </c>
      <c r="P514" s="10">
        <v>4.2</v>
      </c>
      <c r="Q514" s="10" t="s">
        <v>26</v>
      </c>
    </row>
    <row r="515" spans="1:17" x14ac:dyDescent="0.25">
      <c r="A515" s="10" t="s">
        <v>806</v>
      </c>
      <c r="B515" s="10" t="s">
        <v>807</v>
      </c>
      <c r="C515" s="10" t="s">
        <v>28</v>
      </c>
      <c r="D515" s="10" t="s">
        <v>36</v>
      </c>
      <c r="E515" s="10" t="s">
        <v>30</v>
      </c>
      <c r="F515" s="10" t="s">
        <v>83</v>
      </c>
      <c r="G515" s="10" t="s">
        <v>23</v>
      </c>
      <c r="H515" s="10" t="s">
        <v>33</v>
      </c>
      <c r="I515" s="10" t="s">
        <v>98</v>
      </c>
      <c r="J515" s="10">
        <v>5</v>
      </c>
      <c r="K515" s="10">
        <v>719</v>
      </c>
      <c r="L515" s="10">
        <v>3595</v>
      </c>
      <c r="M515" s="10">
        <v>30</v>
      </c>
      <c r="N515" s="10">
        <v>1078</v>
      </c>
      <c r="O515" s="10">
        <v>2517</v>
      </c>
      <c r="P515" s="10">
        <v>4.0999999999999996</v>
      </c>
      <c r="Q515" s="10" t="s">
        <v>26</v>
      </c>
    </row>
    <row r="516" spans="1:17" x14ac:dyDescent="0.25">
      <c r="A516" s="10" t="s">
        <v>808</v>
      </c>
      <c r="B516" s="10" t="s">
        <v>809</v>
      </c>
      <c r="C516" s="10" t="s">
        <v>51</v>
      </c>
      <c r="D516" s="10" t="s">
        <v>97</v>
      </c>
      <c r="E516" s="10" t="s">
        <v>42</v>
      </c>
      <c r="F516" s="10" t="s">
        <v>83</v>
      </c>
      <c r="G516" s="10" t="s">
        <v>23</v>
      </c>
      <c r="H516" s="10" t="s">
        <v>33</v>
      </c>
      <c r="I516" s="10" t="s">
        <v>45</v>
      </c>
      <c r="J516" s="10">
        <v>3</v>
      </c>
      <c r="K516" s="10">
        <v>584</v>
      </c>
      <c r="L516" s="10">
        <v>1752</v>
      </c>
      <c r="M516" s="10">
        <v>30</v>
      </c>
      <c r="N516" s="10">
        <v>526</v>
      </c>
      <c r="O516" s="10">
        <v>1226</v>
      </c>
      <c r="P516" s="10">
        <v>3.9</v>
      </c>
      <c r="Q516" s="10" t="s">
        <v>26</v>
      </c>
    </row>
    <row r="517" spans="1:17" x14ac:dyDescent="0.25">
      <c r="A517" s="10" t="s">
        <v>810</v>
      </c>
      <c r="B517" s="10" t="s">
        <v>811</v>
      </c>
      <c r="C517" s="10" t="s">
        <v>28</v>
      </c>
      <c r="D517" s="10" t="s">
        <v>29</v>
      </c>
      <c r="E517" s="10" t="s">
        <v>53</v>
      </c>
      <c r="F517" s="10" t="s">
        <v>83</v>
      </c>
      <c r="G517" s="10" t="s">
        <v>32</v>
      </c>
      <c r="H517" s="10" t="s">
        <v>33</v>
      </c>
      <c r="I517" s="10" t="s">
        <v>98</v>
      </c>
      <c r="J517" s="10">
        <v>1</v>
      </c>
      <c r="K517" s="10">
        <v>383</v>
      </c>
      <c r="L517" s="10">
        <v>383</v>
      </c>
      <c r="M517" s="10">
        <v>15</v>
      </c>
      <c r="N517" s="10">
        <v>57</v>
      </c>
      <c r="O517" s="10">
        <v>326</v>
      </c>
      <c r="P517" s="10">
        <v>4.5999999999999996</v>
      </c>
      <c r="Q517" s="10" t="s">
        <v>26</v>
      </c>
    </row>
    <row r="518" spans="1:17" x14ac:dyDescent="0.25">
      <c r="A518" s="10" t="s">
        <v>812</v>
      </c>
      <c r="B518" s="10" t="s">
        <v>813</v>
      </c>
      <c r="C518" s="10" t="s">
        <v>19</v>
      </c>
      <c r="D518" s="10" t="s">
        <v>121</v>
      </c>
      <c r="E518" s="10" t="s">
        <v>82</v>
      </c>
      <c r="F518" s="10" t="s">
        <v>130</v>
      </c>
      <c r="G518" s="10" t="s">
        <v>23</v>
      </c>
      <c r="H518" s="10" t="s">
        <v>33</v>
      </c>
      <c r="I518" s="10" t="s">
        <v>45</v>
      </c>
      <c r="J518" s="10">
        <v>5</v>
      </c>
      <c r="K518" s="10">
        <v>503</v>
      </c>
      <c r="L518" s="10">
        <v>2515</v>
      </c>
      <c r="M518" s="10">
        <v>10</v>
      </c>
      <c r="N518" s="10">
        <v>252</v>
      </c>
      <c r="O518" s="10">
        <v>2263</v>
      </c>
      <c r="P518" s="10">
        <v>4.5</v>
      </c>
      <c r="Q518" s="10" t="s">
        <v>26</v>
      </c>
    </row>
    <row r="519" spans="1:17" x14ac:dyDescent="0.25">
      <c r="A519" s="10" t="s">
        <v>814</v>
      </c>
      <c r="B519" s="10" t="s">
        <v>815</v>
      </c>
      <c r="C519" s="10" t="s">
        <v>40</v>
      </c>
      <c r="D519" s="10" t="s">
        <v>113</v>
      </c>
      <c r="E519" s="10" t="s">
        <v>60</v>
      </c>
      <c r="F519" s="10" t="s">
        <v>72</v>
      </c>
      <c r="G519" s="10" t="s">
        <v>23</v>
      </c>
      <c r="H519" s="10" t="s">
        <v>104</v>
      </c>
      <c r="I519" s="10" t="s">
        <v>84</v>
      </c>
      <c r="J519" s="10">
        <v>4</v>
      </c>
      <c r="K519" s="10">
        <v>843</v>
      </c>
      <c r="L519" s="10">
        <v>3372</v>
      </c>
      <c r="M519" s="10">
        <v>25</v>
      </c>
      <c r="N519" s="10">
        <v>843</v>
      </c>
      <c r="O519" s="10">
        <v>2529</v>
      </c>
      <c r="P519" s="10">
        <v>4.9000000000000004</v>
      </c>
      <c r="Q519" s="10" t="s">
        <v>26</v>
      </c>
    </row>
    <row r="520" spans="1:17" x14ac:dyDescent="0.25">
      <c r="A520" s="10" t="s">
        <v>816</v>
      </c>
      <c r="B520" s="10" t="s">
        <v>815</v>
      </c>
      <c r="C520" s="10" t="s">
        <v>28</v>
      </c>
      <c r="D520" s="10" t="s">
        <v>29</v>
      </c>
      <c r="E520" s="10" t="s">
        <v>42</v>
      </c>
      <c r="F520" s="10" t="s">
        <v>22</v>
      </c>
      <c r="G520" s="10" t="s">
        <v>23</v>
      </c>
      <c r="H520" s="10" t="s">
        <v>33</v>
      </c>
      <c r="I520" s="10" t="s">
        <v>25</v>
      </c>
      <c r="J520" s="10">
        <v>1</v>
      </c>
      <c r="K520" s="10">
        <v>455</v>
      </c>
      <c r="L520" s="10">
        <v>455</v>
      </c>
      <c r="M520" s="10">
        <v>5</v>
      </c>
      <c r="N520" s="10">
        <v>23</v>
      </c>
      <c r="O520" s="10">
        <v>432</v>
      </c>
      <c r="P520" s="10">
        <v>3.2</v>
      </c>
      <c r="Q520" s="10" t="s">
        <v>26</v>
      </c>
    </row>
    <row r="521" spans="1:17" x14ac:dyDescent="0.25">
      <c r="A521" s="10" t="s">
        <v>817</v>
      </c>
      <c r="B521" s="10" t="s">
        <v>818</v>
      </c>
      <c r="C521" s="10" t="s">
        <v>63</v>
      </c>
      <c r="D521" s="10" t="s">
        <v>134</v>
      </c>
      <c r="E521" s="10" t="s">
        <v>21</v>
      </c>
      <c r="F521" s="10" t="s">
        <v>83</v>
      </c>
      <c r="G521" s="10" t="s">
        <v>23</v>
      </c>
      <c r="H521" s="10" t="s">
        <v>33</v>
      </c>
      <c r="I521" s="10" t="s">
        <v>45</v>
      </c>
      <c r="J521" s="10">
        <v>2</v>
      </c>
      <c r="K521" s="10">
        <v>678</v>
      </c>
      <c r="L521" s="10">
        <v>1356</v>
      </c>
      <c r="M521" s="10">
        <v>10</v>
      </c>
      <c r="N521" s="10">
        <v>136</v>
      </c>
      <c r="O521" s="10">
        <v>1220</v>
      </c>
      <c r="P521" s="10">
        <v>3.6</v>
      </c>
      <c r="Q521" s="10" t="s">
        <v>75</v>
      </c>
    </row>
    <row r="522" spans="1:17" x14ac:dyDescent="0.25">
      <c r="A522" s="10" t="s">
        <v>819</v>
      </c>
      <c r="B522" s="10" t="s">
        <v>818</v>
      </c>
      <c r="C522" s="10" t="s">
        <v>19</v>
      </c>
      <c r="D522" s="10" t="s">
        <v>20</v>
      </c>
      <c r="E522" s="10" t="s">
        <v>155</v>
      </c>
      <c r="F522" s="10" t="s">
        <v>43</v>
      </c>
      <c r="G522" s="10" t="s">
        <v>23</v>
      </c>
      <c r="H522" s="10" t="s">
        <v>104</v>
      </c>
      <c r="I522" s="10" t="s">
        <v>98</v>
      </c>
      <c r="J522" s="10">
        <v>2</v>
      </c>
      <c r="K522" s="10">
        <v>995</v>
      </c>
      <c r="L522" s="10">
        <v>1990</v>
      </c>
      <c r="M522" s="10">
        <v>10</v>
      </c>
      <c r="N522" s="10">
        <v>199</v>
      </c>
      <c r="O522" s="10">
        <v>1791</v>
      </c>
      <c r="P522" s="10">
        <v>4.5</v>
      </c>
      <c r="Q522" s="10" t="s">
        <v>26</v>
      </c>
    </row>
    <row r="523" spans="1:17" x14ac:dyDescent="0.25">
      <c r="A523" s="10" t="s">
        <v>820</v>
      </c>
      <c r="B523" s="10" t="s">
        <v>821</v>
      </c>
      <c r="C523" s="10" t="s">
        <v>40</v>
      </c>
      <c r="D523" s="10" t="s">
        <v>41</v>
      </c>
      <c r="E523" s="10" t="s">
        <v>82</v>
      </c>
      <c r="F523" s="10" t="s">
        <v>79</v>
      </c>
      <c r="G523" s="10" t="s">
        <v>44</v>
      </c>
      <c r="H523" s="10" t="s">
        <v>33</v>
      </c>
      <c r="I523" s="10" t="s">
        <v>34</v>
      </c>
      <c r="J523" s="10">
        <v>3</v>
      </c>
      <c r="K523" s="10">
        <v>802</v>
      </c>
      <c r="L523" s="10">
        <v>2406</v>
      </c>
      <c r="M523" s="10">
        <v>20</v>
      </c>
      <c r="N523" s="10">
        <v>481</v>
      </c>
      <c r="O523" s="10">
        <v>1925</v>
      </c>
      <c r="P523" s="10">
        <v>3.6</v>
      </c>
      <c r="Q523" s="10" t="s">
        <v>26</v>
      </c>
    </row>
    <row r="524" spans="1:17" x14ac:dyDescent="0.25">
      <c r="A524" s="10" t="s">
        <v>822</v>
      </c>
      <c r="B524" s="10" t="s">
        <v>821</v>
      </c>
      <c r="C524" s="10" t="s">
        <v>51</v>
      </c>
      <c r="D524" s="10" t="s">
        <v>70</v>
      </c>
      <c r="E524" s="10" t="s">
        <v>53</v>
      </c>
      <c r="F524" s="10" t="s">
        <v>61</v>
      </c>
      <c r="G524" s="10" t="s">
        <v>32</v>
      </c>
      <c r="H524" s="10" t="s">
        <v>24</v>
      </c>
      <c r="I524" s="10" t="s">
        <v>98</v>
      </c>
      <c r="J524" s="10">
        <v>2</v>
      </c>
      <c r="K524" s="10">
        <v>752</v>
      </c>
      <c r="L524" s="10">
        <v>1504</v>
      </c>
      <c r="M524" s="10">
        <v>15</v>
      </c>
      <c r="N524" s="10">
        <v>226</v>
      </c>
      <c r="O524" s="10">
        <v>1278</v>
      </c>
      <c r="P524" s="10">
        <v>4.8</v>
      </c>
      <c r="Q524" s="10" t="s">
        <v>26</v>
      </c>
    </row>
    <row r="525" spans="1:17" x14ac:dyDescent="0.25">
      <c r="A525" s="10" t="s">
        <v>823</v>
      </c>
      <c r="B525" s="10" t="s">
        <v>821</v>
      </c>
      <c r="C525" s="10" t="s">
        <v>91</v>
      </c>
      <c r="D525" s="10" t="s">
        <v>110</v>
      </c>
      <c r="E525" s="10" t="s">
        <v>78</v>
      </c>
      <c r="F525" s="10" t="s">
        <v>79</v>
      </c>
      <c r="G525" s="10" t="s">
        <v>23</v>
      </c>
      <c r="H525" s="10" t="s">
        <v>33</v>
      </c>
      <c r="I525" s="10" t="s">
        <v>98</v>
      </c>
      <c r="J525" s="10">
        <v>2</v>
      </c>
      <c r="K525" s="10">
        <v>2295</v>
      </c>
      <c r="L525" s="10">
        <v>4590</v>
      </c>
      <c r="M525" s="10">
        <v>10</v>
      </c>
      <c r="N525" s="10">
        <v>459</v>
      </c>
      <c r="O525" s="10">
        <v>4131</v>
      </c>
      <c r="P525" s="10">
        <v>4</v>
      </c>
      <c r="Q525" s="10" t="s">
        <v>26</v>
      </c>
    </row>
    <row r="526" spans="1:17" x14ac:dyDescent="0.25">
      <c r="A526" s="10" t="s">
        <v>824</v>
      </c>
      <c r="B526" s="10" t="s">
        <v>825</v>
      </c>
      <c r="C526" s="10" t="s">
        <v>19</v>
      </c>
      <c r="D526" s="10" t="s">
        <v>121</v>
      </c>
      <c r="E526" s="10" t="s">
        <v>60</v>
      </c>
      <c r="F526" s="10" t="s">
        <v>22</v>
      </c>
      <c r="G526" s="10" t="s">
        <v>23</v>
      </c>
      <c r="H526" s="10" t="s">
        <v>24</v>
      </c>
      <c r="I526" s="10" t="s">
        <v>34</v>
      </c>
      <c r="J526" s="10">
        <v>2</v>
      </c>
      <c r="K526" s="10">
        <v>233</v>
      </c>
      <c r="L526" s="10">
        <v>466</v>
      </c>
      <c r="M526" s="10">
        <v>0</v>
      </c>
      <c r="N526" s="10">
        <v>0</v>
      </c>
      <c r="O526" s="10">
        <v>466</v>
      </c>
      <c r="P526" s="10">
        <v>3.8</v>
      </c>
      <c r="Q526" s="10" t="s">
        <v>26</v>
      </c>
    </row>
    <row r="527" spans="1:17" x14ac:dyDescent="0.25">
      <c r="A527" s="10" t="s">
        <v>826</v>
      </c>
      <c r="B527" s="10" t="s">
        <v>825</v>
      </c>
      <c r="C527" s="10" t="s">
        <v>63</v>
      </c>
      <c r="D527" s="10" t="s">
        <v>134</v>
      </c>
      <c r="E527" s="10" t="s">
        <v>48</v>
      </c>
      <c r="F527" s="10" t="s">
        <v>79</v>
      </c>
      <c r="G527" s="10" t="s">
        <v>44</v>
      </c>
      <c r="H527" s="10" t="s">
        <v>104</v>
      </c>
      <c r="I527" s="10" t="s">
        <v>25</v>
      </c>
      <c r="J527" s="10">
        <v>2</v>
      </c>
      <c r="K527" s="10">
        <v>1488</v>
      </c>
      <c r="L527" s="10">
        <v>2976</v>
      </c>
      <c r="M527" s="10">
        <v>20</v>
      </c>
      <c r="N527" s="10">
        <v>595</v>
      </c>
      <c r="O527" s="10">
        <v>2381</v>
      </c>
      <c r="P527" s="10">
        <v>3.8</v>
      </c>
      <c r="Q527" s="10" t="s">
        <v>26</v>
      </c>
    </row>
    <row r="528" spans="1:17" x14ac:dyDescent="0.25">
      <c r="A528" s="10" t="s">
        <v>827</v>
      </c>
      <c r="B528" s="10" t="s">
        <v>825</v>
      </c>
      <c r="C528" s="10" t="s">
        <v>63</v>
      </c>
      <c r="D528" s="10" t="s">
        <v>64</v>
      </c>
      <c r="E528" s="10" t="s">
        <v>60</v>
      </c>
      <c r="F528" s="10" t="s">
        <v>31</v>
      </c>
      <c r="G528" s="10" t="s">
        <v>23</v>
      </c>
      <c r="H528" s="10" t="s">
        <v>24</v>
      </c>
      <c r="I528" s="10" t="s">
        <v>34</v>
      </c>
      <c r="J528" s="10">
        <v>5</v>
      </c>
      <c r="K528" s="10">
        <v>1678</v>
      </c>
      <c r="L528" s="10">
        <v>8390</v>
      </c>
      <c r="M528" s="10">
        <v>5</v>
      </c>
      <c r="N528" s="10">
        <v>420</v>
      </c>
      <c r="O528" s="10">
        <v>7970</v>
      </c>
      <c r="P528" s="10">
        <v>3.9</v>
      </c>
      <c r="Q528" s="10" t="s">
        <v>26</v>
      </c>
    </row>
    <row r="529" spans="1:17" x14ac:dyDescent="0.25">
      <c r="A529" s="10" t="s">
        <v>828</v>
      </c>
      <c r="B529" s="10" t="s">
        <v>829</v>
      </c>
      <c r="C529" s="10" t="s">
        <v>91</v>
      </c>
      <c r="D529" s="10" t="s">
        <v>125</v>
      </c>
      <c r="E529" s="10" t="s">
        <v>53</v>
      </c>
      <c r="F529" s="10" t="s">
        <v>119</v>
      </c>
      <c r="G529" s="10" t="s">
        <v>23</v>
      </c>
      <c r="H529" s="10" t="s">
        <v>24</v>
      </c>
      <c r="I529" s="10" t="s">
        <v>34</v>
      </c>
      <c r="J529" s="10">
        <v>5</v>
      </c>
      <c r="K529" s="10">
        <v>1047</v>
      </c>
      <c r="L529" s="10">
        <v>5235</v>
      </c>
      <c r="M529" s="10">
        <v>30</v>
      </c>
      <c r="N529" s="10">
        <v>1570</v>
      </c>
      <c r="O529" s="10">
        <v>3665</v>
      </c>
      <c r="P529" s="10">
        <v>4.5999999999999996</v>
      </c>
      <c r="Q529" s="10" t="s">
        <v>26</v>
      </c>
    </row>
    <row r="530" spans="1:17" x14ac:dyDescent="0.25">
      <c r="A530" s="10" t="s">
        <v>830</v>
      </c>
      <c r="B530" s="10" t="s">
        <v>831</v>
      </c>
      <c r="C530" s="10" t="s">
        <v>40</v>
      </c>
      <c r="D530" s="10" t="s">
        <v>113</v>
      </c>
      <c r="E530" s="10" t="s">
        <v>42</v>
      </c>
      <c r="F530" s="10" t="s">
        <v>61</v>
      </c>
      <c r="G530" s="10" t="s">
        <v>23</v>
      </c>
      <c r="H530" s="10" t="s">
        <v>33</v>
      </c>
      <c r="I530" s="10" t="s">
        <v>45</v>
      </c>
      <c r="J530" s="10">
        <v>1</v>
      </c>
      <c r="K530" s="10">
        <v>516</v>
      </c>
      <c r="L530" s="10">
        <v>516</v>
      </c>
      <c r="M530" s="10">
        <v>10</v>
      </c>
      <c r="N530" s="10">
        <v>52</v>
      </c>
      <c r="O530" s="10">
        <v>464</v>
      </c>
      <c r="P530" s="10">
        <v>5</v>
      </c>
      <c r="Q530" s="10" t="s">
        <v>26</v>
      </c>
    </row>
    <row r="531" spans="1:17" x14ac:dyDescent="0.25">
      <c r="A531" s="10" t="s">
        <v>832</v>
      </c>
      <c r="B531" s="10" t="s">
        <v>831</v>
      </c>
      <c r="C531" s="10" t="s">
        <v>28</v>
      </c>
      <c r="D531" s="10" t="s">
        <v>77</v>
      </c>
      <c r="E531" s="10" t="s">
        <v>71</v>
      </c>
      <c r="F531" s="10" t="s">
        <v>61</v>
      </c>
      <c r="G531" s="10" t="s">
        <v>23</v>
      </c>
      <c r="H531" s="10" t="s">
        <v>33</v>
      </c>
      <c r="I531" s="10" t="s">
        <v>45</v>
      </c>
      <c r="J531" s="10">
        <v>4</v>
      </c>
      <c r="K531" s="10">
        <v>383</v>
      </c>
      <c r="L531" s="10">
        <v>1532</v>
      </c>
      <c r="M531" s="10">
        <v>20</v>
      </c>
      <c r="N531" s="10">
        <v>306</v>
      </c>
      <c r="O531" s="10">
        <v>1226</v>
      </c>
      <c r="P531" s="10">
        <v>3.3</v>
      </c>
      <c r="Q531" s="10" t="s">
        <v>26</v>
      </c>
    </row>
    <row r="532" spans="1:17" x14ac:dyDescent="0.25">
      <c r="A532" s="10" t="s">
        <v>833</v>
      </c>
      <c r="B532" s="10" t="s">
        <v>831</v>
      </c>
      <c r="C532" s="10" t="s">
        <v>91</v>
      </c>
      <c r="D532" s="10" t="s">
        <v>92</v>
      </c>
      <c r="E532" s="10" t="s">
        <v>155</v>
      </c>
      <c r="F532" s="10" t="s">
        <v>43</v>
      </c>
      <c r="G532" s="10" t="s">
        <v>32</v>
      </c>
      <c r="H532" s="10" t="s">
        <v>33</v>
      </c>
      <c r="I532" s="10" t="s">
        <v>84</v>
      </c>
      <c r="J532" s="10">
        <v>4</v>
      </c>
      <c r="K532" s="10">
        <v>1624</v>
      </c>
      <c r="L532" s="10">
        <v>6496</v>
      </c>
      <c r="M532" s="10">
        <v>30</v>
      </c>
      <c r="N532" s="10">
        <v>1949</v>
      </c>
      <c r="O532" s="10">
        <v>4547</v>
      </c>
      <c r="P532" s="10">
        <v>3.6</v>
      </c>
      <c r="Q532" s="10" t="s">
        <v>26</v>
      </c>
    </row>
    <row r="533" spans="1:17" x14ac:dyDescent="0.25">
      <c r="A533" s="10" t="s">
        <v>834</v>
      </c>
      <c r="B533" s="10" t="s">
        <v>835</v>
      </c>
      <c r="C533" s="10" t="s">
        <v>40</v>
      </c>
      <c r="D533" s="10" t="s">
        <v>41</v>
      </c>
      <c r="E533" s="10" t="s">
        <v>53</v>
      </c>
      <c r="F533" s="10" t="s">
        <v>43</v>
      </c>
      <c r="G533" s="10" t="s">
        <v>23</v>
      </c>
      <c r="H533" s="10" t="s">
        <v>33</v>
      </c>
      <c r="I533" s="10" t="s">
        <v>25</v>
      </c>
      <c r="J533" s="10">
        <v>4</v>
      </c>
      <c r="K533" s="10">
        <v>1390</v>
      </c>
      <c r="L533" s="10">
        <v>5560</v>
      </c>
      <c r="M533" s="10">
        <v>20</v>
      </c>
      <c r="N533" s="10">
        <v>1112</v>
      </c>
      <c r="O533" s="10">
        <v>4448</v>
      </c>
      <c r="P533" s="10">
        <v>4.4000000000000004</v>
      </c>
      <c r="Q533" s="10" t="s">
        <v>26</v>
      </c>
    </row>
    <row r="534" spans="1:17" x14ac:dyDescent="0.25">
      <c r="A534" s="10" t="s">
        <v>836</v>
      </c>
      <c r="B534" s="10" t="s">
        <v>835</v>
      </c>
      <c r="C534" s="10" t="s">
        <v>91</v>
      </c>
      <c r="D534" s="10" t="s">
        <v>92</v>
      </c>
      <c r="E534" s="10" t="s">
        <v>101</v>
      </c>
      <c r="F534" s="10" t="s">
        <v>65</v>
      </c>
      <c r="G534" s="10" t="s">
        <v>32</v>
      </c>
      <c r="H534" s="10" t="s">
        <v>33</v>
      </c>
      <c r="I534" s="10" t="s">
        <v>98</v>
      </c>
      <c r="J534" s="10">
        <v>2</v>
      </c>
      <c r="K534" s="10">
        <v>1233</v>
      </c>
      <c r="L534" s="10">
        <v>2466</v>
      </c>
      <c r="M534" s="10">
        <v>15</v>
      </c>
      <c r="N534" s="10">
        <v>370</v>
      </c>
      <c r="O534" s="10">
        <v>2096</v>
      </c>
      <c r="P534" s="10">
        <v>3.4</v>
      </c>
      <c r="Q534" s="10" t="s">
        <v>26</v>
      </c>
    </row>
    <row r="535" spans="1:17" x14ac:dyDescent="0.25">
      <c r="A535" s="10" t="s">
        <v>837</v>
      </c>
      <c r="B535" s="10" t="s">
        <v>835</v>
      </c>
      <c r="C535" s="10" t="s">
        <v>40</v>
      </c>
      <c r="D535" s="10" t="s">
        <v>68</v>
      </c>
      <c r="E535" s="10" t="s">
        <v>155</v>
      </c>
      <c r="F535" s="10" t="s">
        <v>43</v>
      </c>
      <c r="G535" s="10" t="s">
        <v>23</v>
      </c>
      <c r="H535" s="10" t="s">
        <v>104</v>
      </c>
      <c r="I535" s="10" t="s">
        <v>98</v>
      </c>
      <c r="J535" s="10">
        <v>1</v>
      </c>
      <c r="K535" s="10">
        <v>507</v>
      </c>
      <c r="L535" s="10">
        <v>507</v>
      </c>
      <c r="M535" s="10">
        <v>30</v>
      </c>
      <c r="N535" s="10">
        <v>152</v>
      </c>
      <c r="O535" s="10">
        <v>355</v>
      </c>
      <c r="P535" s="10">
        <v>3.6</v>
      </c>
      <c r="Q535" s="10" t="s">
        <v>26</v>
      </c>
    </row>
    <row r="536" spans="1:17" x14ac:dyDescent="0.25">
      <c r="A536" s="10" t="s">
        <v>838</v>
      </c>
      <c r="B536" s="10" t="s">
        <v>835</v>
      </c>
      <c r="C536" s="10" t="s">
        <v>19</v>
      </c>
      <c r="D536" s="10" t="s">
        <v>121</v>
      </c>
      <c r="E536" s="10" t="s">
        <v>101</v>
      </c>
      <c r="F536" s="10" t="s">
        <v>72</v>
      </c>
      <c r="G536" s="10" t="s">
        <v>23</v>
      </c>
      <c r="H536" s="10" t="s">
        <v>33</v>
      </c>
      <c r="I536" s="10" t="s">
        <v>25</v>
      </c>
      <c r="J536" s="10">
        <v>3</v>
      </c>
      <c r="K536" s="10">
        <v>856</v>
      </c>
      <c r="L536" s="10">
        <v>2568</v>
      </c>
      <c r="M536" s="10">
        <v>0</v>
      </c>
      <c r="N536" s="10">
        <v>0</v>
      </c>
      <c r="O536" s="10">
        <v>2568</v>
      </c>
      <c r="P536" s="10">
        <v>4.4000000000000004</v>
      </c>
      <c r="Q536" s="10" t="s">
        <v>75</v>
      </c>
    </row>
    <row r="537" spans="1:17" x14ac:dyDescent="0.25">
      <c r="A537" s="10" t="s">
        <v>839</v>
      </c>
      <c r="B537" s="10" t="s">
        <v>840</v>
      </c>
      <c r="C537" s="10" t="s">
        <v>51</v>
      </c>
      <c r="D537" s="10" t="s">
        <v>52</v>
      </c>
      <c r="E537" s="10" t="s">
        <v>37</v>
      </c>
      <c r="F537" s="10" t="s">
        <v>72</v>
      </c>
      <c r="G537" s="10" t="s">
        <v>32</v>
      </c>
      <c r="H537" s="10" t="s">
        <v>24</v>
      </c>
      <c r="I537" s="10" t="s">
        <v>25</v>
      </c>
      <c r="J537" s="10">
        <v>2</v>
      </c>
      <c r="K537" s="10">
        <v>411</v>
      </c>
      <c r="L537" s="10">
        <v>822</v>
      </c>
      <c r="M537" s="10">
        <v>20</v>
      </c>
      <c r="N537" s="10">
        <v>164</v>
      </c>
      <c r="O537" s="10">
        <v>658</v>
      </c>
      <c r="P537" s="10">
        <v>3.6</v>
      </c>
      <c r="Q537" s="10" t="s">
        <v>26</v>
      </c>
    </row>
    <row r="538" spans="1:17" x14ac:dyDescent="0.25">
      <c r="A538" s="10" t="s">
        <v>841</v>
      </c>
      <c r="B538" s="10" t="s">
        <v>842</v>
      </c>
      <c r="C538" s="10" t="s">
        <v>63</v>
      </c>
      <c r="D538" s="10" t="s">
        <v>143</v>
      </c>
      <c r="E538" s="10" t="s">
        <v>71</v>
      </c>
      <c r="F538" s="10" t="s">
        <v>22</v>
      </c>
      <c r="G538" s="10" t="s">
        <v>32</v>
      </c>
      <c r="H538" s="10" t="s">
        <v>33</v>
      </c>
      <c r="I538" s="10" t="s">
        <v>25</v>
      </c>
      <c r="J538" s="10">
        <v>1</v>
      </c>
      <c r="K538" s="10">
        <v>1366</v>
      </c>
      <c r="L538" s="10">
        <v>1366</v>
      </c>
      <c r="M538" s="10">
        <v>5</v>
      </c>
      <c r="N538" s="10">
        <v>68</v>
      </c>
      <c r="O538" s="10">
        <v>1298</v>
      </c>
      <c r="P538" s="10">
        <v>3.4</v>
      </c>
      <c r="Q538" s="10" t="s">
        <v>26</v>
      </c>
    </row>
    <row r="539" spans="1:17" x14ac:dyDescent="0.25">
      <c r="A539" s="10" t="s">
        <v>843</v>
      </c>
      <c r="B539" s="10" t="s">
        <v>844</v>
      </c>
      <c r="C539" s="10" t="s">
        <v>51</v>
      </c>
      <c r="D539" s="10" t="s">
        <v>97</v>
      </c>
      <c r="E539" s="10" t="s">
        <v>82</v>
      </c>
      <c r="F539" s="10" t="s">
        <v>31</v>
      </c>
      <c r="G539" s="10" t="s">
        <v>23</v>
      </c>
      <c r="H539" s="10" t="s">
        <v>24</v>
      </c>
      <c r="I539" s="10" t="s">
        <v>98</v>
      </c>
      <c r="J539" s="10">
        <v>2</v>
      </c>
      <c r="K539" s="10">
        <v>627</v>
      </c>
      <c r="L539" s="10">
        <v>1254</v>
      </c>
      <c r="M539" s="10">
        <v>15</v>
      </c>
      <c r="N539" s="10">
        <v>188</v>
      </c>
      <c r="O539" s="10">
        <v>1066</v>
      </c>
      <c r="P539" s="10">
        <v>4.9000000000000004</v>
      </c>
      <c r="Q539" s="10" t="s">
        <v>26</v>
      </c>
    </row>
    <row r="540" spans="1:17" x14ac:dyDescent="0.25">
      <c r="A540" s="10" t="s">
        <v>845</v>
      </c>
      <c r="B540" s="10" t="s">
        <v>846</v>
      </c>
      <c r="C540" s="10" t="s">
        <v>51</v>
      </c>
      <c r="D540" s="10" t="s">
        <v>97</v>
      </c>
      <c r="E540" s="10" t="s">
        <v>78</v>
      </c>
      <c r="F540" s="10" t="s">
        <v>65</v>
      </c>
      <c r="G540" s="10" t="s">
        <v>23</v>
      </c>
      <c r="H540" s="10" t="s">
        <v>104</v>
      </c>
      <c r="I540" s="10" t="s">
        <v>98</v>
      </c>
      <c r="J540" s="10">
        <v>4</v>
      </c>
      <c r="K540" s="10">
        <v>378</v>
      </c>
      <c r="L540" s="10">
        <v>1512</v>
      </c>
      <c r="M540" s="10">
        <v>30</v>
      </c>
      <c r="N540" s="10">
        <v>454</v>
      </c>
      <c r="O540" s="10">
        <v>1058</v>
      </c>
      <c r="P540" s="10">
        <v>3.8</v>
      </c>
      <c r="Q540" s="10" t="s">
        <v>26</v>
      </c>
    </row>
    <row r="541" spans="1:17" x14ac:dyDescent="0.25">
      <c r="A541" s="10" t="s">
        <v>847</v>
      </c>
      <c r="B541" s="10" t="s">
        <v>846</v>
      </c>
      <c r="C541" s="10" t="s">
        <v>19</v>
      </c>
      <c r="D541" s="10" t="s">
        <v>128</v>
      </c>
      <c r="E541" s="10" t="s">
        <v>78</v>
      </c>
      <c r="F541" s="10" t="s">
        <v>31</v>
      </c>
      <c r="G541" s="10" t="s">
        <v>23</v>
      </c>
      <c r="H541" s="10" t="s">
        <v>24</v>
      </c>
      <c r="I541" s="10" t="s">
        <v>45</v>
      </c>
      <c r="J541" s="10">
        <v>5</v>
      </c>
      <c r="K541" s="10">
        <v>247</v>
      </c>
      <c r="L541" s="10">
        <v>1235</v>
      </c>
      <c r="M541" s="10">
        <v>10</v>
      </c>
      <c r="N541" s="10">
        <v>124</v>
      </c>
      <c r="O541" s="10">
        <v>1111</v>
      </c>
      <c r="P541" s="10">
        <v>4.9000000000000004</v>
      </c>
      <c r="Q541" s="10" t="s">
        <v>26</v>
      </c>
    </row>
    <row r="542" spans="1:17" x14ac:dyDescent="0.25">
      <c r="A542" s="10" t="s">
        <v>848</v>
      </c>
      <c r="B542" s="10" t="s">
        <v>846</v>
      </c>
      <c r="C542" s="10" t="s">
        <v>51</v>
      </c>
      <c r="D542" s="10" t="s">
        <v>52</v>
      </c>
      <c r="E542" s="10" t="s">
        <v>155</v>
      </c>
      <c r="F542" s="10" t="s">
        <v>72</v>
      </c>
      <c r="G542" s="10" t="s">
        <v>23</v>
      </c>
      <c r="H542" s="10" t="s">
        <v>33</v>
      </c>
      <c r="I542" s="10" t="s">
        <v>34</v>
      </c>
      <c r="J542" s="10">
        <v>4</v>
      </c>
      <c r="K542" s="10">
        <v>737</v>
      </c>
      <c r="L542" s="10">
        <v>2948</v>
      </c>
      <c r="M542" s="10">
        <v>5</v>
      </c>
      <c r="N542" s="10">
        <v>147</v>
      </c>
      <c r="O542" s="10">
        <v>2801</v>
      </c>
      <c r="P542" s="10">
        <v>4.7</v>
      </c>
      <c r="Q542" s="10" t="s">
        <v>26</v>
      </c>
    </row>
    <row r="543" spans="1:17" x14ac:dyDescent="0.25">
      <c r="A543" s="10" t="s">
        <v>849</v>
      </c>
      <c r="B543" s="10" t="s">
        <v>846</v>
      </c>
      <c r="C543" s="10" t="s">
        <v>51</v>
      </c>
      <c r="D543" s="10" t="s">
        <v>70</v>
      </c>
      <c r="E543" s="10" t="s">
        <v>21</v>
      </c>
      <c r="F543" s="10" t="s">
        <v>72</v>
      </c>
      <c r="G543" s="10" t="s">
        <v>23</v>
      </c>
      <c r="H543" s="10" t="s">
        <v>33</v>
      </c>
      <c r="I543" s="10" t="s">
        <v>84</v>
      </c>
      <c r="J543" s="10">
        <v>4</v>
      </c>
      <c r="K543" s="10">
        <v>559</v>
      </c>
      <c r="L543" s="10">
        <v>2236</v>
      </c>
      <c r="M543" s="10">
        <v>25</v>
      </c>
      <c r="N543" s="10">
        <v>559</v>
      </c>
      <c r="O543" s="10">
        <v>1677</v>
      </c>
      <c r="P543" s="10">
        <v>4.9000000000000004</v>
      </c>
      <c r="Q543" s="10" t="s">
        <v>26</v>
      </c>
    </row>
    <row r="544" spans="1:17" x14ac:dyDescent="0.25">
      <c r="A544" s="10" t="s">
        <v>850</v>
      </c>
      <c r="B544" s="10" t="s">
        <v>846</v>
      </c>
      <c r="C544" s="10" t="s">
        <v>40</v>
      </c>
      <c r="D544" s="10" t="s">
        <v>47</v>
      </c>
      <c r="E544" s="10" t="s">
        <v>42</v>
      </c>
      <c r="F544" s="10" t="s">
        <v>130</v>
      </c>
      <c r="G544" s="10" t="s">
        <v>44</v>
      </c>
      <c r="H544" s="10" t="s">
        <v>24</v>
      </c>
      <c r="I544" s="10" t="s">
        <v>45</v>
      </c>
      <c r="J544" s="10">
        <v>3</v>
      </c>
      <c r="K544" s="10">
        <v>1227</v>
      </c>
      <c r="L544" s="10">
        <v>3681</v>
      </c>
      <c r="M544" s="10">
        <v>10</v>
      </c>
      <c r="N544" s="10">
        <v>368</v>
      </c>
      <c r="O544" s="10">
        <v>3313</v>
      </c>
      <c r="P544" s="10">
        <v>3.8</v>
      </c>
      <c r="Q544" s="10" t="s">
        <v>26</v>
      </c>
    </row>
    <row r="545" spans="1:17" x14ac:dyDescent="0.25">
      <c r="A545" s="10" t="s">
        <v>851</v>
      </c>
      <c r="B545" s="10" t="s">
        <v>852</v>
      </c>
      <c r="C545" s="10" t="s">
        <v>19</v>
      </c>
      <c r="D545" s="10" t="s">
        <v>121</v>
      </c>
      <c r="E545" s="10" t="s">
        <v>30</v>
      </c>
      <c r="F545" s="10" t="s">
        <v>61</v>
      </c>
      <c r="G545" s="10" t="s">
        <v>23</v>
      </c>
      <c r="H545" s="10" t="s">
        <v>33</v>
      </c>
      <c r="I545" s="10" t="s">
        <v>25</v>
      </c>
      <c r="J545" s="10">
        <v>2</v>
      </c>
      <c r="K545" s="10">
        <v>189</v>
      </c>
      <c r="L545" s="10">
        <v>378</v>
      </c>
      <c r="M545" s="10">
        <v>15</v>
      </c>
      <c r="N545" s="10">
        <v>57</v>
      </c>
      <c r="O545" s="10">
        <v>321</v>
      </c>
      <c r="P545" s="10">
        <v>4.2</v>
      </c>
      <c r="Q545" s="10" t="s">
        <v>26</v>
      </c>
    </row>
    <row r="546" spans="1:17" x14ac:dyDescent="0.25">
      <c r="A546" s="10" t="s">
        <v>853</v>
      </c>
      <c r="B546" s="10" t="s">
        <v>852</v>
      </c>
      <c r="C546" s="10" t="s">
        <v>51</v>
      </c>
      <c r="D546" s="10" t="s">
        <v>70</v>
      </c>
      <c r="E546" s="10" t="s">
        <v>21</v>
      </c>
      <c r="F546" s="10" t="s">
        <v>61</v>
      </c>
      <c r="G546" s="10" t="s">
        <v>23</v>
      </c>
      <c r="H546" s="10" t="s">
        <v>33</v>
      </c>
      <c r="I546" s="10" t="s">
        <v>98</v>
      </c>
      <c r="J546" s="10">
        <v>4</v>
      </c>
      <c r="K546" s="10">
        <v>614</v>
      </c>
      <c r="L546" s="10">
        <v>2456</v>
      </c>
      <c r="M546" s="10">
        <v>15</v>
      </c>
      <c r="N546" s="10">
        <v>368</v>
      </c>
      <c r="O546" s="10">
        <v>2088</v>
      </c>
      <c r="P546" s="10">
        <v>4.0999999999999996</v>
      </c>
      <c r="Q546" s="10" t="s">
        <v>26</v>
      </c>
    </row>
    <row r="547" spans="1:17" x14ac:dyDescent="0.25">
      <c r="A547" s="10" t="s">
        <v>854</v>
      </c>
      <c r="B547" s="10" t="s">
        <v>852</v>
      </c>
      <c r="C547" s="10" t="s">
        <v>40</v>
      </c>
      <c r="D547" s="10" t="s">
        <v>47</v>
      </c>
      <c r="E547" s="10" t="s">
        <v>21</v>
      </c>
      <c r="F547" s="10" t="s">
        <v>61</v>
      </c>
      <c r="G547" s="10" t="s">
        <v>44</v>
      </c>
      <c r="H547" s="10" t="s">
        <v>24</v>
      </c>
      <c r="I547" s="10" t="s">
        <v>98</v>
      </c>
      <c r="J547" s="10">
        <v>4</v>
      </c>
      <c r="K547" s="10">
        <v>1061</v>
      </c>
      <c r="L547" s="10">
        <v>4244</v>
      </c>
      <c r="M547" s="10">
        <v>15</v>
      </c>
      <c r="N547" s="10">
        <v>637</v>
      </c>
      <c r="O547" s="10">
        <v>3607</v>
      </c>
      <c r="P547" s="10">
        <v>4.9000000000000004</v>
      </c>
      <c r="Q547" s="10" t="s">
        <v>26</v>
      </c>
    </row>
    <row r="548" spans="1:17" x14ac:dyDescent="0.25">
      <c r="A548" s="10" t="s">
        <v>855</v>
      </c>
      <c r="B548" s="10" t="s">
        <v>856</v>
      </c>
      <c r="C548" s="10" t="s">
        <v>63</v>
      </c>
      <c r="D548" s="10" t="s">
        <v>64</v>
      </c>
      <c r="E548" s="10" t="s">
        <v>42</v>
      </c>
      <c r="F548" s="10" t="s">
        <v>119</v>
      </c>
      <c r="G548" s="10" t="s">
        <v>32</v>
      </c>
      <c r="H548" s="10" t="s">
        <v>104</v>
      </c>
      <c r="I548" s="10" t="s">
        <v>34</v>
      </c>
      <c r="J548" s="10">
        <v>5</v>
      </c>
      <c r="K548" s="10">
        <v>421</v>
      </c>
      <c r="L548" s="10">
        <v>2105</v>
      </c>
      <c r="M548" s="10">
        <v>0</v>
      </c>
      <c r="N548" s="10">
        <v>0</v>
      </c>
      <c r="O548" s="10">
        <v>2105</v>
      </c>
      <c r="P548" s="10">
        <v>4.7</v>
      </c>
      <c r="Q548" s="10" t="s">
        <v>26</v>
      </c>
    </row>
    <row r="549" spans="1:17" x14ac:dyDescent="0.25">
      <c r="A549" s="10" t="s">
        <v>857</v>
      </c>
      <c r="B549" s="10" t="s">
        <v>856</v>
      </c>
      <c r="C549" s="10" t="s">
        <v>40</v>
      </c>
      <c r="D549" s="10" t="s">
        <v>113</v>
      </c>
      <c r="E549" s="10" t="s">
        <v>30</v>
      </c>
      <c r="F549" s="10" t="s">
        <v>61</v>
      </c>
      <c r="G549" s="10" t="s">
        <v>32</v>
      </c>
      <c r="H549" s="10" t="s">
        <v>24</v>
      </c>
      <c r="I549" s="10" t="s">
        <v>45</v>
      </c>
      <c r="J549" s="10">
        <v>4</v>
      </c>
      <c r="K549" s="10">
        <v>905</v>
      </c>
      <c r="L549" s="10">
        <v>3620</v>
      </c>
      <c r="M549" s="10">
        <v>20</v>
      </c>
      <c r="N549" s="10">
        <v>724</v>
      </c>
      <c r="O549" s="10">
        <v>2896</v>
      </c>
      <c r="P549" s="10">
        <v>3.8</v>
      </c>
      <c r="Q549" s="10" t="s">
        <v>26</v>
      </c>
    </row>
    <row r="550" spans="1:17" x14ac:dyDescent="0.25">
      <c r="A550" s="10" t="s">
        <v>858</v>
      </c>
      <c r="B550" s="10" t="s">
        <v>856</v>
      </c>
      <c r="C550" s="10" t="s">
        <v>91</v>
      </c>
      <c r="D550" s="10" t="s">
        <v>92</v>
      </c>
      <c r="E550" s="10" t="s">
        <v>30</v>
      </c>
      <c r="F550" s="10" t="s">
        <v>65</v>
      </c>
      <c r="G550" s="10" t="s">
        <v>32</v>
      </c>
      <c r="H550" s="10" t="s">
        <v>33</v>
      </c>
      <c r="I550" s="10" t="s">
        <v>84</v>
      </c>
      <c r="J550" s="10">
        <v>4</v>
      </c>
      <c r="K550" s="10">
        <v>1596</v>
      </c>
      <c r="L550" s="10">
        <v>6384</v>
      </c>
      <c r="M550" s="10">
        <v>5</v>
      </c>
      <c r="N550" s="10">
        <v>319</v>
      </c>
      <c r="O550" s="10">
        <v>6065</v>
      </c>
      <c r="P550" s="10">
        <v>4.7</v>
      </c>
      <c r="Q550" s="10" t="s">
        <v>75</v>
      </c>
    </row>
    <row r="551" spans="1:17" x14ac:dyDescent="0.25">
      <c r="A551" s="10" t="s">
        <v>859</v>
      </c>
      <c r="B551" s="10" t="s">
        <v>860</v>
      </c>
      <c r="C551" s="10" t="s">
        <v>28</v>
      </c>
      <c r="D551" s="10" t="s">
        <v>77</v>
      </c>
      <c r="E551" s="10" t="s">
        <v>82</v>
      </c>
      <c r="F551" s="10" t="s">
        <v>65</v>
      </c>
      <c r="G551" s="10" t="s">
        <v>32</v>
      </c>
      <c r="H551" s="10" t="s">
        <v>104</v>
      </c>
      <c r="I551" s="10" t="s">
        <v>45</v>
      </c>
      <c r="J551" s="10">
        <v>4</v>
      </c>
      <c r="K551" s="10">
        <v>678</v>
      </c>
      <c r="L551" s="10">
        <v>2712</v>
      </c>
      <c r="M551" s="10">
        <v>25</v>
      </c>
      <c r="N551" s="10">
        <v>678</v>
      </c>
      <c r="O551" s="10">
        <v>2034</v>
      </c>
      <c r="P551" s="10">
        <v>4.3</v>
      </c>
      <c r="Q551" s="10" t="s">
        <v>26</v>
      </c>
    </row>
    <row r="552" spans="1:17" x14ac:dyDescent="0.25">
      <c r="A552" s="10" t="s">
        <v>861</v>
      </c>
      <c r="B552" s="10" t="s">
        <v>860</v>
      </c>
      <c r="C552" s="10" t="s">
        <v>40</v>
      </c>
      <c r="D552" s="10" t="s">
        <v>113</v>
      </c>
      <c r="E552" s="10" t="s">
        <v>42</v>
      </c>
      <c r="F552" s="10" t="s">
        <v>130</v>
      </c>
      <c r="G552" s="10" t="s">
        <v>23</v>
      </c>
      <c r="H552" s="10" t="s">
        <v>33</v>
      </c>
      <c r="I552" s="10" t="s">
        <v>34</v>
      </c>
      <c r="J552" s="10">
        <v>4</v>
      </c>
      <c r="K552" s="10">
        <v>867</v>
      </c>
      <c r="L552" s="10">
        <v>3468</v>
      </c>
      <c r="M552" s="10">
        <v>10</v>
      </c>
      <c r="N552" s="10">
        <v>347</v>
      </c>
      <c r="O552" s="10">
        <v>3121</v>
      </c>
      <c r="P552" s="10">
        <v>4.3</v>
      </c>
      <c r="Q552" s="10" t="s">
        <v>26</v>
      </c>
    </row>
    <row r="553" spans="1:17" x14ac:dyDescent="0.25">
      <c r="A553" s="10" t="s">
        <v>862</v>
      </c>
      <c r="B553" s="10" t="s">
        <v>860</v>
      </c>
      <c r="C553" s="10" t="s">
        <v>51</v>
      </c>
      <c r="D553" s="10" t="s">
        <v>52</v>
      </c>
      <c r="E553" s="10" t="s">
        <v>48</v>
      </c>
      <c r="F553" s="10" t="s">
        <v>43</v>
      </c>
      <c r="G553" s="10" t="s">
        <v>44</v>
      </c>
      <c r="H553" s="10" t="s">
        <v>33</v>
      </c>
      <c r="I553" s="10" t="s">
        <v>45</v>
      </c>
      <c r="J553" s="10">
        <v>5</v>
      </c>
      <c r="K553" s="10">
        <v>722</v>
      </c>
      <c r="L553" s="10">
        <v>3610</v>
      </c>
      <c r="M553" s="10">
        <v>15</v>
      </c>
      <c r="N553" s="10">
        <v>542</v>
      </c>
      <c r="O553" s="10">
        <v>3068</v>
      </c>
      <c r="P553" s="10">
        <v>3.7</v>
      </c>
      <c r="Q553" s="10" t="s">
        <v>26</v>
      </c>
    </row>
    <row r="554" spans="1:17" x14ac:dyDescent="0.25">
      <c r="A554" s="10" t="s">
        <v>863</v>
      </c>
      <c r="B554" s="10" t="s">
        <v>864</v>
      </c>
      <c r="C554" s="10" t="s">
        <v>63</v>
      </c>
      <c r="D554" s="10" t="s">
        <v>64</v>
      </c>
      <c r="E554" s="10" t="s">
        <v>21</v>
      </c>
      <c r="F554" s="10" t="s">
        <v>43</v>
      </c>
      <c r="G554" s="10" t="s">
        <v>32</v>
      </c>
      <c r="H554" s="10" t="s">
        <v>33</v>
      </c>
      <c r="I554" s="10" t="s">
        <v>25</v>
      </c>
      <c r="J554" s="10">
        <v>2</v>
      </c>
      <c r="K554" s="10">
        <v>2441</v>
      </c>
      <c r="L554" s="10">
        <v>4882</v>
      </c>
      <c r="M554" s="10">
        <v>25</v>
      </c>
      <c r="N554" s="10">
        <v>1220</v>
      </c>
      <c r="O554" s="10">
        <v>3662</v>
      </c>
      <c r="P554" s="10">
        <v>3.3</v>
      </c>
      <c r="Q554" s="10" t="s">
        <v>26</v>
      </c>
    </row>
    <row r="555" spans="1:17" x14ac:dyDescent="0.25">
      <c r="A555" s="10" t="s">
        <v>865</v>
      </c>
      <c r="B555" s="10" t="s">
        <v>864</v>
      </c>
      <c r="C555" s="10" t="s">
        <v>63</v>
      </c>
      <c r="D555" s="10" t="s">
        <v>143</v>
      </c>
      <c r="E555" s="10" t="s">
        <v>101</v>
      </c>
      <c r="F555" s="10" t="s">
        <v>43</v>
      </c>
      <c r="G555" s="10" t="s">
        <v>23</v>
      </c>
      <c r="H555" s="10" t="s">
        <v>33</v>
      </c>
      <c r="I555" s="10" t="s">
        <v>98</v>
      </c>
      <c r="J555" s="10">
        <v>1</v>
      </c>
      <c r="K555" s="10">
        <v>629</v>
      </c>
      <c r="L555" s="10">
        <v>629</v>
      </c>
      <c r="M555" s="10">
        <v>25</v>
      </c>
      <c r="N555" s="10">
        <v>157</v>
      </c>
      <c r="O555" s="10">
        <v>472</v>
      </c>
      <c r="P555" s="10">
        <v>5</v>
      </c>
      <c r="Q555" s="10" t="s">
        <v>26</v>
      </c>
    </row>
    <row r="556" spans="1:17" x14ac:dyDescent="0.25">
      <c r="A556" s="10" t="s">
        <v>866</v>
      </c>
      <c r="B556" s="10" t="s">
        <v>864</v>
      </c>
      <c r="C556" s="10" t="s">
        <v>63</v>
      </c>
      <c r="D556" s="10" t="s">
        <v>134</v>
      </c>
      <c r="E556" s="10" t="s">
        <v>21</v>
      </c>
      <c r="F556" s="10" t="s">
        <v>22</v>
      </c>
      <c r="G556" s="10" t="s">
        <v>23</v>
      </c>
      <c r="H556" s="10" t="s">
        <v>33</v>
      </c>
      <c r="I556" s="10" t="s">
        <v>25</v>
      </c>
      <c r="J556" s="10">
        <v>4</v>
      </c>
      <c r="K556" s="10">
        <v>1030</v>
      </c>
      <c r="L556" s="10">
        <v>4120</v>
      </c>
      <c r="M556" s="10">
        <v>5</v>
      </c>
      <c r="N556" s="10">
        <v>206</v>
      </c>
      <c r="O556" s="10">
        <v>3914</v>
      </c>
      <c r="P556" s="10">
        <v>4.4000000000000004</v>
      </c>
      <c r="Q556" s="10" t="s">
        <v>26</v>
      </c>
    </row>
    <row r="557" spans="1:17" x14ac:dyDescent="0.25">
      <c r="A557" s="10" t="s">
        <v>867</v>
      </c>
      <c r="B557" s="10" t="s">
        <v>868</v>
      </c>
      <c r="C557" s="10" t="s">
        <v>19</v>
      </c>
      <c r="D557" s="10" t="s">
        <v>230</v>
      </c>
      <c r="E557" s="10" t="s">
        <v>71</v>
      </c>
      <c r="F557" s="10" t="s">
        <v>43</v>
      </c>
      <c r="G557" s="10" t="s">
        <v>44</v>
      </c>
      <c r="H557" s="10" t="s">
        <v>33</v>
      </c>
      <c r="I557" s="10" t="s">
        <v>98</v>
      </c>
      <c r="J557" s="10">
        <v>2</v>
      </c>
      <c r="K557" s="10">
        <v>891</v>
      </c>
      <c r="L557" s="10">
        <v>1782</v>
      </c>
      <c r="M557" s="10">
        <v>0</v>
      </c>
      <c r="N557" s="10">
        <v>0</v>
      </c>
      <c r="O557" s="10">
        <v>1782</v>
      </c>
      <c r="P557" s="10">
        <v>4.4000000000000004</v>
      </c>
      <c r="Q557" s="10" t="s">
        <v>26</v>
      </c>
    </row>
    <row r="558" spans="1:17" x14ac:dyDescent="0.25">
      <c r="A558" s="10" t="s">
        <v>869</v>
      </c>
      <c r="B558" s="10" t="s">
        <v>870</v>
      </c>
      <c r="C558" s="10" t="s">
        <v>63</v>
      </c>
      <c r="D558" s="10" t="s">
        <v>134</v>
      </c>
      <c r="E558" s="10" t="s">
        <v>78</v>
      </c>
      <c r="F558" s="10" t="s">
        <v>79</v>
      </c>
      <c r="G558" s="10" t="s">
        <v>23</v>
      </c>
      <c r="H558" s="10" t="s">
        <v>33</v>
      </c>
      <c r="I558" s="10" t="s">
        <v>45</v>
      </c>
      <c r="J558" s="10">
        <v>3</v>
      </c>
      <c r="K558" s="10">
        <v>1916</v>
      </c>
      <c r="L558" s="10">
        <v>5748</v>
      </c>
      <c r="M558" s="10">
        <v>25</v>
      </c>
      <c r="N558" s="10">
        <v>1437</v>
      </c>
      <c r="O558" s="10">
        <v>4311</v>
      </c>
      <c r="P558" s="10">
        <v>4.5</v>
      </c>
      <c r="Q558" s="10" t="s">
        <v>26</v>
      </c>
    </row>
    <row r="559" spans="1:17" x14ac:dyDescent="0.25">
      <c r="A559" s="10" t="s">
        <v>871</v>
      </c>
      <c r="B559" s="10" t="s">
        <v>872</v>
      </c>
      <c r="C559" s="10" t="s">
        <v>40</v>
      </c>
      <c r="D559" s="10" t="s">
        <v>113</v>
      </c>
      <c r="E559" s="10" t="s">
        <v>101</v>
      </c>
      <c r="F559" s="10" t="s">
        <v>119</v>
      </c>
      <c r="G559" s="10" t="s">
        <v>23</v>
      </c>
      <c r="H559" s="10" t="s">
        <v>33</v>
      </c>
      <c r="I559" s="10" t="s">
        <v>34</v>
      </c>
      <c r="J559" s="10">
        <v>2</v>
      </c>
      <c r="K559" s="10">
        <v>511</v>
      </c>
      <c r="L559" s="10">
        <v>1022</v>
      </c>
      <c r="M559" s="10">
        <v>0</v>
      </c>
      <c r="N559" s="10">
        <v>0</v>
      </c>
      <c r="O559" s="10">
        <v>1022</v>
      </c>
      <c r="P559" s="10">
        <v>4.9000000000000004</v>
      </c>
      <c r="Q559" s="10" t="s">
        <v>26</v>
      </c>
    </row>
    <row r="560" spans="1:17" x14ac:dyDescent="0.25">
      <c r="A560" s="10" t="s">
        <v>873</v>
      </c>
      <c r="B560" s="10" t="s">
        <v>872</v>
      </c>
      <c r="C560" s="10" t="s">
        <v>63</v>
      </c>
      <c r="D560" s="10" t="s">
        <v>143</v>
      </c>
      <c r="E560" s="10" t="s">
        <v>53</v>
      </c>
      <c r="F560" s="10" t="s">
        <v>72</v>
      </c>
      <c r="G560" s="10" t="s">
        <v>23</v>
      </c>
      <c r="H560" s="10" t="s">
        <v>24</v>
      </c>
      <c r="I560" s="10" t="s">
        <v>98</v>
      </c>
      <c r="J560" s="10">
        <v>2</v>
      </c>
      <c r="K560" s="10">
        <v>759</v>
      </c>
      <c r="L560" s="10">
        <v>1518</v>
      </c>
      <c r="M560" s="10">
        <v>20</v>
      </c>
      <c r="N560" s="10">
        <v>304</v>
      </c>
      <c r="O560" s="10">
        <v>1214</v>
      </c>
      <c r="P560" s="10">
        <v>4.5</v>
      </c>
      <c r="Q560" s="10" t="s">
        <v>26</v>
      </c>
    </row>
    <row r="561" spans="1:17" x14ac:dyDescent="0.25">
      <c r="A561" s="10" t="s">
        <v>874</v>
      </c>
      <c r="B561" s="10" t="s">
        <v>872</v>
      </c>
      <c r="C561" s="10" t="s">
        <v>91</v>
      </c>
      <c r="D561" s="10" t="s">
        <v>110</v>
      </c>
      <c r="E561" s="10" t="s">
        <v>53</v>
      </c>
      <c r="F561" s="10" t="s">
        <v>130</v>
      </c>
      <c r="G561" s="10" t="s">
        <v>44</v>
      </c>
      <c r="H561" s="10" t="s">
        <v>33</v>
      </c>
      <c r="I561" s="10" t="s">
        <v>25</v>
      </c>
      <c r="J561" s="10">
        <v>1</v>
      </c>
      <c r="K561" s="10">
        <v>2106</v>
      </c>
      <c r="L561" s="10">
        <v>2106</v>
      </c>
      <c r="M561" s="10">
        <v>5</v>
      </c>
      <c r="N561" s="10">
        <v>105</v>
      </c>
      <c r="O561" s="10">
        <v>2001</v>
      </c>
      <c r="P561" s="10">
        <v>4.8</v>
      </c>
      <c r="Q561" s="10" t="s">
        <v>26</v>
      </c>
    </row>
    <row r="562" spans="1:17" x14ac:dyDescent="0.25">
      <c r="A562" s="10" t="s">
        <v>875</v>
      </c>
      <c r="B562" s="10" t="s">
        <v>872</v>
      </c>
      <c r="C562" s="10" t="s">
        <v>40</v>
      </c>
      <c r="D562" s="10" t="s">
        <v>47</v>
      </c>
      <c r="E562" s="10" t="s">
        <v>37</v>
      </c>
      <c r="F562" s="10" t="s">
        <v>130</v>
      </c>
      <c r="G562" s="10" t="s">
        <v>23</v>
      </c>
      <c r="H562" s="10" t="s">
        <v>24</v>
      </c>
      <c r="I562" s="10" t="s">
        <v>34</v>
      </c>
      <c r="J562" s="10">
        <v>2</v>
      </c>
      <c r="K562" s="10">
        <v>1157</v>
      </c>
      <c r="L562" s="10">
        <v>2314</v>
      </c>
      <c r="M562" s="10">
        <v>25</v>
      </c>
      <c r="N562" s="10">
        <v>578</v>
      </c>
      <c r="O562" s="10">
        <v>1736</v>
      </c>
      <c r="P562" s="10">
        <v>3.2</v>
      </c>
      <c r="Q562" s="10" t="s">
        <v>26</v>
      </c>
    </row>
    <row r="563" spans="1:17" x14ac:dyDescent="0.25">
      <c r="A563" s="10" t="s">
        <v>876</v>
      </c>
      <c r="B563" s="10" t="s">
        <v>877</v>
      </c>
      <c r="C563" s="10" t="s">
        <v>28</v>
      </c>
      <c r="D563" s="10" t="s">
        <v>163</v>
      </c>
      <c r="E563" s="10" t="s">
        <v>42</v>
      </c>
      <c r="F563" s="10" t="s">
        <v>61</v>
      </c>
      <c r="G563" s="10" t="s">
        <v>23</v>
      </c>
      <c r="H563" s="10" t="s">
        <v>24</v>
      </c>
      <c r="I563" s="10" t="s">
        <v>45</v>
      </c>
      <c r="J563" s="10">
        <v>2</v>
      </c>
      <c r="K563" s="10">
        <v>1161</v>
      </c>
      <c r="L563" s="10">
        <v>2322</v>
      </c>
      <c r="M563" s="10">
        <v>0</v>
      </c>
      <c r="N563" s="10">
        <v>0</v>
      </c>
      <c r="O563" s="10">
        <v>2322</v>
      </c>
      <c r="P563" s="10">
        <v>4</v>
      </c>
      <c r="Q563" s="10" t="s">
        <v>26</v>
      </c>
    </row>
    <row r="564" spans="1:17" x14ac:dyDescent="0.25">
      <c r="A564" s="10" t="s">
        <v>878</v>
      </c>
      <c r="B564" s="10" t="s">
        <v>877</v>
      </c>
      <c r="C564" s="10" t="s">
        <v>91</v>
      </c>
      <c r="D564" s="10" t="s">
        <v>125</v>
      </c>
      <c r="E564" s="10" t="s">
        <v>78</v>
      </c>
      <c r="F564" s="10" t="s">
        <v>83</v>
      </c>
      <c r="G564" s="10" t="s">
        <v>23</v>
      </c>
      <c r="H564" s="10" t="s">
        <v>24</v>
      </c>
      <c r="I564" s="10" t="s">
        <v>98</v>
      </c>
      <c r="J564" s="10">
        <v>5</v>
      </c>
      <c r="K564" s="10">
        <v>598</v>
      </c>
      <c r="L564" s="10">
        <v>2990</v>
      </c>
      <c r="M564" s="10">
        <v>0</v>
      </c>
      <c r="N564" s="10">
        <v>0</v>
      </c>
      <c r="O564" s="10">
        <v>2990</v>
      </c>
      <c r="P564" s="10">
        <v>3.5</v>
      </c>
      <c r="Q564" s="10" t="s">
        <v>26</v>
      </c>
    </row>
    <row r="565" spans="1:17" x14ac:dyDescent="0.25">
      <c r="A565" s="10" t="s">
        <v>879</v>
      </c>
      <c r="B565" s="10" t="s">
        <v>877</v>
      </c>
      <c r="C565" s="10" t="s">
        <v>19</v>
      </c>
      <c r="D565" s="10" t="s">
        <v>121</v>
      </c>
      <c r="E565" s="10" t="s">
        <v>155</v>
      </c>
      <c r="F565" s="10" t="s">
        <v>31</v>
      </c>
      <c r="G565" s="10" t="s">
        <v>23</v>
      </c>
      <c r="H565" s="10" t="s">
        <v>33</v>
      </c>
      <c r="I565" s="10" t="s">
        <v>34</v>
      </c>
      <c r="J565" s="10">
        <v>5</v>
      </c>
      <c r="K565" s="10">
        <v>979</v>
      </c>
      <c r="L565" s="10">
        <v>4895</v>
      </c>
      <c r="M565" s="10">
        <v>20</v>
      </c>
      <c r="N565" s="10">
        <v>979</v>
      </c>
      <c r="O565" s="10">
        <v>3916</v>
      </c>
      <c r="P565" s="10">
        <v>4.3</v>
      </c>
      <c r="Q565" s="10" t="s">
        <v>75</v>
      </c>
    </row>
    <row r="566" spans="1:17" x14ac:dyDescent="0.25">
      <c r="A566" s="10" t="s">
        <v>880</v>
      </c>
      <c r="B566" s="10" t="s">
        <v>877</v>
      </c>
      <c r="C566" s="10" t="s">
        <v>91</v>
      </c>
      <c r="D566" s="10" t="s">
        <v>110</v>
      </c>
      <c r="E566" s="10" t="s">
        <v>60</v>
      </c>
      <c r="F566" s="10" t="s">
        <v>72</v>
      </c>
      <c r="G566" s="10" t="s">
        <v>23</v>
      </c>
      <c r="H566" s="10" t="s">
        <v>33</v>
      </c>
      <c r="I566" s="10" t="s">
        <v>34</v>
      </c>
      <c r="J566" s="10">
        <v>5</v>
      </c>
      <c r="K566" s="10">
        <v>1452</v>
      </c>
      <c r="L566" s="10">
        <v>7260</v>
      </c>
      <c r="M566" s="10">
        <v>25</v>
      </c>
      <c r="N566" s="10">
        <v>1815</v>
      </c>
      <c r="O566" s="10">
        <v>5445</v>
      </c>
      <c r="P566" s="10">
        <v>4.9000000000000004</v>
      </c>
      <c r="Q566" s="10" t="s">
        <v>26</v>
      </c>
    </row>
    <row r="567" spans="1:17" x14ac:dyDescent="0.25">
      <c r="A567" s="10" t="s">
        <v>881</v>
      </c>
      <c r="B567" s="10" t="s">
        <v>882</v>
      </c>
      <c r="C567" s="10" t="s">
        <v>19</v>
      </c>
      <c r="D567" s="10" t="s">
        <v>128</v>
      </c>
      <c r="E567" s="10" t="s">
        <v>37</v>
      </c>
      <c r="F567" s="10" t="s">
        <v>119</v>
      </c>
      <c r="G567" s="10" t="s">
        <v>23</v>
      </c>
      <c r="H567" s="10" t="s">
        <v>33</v>
      </c>
      <c r="I567" s="10" t="s">
        <v>45</v>
      </c>
      <c r="J567" s="10">
        <v>5</v>
      </c>
      <c r="K567" s="10">
        <v>587</v>
      </c>
      <c r="L567" s="10">
        <v>2935</v>
      </c>
      <c r="M567" s="10">
        <v>15</v>
      </c>
      <c r="N567" s="10">
        <v>440</v>
      </c>
      <c r="O567" s="10">
        <v>2495</v>
      </c>
      <c r="P567" s="10">
        <v>3.7</v>
      </c>
      <c r="Q567" s="10" t="s">
        <v>26</v>
      </c>
    </row>
    <row r="568" spans="1:17" x14ac:dyDescent="0.25">
      <c r="A568" s="10" t="s">
        <v>883</v>
      </c>
      <c r="B568" s="10" t="s">
        <v>882</v>
      </c>
      <c r="C568" s="10" t="s">
        <v>19</v>
      </c>
      <c r="D568" s="10" t="s">
        <v>128</v>
      </c>
      <c r="E568" s="10" t="s">
        <v>155</v>
      </c>
      <c r="F568" s="10" t="s">
        <v>83</v>
      </c>
      <c r="G568" s="10" t="s">
        <v>23</v>
      </c>
      <c r="H568" s="10" t="s">
        <v>33</v>
      </c>
      <c r="I568" s="10" t="s">
        <v>34</v>
      </c>
      <c r="J568" s="10">
        <v>5</v>
      </c>
      <c r="K568" s="10">
        <v>560</v>
      </c>
      <c r="L568" s="10">
        <v>2800</v>
      </c>
      <c r="M568" s="10">
        <v>25</v>
      </c>
      <c r="N568" s="10">
        <v>700</v>
      </c>
      <c r="O568" s="10">
        <v>2100</v>
      </c>
      <c r="P568" s="10">
        <v>5</v>
      </c>
      <c r="Q568" s="10" t="s">
        <v>26</v>
      </c>
    </row>
    <row r="569" spans="1:17" x14ac:dyDescent="0.25">
      <c r="A569" s="10" t="s">
        <v>884</v>
      </c>
      <c r="B569" s="10" t="s">
        <v>885</v>
      </c>
      <c r="C569" s="10" t="s">
        <v>91</v>
      </c>
      <c r="D569" s="10" t="s">
        <v>110</v>
      </c>
      <c r="E569" s="10" t="s">
        <v>155</v>
      </c>
      <c r="F569" s="10" t="s">
        <v>130</v>
      </c>
      <c r="G569" s="10" t="s">
        <v>44</v>
      </c>
      <c r="H569" s="10" t="s">
        <v>24</v>
      </c>
      <c r="I569" s="10" t="s">
        <v>25</v>
      </c>
      <c r="J569" s="10">
        <v>1</v>
      </c>
      <c r="K569" s="10">
        <v>2385</v>
      </c>
      <c r="L569" s="10">
        <v>2385</v>
      </c>
      <c r="M569" s="10">
        <v>5</v>
      </c>
      <c r="N569" s="10">
        <v>119</v>
      </c>
      <c r="O569" s="10">
        <v>2266</v>
      </c>
      <c r="P569" s="10">
        <v>3.6</v>
      </c>
      <c r="Q569" s="10" t="s">
        <v>26</v>
      </c>
    </row>
    <row r="570" spans="1:17" x14ac:dyDescent="0.25">
      <c r="A570" s="10" t="s">
        <v>886</v>
      </c>
      <c r="B570" s="10" t="s">
        <v>885</v>
      </c>
      <c r="C570" s="10" t="s">
        <v>19</v>
      </c>
      <c r="D570" s="10" t="s">
        <v>230</v>
      </c>
      <c r="E570" s="10" t="s">
        <v>21</v>
      </c>
      <c r="F570" s="10" t="s">
        <v>65</v>
      </c>
      <c r="G570" s="10" t="s">
        <v>23</v>
      </c>
      <c r="H570" s="10" t="s">
        <v>24</v>
      </c>
      <c r="I570" s="10" t="s">
        <v>98</v>
      </c>
      <c r="J570" s="10">
        <v>2</v>
      </c>
      <c r="K570" s="10">
        <v>651</v>
      </c>
      <c r="L570" s="10">
        <v>1302</v>
      </c>
      <c r="M570" s="10">
        <v>15</v>
      </c>
      <c r="N570" s="10">
        <v>195</v>
      </c>
      <c r="O570" s="10">
        <v>1107</v>
      </c>
      <c r="P570" s="10">
        <v>4.3</v>
      </c>
      <c r="Q570" s="10" t="s">
        <v>26</v>
      </c>
    </row>
    <row r="571" spans="1:17" x14ac:dyDescent="0.25">
      <c r="A571" s="10" t="s">
        <v>887</v>
      </c>
      <c r="B571" s="10" t="s">
        <v>888</v>
      </c>
      <c r="C571" s="10" t="s">
        <v>63</v>
      </c>
      <c r="D571" s="10" t="s">
        <v>134</v>
      </c>
      <c r="E571" s="10" t="s">
        <v>71</v>
      </c>
      <c r="F571" s="10" t="s">
        <v>65</v>
      </c>
      <c r="G571" s="10" t="s">
        <v>32</v>
      </c>
      <c r="H571" s="10" t="s">
        <v>104</v>
      </c>
      <c r="I571" s="10" t="s">
        <v>84</v>
      </c>
      <c r="J571" s="10">
        <v>3</v>
      </c>
      <c r="K571" s="10">
        <v>1467</v>
      </c>
      <c r="L571" s="10">
        <v>4401</v>
      </c>
      <c r="M571" s="10">
        <v>0</v>
      </c>
      <c r="N571" s="10">
        <v>0</v>
      </c>
      <c r="O571" s="10">
        <v>4401</v>
      </c>
      <c r="P571" s="10">
        <v>5</v>
      </c>
      <c r="Q571" s="10" t="s">
        <v>26</v>
      </c>
    </row>
    <row r="572" spans="1:17" x14ac:dyDescent="0.25">
      <c r="A572" s="10" t="s">
        <v>889</v>
      </c>
      <c r="B572" s="10" t="s">
        <v>888</v>
      </c>
      <c r="C572" s="10" t="s">
        <v>51</v>
      </c>
      <c r="D572" s="10" t="s">
        <v>70</v>
      </c>
      <c r="E572" s="10" t="s">
        <v>82</v>
      </c>
      <c r="F572" s="10" t="s">
        <v>130</v>
      </c>
      <c r="G572" s="10" t="s">
        <v>23</v>
      </c>
      <c r="H572" s="10" t="s">
        <v>33</v>
      </c>
      <c r="I572" s="10" t="s">
        <v>25</v>
      </c>
      <c r="J572" s="10">
        <v>1</v>
      </c>
      <c r="K572" s="10">
        <v>646</v>
      </c>
      <c r="L572" s="10">
        <v>646</v>
      </c>
      <c r="M572" s="10">
        <v>15</v>
      </c>
      <c r="N572" s="10">
        <v>97</v>
      </c>
      <c r="O572" s="10">
        <v>549</v>
      </c>
      <c r="P572" s="10">
        <v>3.4</v>
      </c>
      <c r="Q572" s="10" t="s">
        <v>26</v>
      </c>
    </row>
    <row r="573" spans="1:17" x14ac:dyDescent="0.25">
      <c r="A573" s="10" t="s">
        <v>890</v>
      </c>
      <c r="B573" s="10" t="s">
        <v>888</v>
      </c>
      <c r="C573" s="10" t="s">
        <v>51</v>
      </c>
      <c r="D573" s="10" t="s">
        <v>70</v>
      </c>
      <c r="E573" s="10" t="s">
        <v>21</v>
      </c>
      <c r="F573" s="10" t="s">
        <v>31</v>
      </c>
      <c r="G573" s="10" t="s">
        <v>23</v>
      </c>
      <c r="H573" s="10" t="s">
        <v>24</v>
      </c>
      <c r="I573" s="10" t="s">
        <v>98</v>
      </c>
      <c r="J573" s="10">
        <v>2</v>
      </c>
      <c r="K573" s="10">
        <v>710</v>
      </c>
      <c r="L573" s="10">
        <v>1420</v>
      </c>
      <c r="M573" s="10">
        <v>10</v>
      </c>
      <c r="N573" s="10">
        <v>142</v>
      </c>
      <c r="O573" s="10">
        <v>1278</v>
      </c>
      <c r="P573" s="10">
        <v>4.4000000000000004</v>
      </c>
      <c r="Q573" s="10" t="s">
        <v>26</v>
      </c>
    </row>
    <row r="574" spans="1:17" x14ac:dyDescent="0.25">
      <c r="A574" s="10" t="s">
        <v>891</v>
      </c>
      <c r="B574" s="10" t="s">
        <v>892</v>
      </c>
      <c r="C574" s="10" t="s">
        <v>91</v>
      </c>
      <c r="D574" s="10" t="s">
        <v>92</v>
      </c>
      <c r="E574" s="10" t="s">
        <v>101</v>
      </c>
      <c r="F574" s="10" t="s">
        <v>83</v>
      </c>
      <c r="G574" s="10" t="s">
        <v>23</v>
      </c>
      <c r="H574" s="10" t="s">
        <v>33</v>
      </c>
      <c r="I574" s="10" t="s">
        <v>98</v>
      </c>
      <c r="J574" s="10">
        <v>4</v>
      </c>
      <c r="K574" s="10">
        <v>785</v>
      </c>
      <c r="L574" s="10">
        <v>3140</v>
      </c>
      <c r="M574" s="10">
        <v>20</v>
      </c>
      <c r="N574" s="10">
        <v>628</v>
      </c>
      <c r="O574" s="10">
        <v>2512</v>
      </c>
      <c r="P574" s="10">
        <v>4</v>
      </c>
      <c r="Q574" s="10" t="s">
        <v>26</v>
      </c>
    </row>
    <row r="575" spans="1:17" x14ac:dyDescent="0.25">
      <c r="A575" s="10" t="s">
        <v>893</v>
      </c>
      <c r="B575" s="10" t="s">
        <v>892</v>
      </c>
      <c r="C575" s="10" t="s">
        <v>28</v>
      </c>
      <c r="D575" s="10" t="s">
        <v>29</v>
      </c>
      <c r="E575" s="10" t="s">
        <v>82</v>
      </c>
      <c r="F575" s="10" t="s">
        <v>119</v>
      </c>
      <c r="G575" s="10" t="s">
        <v>23</v>
      </c>
      <c r="H575" s="10" t="s">
        <v>33</v>
      </c>
      <c r="I575" s="10" t="s">
        <v>98</v>
      </c>
      <c r="J575" s="10">
        <v>5</v>
      </c>
      <c r="K575" s="10">
        <v>375</v>
      </c>
      <c r="L575" s="10">
        <v>1875</v>
      </c>
      <c r="M575" s="10">
        <v>20</v>
      </c>
      <c r="N575" s="10">
        <v>375</v>
      </c>
      <c r="O575" s="10">
        <v>1500</v>
      </c>
      <c r="P575" s="10">
        <v>3.5</v>
      </c>
      <c r="Q575" s="10" t="s">
        <v>26</v>
      </c>
    </row>
    <row r="576" spans="1:17" x14ac:dyDescent="0.25">
      <c r="A576" s="10" t="s">
        <v>894</v>
      </c>
      <c r="B576" s="10" t="s">
        <v>895</v>
      </c>
      <c r="C576" s="10" t="s">
        <v>19</v>
      </c>
      <c r="D576" s="10" t="s">
        <v>121</v>
      </c>
      <c r="E576" s="10" t="s">
        <v>101</v>
      </c>
      <c r="F576" s="10" t="s">
        <v>43</v>
      </c>
      <c r="G576" s="10" t="s">
        <v>23</v>
      </c>
      <c r="H576" s="10" t="s">
        <v>24</v>
      </c>
      <c r="I576" s="10" t="s">
        <v>34</v>
      </c>
      <c r="J576" s="10">
        <v>2</v>
      </c>
      <c r="K576" s="10">
        <v>458</v>
      </c>
      <c r="L576" s="10">
        <v>916</v>
      </c>
      <c r="M576" s="10">
        <v>25</v>
      </c>
      <c r="N576" s="10">
        <v>229</v>
      </c>
      <c r="O576" s="10">
        <v>687</v>
      </c>
      <c r="P576" s="10">
        <v>3.9</v>
      </c>
      <c r="Q576" s="10" t="s">
        <v>26</v>
      </c>
    </row>
    <row r="577" spans="1:17" x14ac:dyDescent="0.25">
      <c r="A577" s="10" t="s">
        <v>896</v>
      </c>
      <c r="B577" s="10" t="s">
        <v>897</v>
      </c>
      <c r="C577" s="10" t="s">
        <v>28</v>
      </c>
      <c r="D577" s="10" t="s">
        <v>95</v>
      </c>
      <c r="E577" s="10" t="s">
        <v>155</v>
      </c>
      <c r="F577" s="10" t="s">
        <v>22</v>
      </c>
      <c r="G577" s="10" t="s">
        <v>23</v>
      </c>
      <c r="H577" s="10" t="s">
        <v>33</v>
      </c>
      <c r="I577" s="10" t="s">
        <v>34</v>
      </c>
      <c r="J577" s="10">
        <v>2</v>
      </c>
      <c r="K577" s="10">
        <v>595</v>
      </c>
      <c r="L577" s="10">
        <v>1190</v>
      </c>
      <c r="M577" s="10">
        <v>0</v>
      </c>
      <c r="N577" s="10">
        <v>0</v>
      </c>
      <c r="O577" s="10">
        <v>1190</v>
      </c>
      <c r="P577" s="10">
        <v>4.8</v>
      </c>
      <c r="Q577" s="10" t="s">
        <v>26</v>
      </c>
    </row>
    <row r="578" spans="1:17" x14ac:dyDescent="0.25">
      <c r="A578" s="10" t="s">
        <v>898</v>
      </c>
      <c r="B578" s="10" t="s">
        <v>897</v>
      </c>
      <c r="C578" s="10" t="s">
        <v>40</v>
      </c>
      <c r="D578" s="10" t="s">
        <v>41</v>
      </c>
      <c r="E578" s="10" t="s">
        <v>42</v>
      </c>
      <c r="F578" s="10" t="s">
        <v>43</v>
      </c>
      <c r="G578" s="10" t="s">
        <v>23</v>
      </c>
      <c r="H578" s="10" t="s">
        <v>24</v>
      </c>
      <c r="I578" s="10" t="s">
        <v>45</v>
      </c>
      <c r="J578" s="10">
        <v>4</v>
      </c>
      <c r="K578" s="10">
        <v>1261</v>
      </c>
      <c r="L578" s="10">
        <v>5044</v>
      </c>
      <c r="M578" s="10">
        <v>15</v>
      </c>
      <c r="N578" s="10">
        <v>757</v>
      </c>
      <c r="O578" s="10">
        <v>4287</v>
      </c>
      <c r="P578" s="10">
        <v>3.4</v>
      </c>
      <c r="Q578" s="10" t="s">
        <v>26</v>
      </c>
    </row>
    <row r="579" spans="1:17" x14ac:dyDescent="0.25">
      <c r="A579" s="10" t="s">
        <v>899</v>
      </c>
      <c r="B579" s="10" t="s">
        <v>900</v>
      </c>
      <c r="C579" s="10" t="s">
        <v>51</v>
      </c>
      <c r="D579" s="10" t="s">
        <v>70</v>
      </c>
      <c r="E579" s="10" t="s">
        <v>82</v>
      </c>
      <c r="F579" s="10" t="s">
        <v>79</v>
      </c>
      <c r="G579" s="10" t="s">
        <v>23</v>
      </c>
      <c r="H579" s="10" t="s">
        <v>104</v>
      </c>
      <c r="I579" s="10" t="s">
        <v>45</v>
      </c>
      <c r="J579" s="10">
        <v>5</v>
      </c>
      <c r="K579" s="10">
        <v>741</v>
      </c>
      <c r="L579" s="10">
        <v>3705</v>
      </c>
      <c r="M579" s="10">
        <v>0</v>
      </c>
      <c r="N579" s="10">
        <v>0</v>
      </c>
      <c r="O579" s="10">
        <v>3705</v>
      </c>
      <c r="P579" s="10">
        <v>4.7</v>
      </c>
      <c r="Q579" s="10" t="s">
        <v>26</v>
      </c>
    </row>
    <row r="580" spans="1:17" x14ac:dyDescent="0.25">
      <c r="A580" s="10" t="s">
        <v>901</v>
      </c>
      <c r="B580" s="10" t="s">
        <v>902</v>
      </c>
      <c r="C580" s="10" t="s">
        <v>28</v>
      </c>
      <c r="D580" s="10" t="s">
        <v>95</v>
      </c>
      <c r="E580" s="10" t="s">
        <v>60</v>
      </c>
      <c r="F580" s="10" t="s">
        <v>79</v>
      </c>
      <c r="G580" s="10" t="s">
        <v>32</v>
      </c>
      <c r="H580" s="10" t="s">
        <v>33</v>
      </c>
      <c r="I580" s="10" t="s">
        <v>84</v>
      </c>
      <c r="J580" s="10">
        <v>2</v>
      </c>
      <c r="K580" s="10">
        <v>562</v>
      </c>
      <c r="L580" s="10">
        <v>1124</v>
      </c>
      <c r="M580" s="10">
        <v>15</v>
      </c>
      <c r="N580" s="10">
        <v>169</v>
      </c>
      <c r="O580" s="10">
        <v>955</v>
      </c>
      <c r="P580" s="10">
        <v>4.2</v>
      </c>
      <c r="Q580" s="10" t="s">
        <v>26</v>
      </c>
    </row>
    <row r="581" spans="1:17" x14ac:dyDescent="0.25">
      <c r="A581" s="10" t="s">
        <v>903</v>
      </c>
      <c r="B581" s="10" t="s">
        <v>902</v>
      </c>
      <c r="C581" s="10" t="s">
        <v>51</v>
      </c>
      <c r="D581" s="10" t="s">
        <v>70</v>
      </c>
      <c r="E581" s="10" t="s">
        <v>155</v>
      </c>
      <c r="F581" s="10" t="s">
        <v>83</v>
      </c>
      <c r="G581" s="10" t="s">
        <v>23</v>
      </c>
      <c r="H581" s="10" t="s">
        <v>33</v>
      </c>
      <c r="I581" s="10" t="s">
        <v>34</v>
      </c>
      <c r="J581" s="10">
        <v>3</v>
      </c>
      <c r="K581" s="10">
        <v>748</v>
      </c>
      <c r="L581" s="10">
        <v>2244</v>
      </c>
      <c r="M581" s="10">
        <v>5</v>
      </c>
      <c r="N581" s="10">
        <v>112</v>
      </c>
      <c r="O581" s="10">
        <v>2132</v>
      </c>
      <c r="P581" s="10">
        <v>5</v>
      </c>
      <c r="Q581" s="10" t="s">
        <v>26</v>
      </c>
    </row>
    <row r="582" spans="1:17" x14ac:dyDescent="0.25">
      <c r="A582" s="10" t="s">
        <v>904</v>
      </c>
      <c r="B582" s="10" t="s">
        <v>902</v>
      </c>
      <c r="C582" s="10" t="s">
        <v>19</v>
      </c>
      <c r="D582" s="10" t="s">
        <v>121</v>
      </c>
      <c r="E582" s="10" t="s">
        <v>53</v>
      </c>
      <c r="F582" s="10" t="s">
        <v>83</v>
      </c>
      <c r="G582" s="10" t="s">
        <v>32</v>
      </c>
      <c r="H582" s="10" t="s">
        <v>24</v>
      </c>
      <c r="I582" s="10" t="s">
        <v>25</v>
      </c>
      <c r="J582" s="10">
        <v>2</v>
      </c>
      <c r="K582" s="10">
        <v>206</v>
      </c>
      <c r="L582" s="10">
        <v>412</v>
      </c>
      <c r="M582" s="10">
        <v>0</v>
      </c>
      <c r="N582" s="10">
        <v>0</v>
      </c>
      <c r="O582" s="10">
        <v>412</v>
      </c>
      <c r="P582" s="10">
        <v>4.7</v>
      </c>
      <c r="Q582" s="10" t="s">
        <v>26</v>
      </c>
    </row>
    <row r="583" spans="1:17" x14ac:dyDescent="0.25">
      <c r="A583" s="10" t="s">
        <v>905</v>
      </c>
      <c r="B583" s="10" t="s">
        <v>906</v>
      </c>
      <c r="C583" s="10" t="s">
        <v>28</v>
      </c>
      <c r="D583" s="10" t="s">
        <v>29</v>
      </c>
      <c r="E583" s="10" t="s">
        <v>48</v>
      </c>
      <c r="F583" s="10" t="s">
        <v>61</v>
      </c>
      <c r="G583" s="10" t="s">
        <v>23</v>
      </c>
      <c r="H583" s="10" t="s">
        <v>33</v>
      </c>
      <c r="I583" s="10" t="s">
        <v>98</v>
      </c>
      <c r="J583" s="10">
        <v>3</v>
      </c>
      <c r="K583" s="10">
        <v>917</v>
      </c>
      <c r="L583" s="10">
        <v>2751</v>
      </c>
      <c r="M583" s="10">
        <v>5</v>
      </c>
      <c r="N583" s="10">
        <v>138</v>
      </c>
      <c r="O583" s="10">
        <v>2613</v>
      </c>
      <c r="P583" s="10">
        <v>3.2</v>
      </c>
      <c r="Q583" s="10" t="s">
        <v>75</v>
      </c>
    </row>
    <row r="584" spans="1:17" x14ac:dyDescent="0.25">
      <c r="A584" s="10" t="s">
        <v>907</v>
      </c>
      <c r="B584" s="10" t="s">
        <v>908</v>
      </c>
      <c r="C584" s="10" t="s">
        <v>63</v>
      </c>
      <c r="D584" s="10" t="s">
        <v>134</v>
      </c>
      <c r="E584" s="10" t="s">
        <v>71</v>
      </c>
      <c r="F584" s="10" t="s">
        <v>43</v>
      </c>
      <c r="G584" s="10" t="s">
        <v>32</v>
      </c>
      <c r="H584" s="10" t="s">
        <v>33</v>
      </c>
      <c r="I584" s="10" t="s">
        <v>98</v>
      </c>
      <c r="J584" s="10">
        <v>3</v>
      </c>
      <c r="K584" s="10">
        <v>1815</v>
      </c>
      <c r="L584" s="10">
        <v>5445</v>
      </c>
      <c r="M584" s="10">
        <v>25</v>
      </c>
      <c r="N584" s="10">
        <v>1361</v>
      </c>
      <c r="O584" s="10">
        <v>4084</v>
      </c>
      <c r="P584" s="10">
        <v>4.4000000000000004</v>
      </c>
      <c r="Q584" s="10" t="s">
        <v>26</v>
      </c>
    </row>
    <row r="585" spans="1:17" x14ac:dyDescent="0.25">
      <c r="A585" s="10" t="s">
        <v>909</v>
      </c>
      <c r="B585" s="10" t="s">
        <v>908</v>
      </c>
      <c r="C585" s="10" t="s">
        <v>51</v>
      </c>
      <c r="D585" s="10" t="s">
        <v>70</v>
      </c>
      <c r="E585" s="10" t="s">
        <v>37</v>
      </c>
      <c r="F585" s="10" t="s">
        <v>83</v>
      </c>
      <c r="G585" s="10" t="s">
        <v>44</v>
      </c>
      <c r="H585" s="10" t="s">
        <v>24</v>
      </c>
      <c r="I585" s="10" t="s">
        <v>84</v>
      </c>
      <c r="J585" s="10">
        <v>4</v>
      </c>
      <c r="K585" s="10">
        <v>583</v>
      </c>
      <c r="L585" s="10">
        <v>2332</v>
      </c>
      <c r="M585" s="10">
        <v>20</v>
      </c>
      <c r="N585" s="10">
        <v>466</v>
      </c>
      <c r="O585" s="10">
        <v>1866</v>
      </c>
      <c r="P585" s="10">
        <v>4.3</v>
      </c>
      <c r="Q585" s="10" t="s">
        <v>75</v>
      </c>
    </row>
    <row r="586" spans="1:17" x14ac:dyDescent="0.25">
      <c r="A586" s="10" t="s">
        <v>910</v>
      </c>
      <c r="B586" s="10" t="s">
        <v>911</v>
      </c>
      <c r="C586" s="10" t="s">
        <v>28</v>
      </c>
      <c r="D586" s="10" t="s">
        <v>77</v>
      </c>
      <c r="E586" s="10" t="s">
        <v>37</v>
      </c>
      <c r="F586" s="10" t="s">
        <v>43</v>
      </c>
      <c r="G586" s="10" t="s">
        <v>44</v>
      </c>
      <c r="H586" s="10" t="s">
        <v>33</v>
      </c>
      <c r="I586" s="10" t="s">
        <v>84</v>
      </c>
      <c r="J586" s="10">
        <v>4</v>
      </c>
      <c r="K586" s="10">
        <v>466</v>
      </c>
      <c r="L586" s="10">
        <v>1864</v>
      </c>
      <c r="M586" s="10">
        <v>5</v>
      </c>
      <c r="N586" s="10">
        <v>93</v>
      </c>
      <c r="O586" s="10">
        <v>1771</v>
      </c>
      <c r="P586" s="10">
        <v>3.8</v>
      </c>
      <c r="Q586" s="10" t="s">
        <v>26</v>
      </c>
    </row>
    <row r="587" spans="1:17" x14ac:dyDescent="0.25">
      <c r="A587" s="10" t="s">
        <v>912</v>
      </c>
      <c r="B587" s="10" t="s">
        <v>911</v>
      </c>
      <c r="C587" s="10" t="s">
        <v>51</v>
      </c>
      <c r="D587" s="10" t="s">
        <v>97</v>
      </c>
      <c r="E587" s="10" t="s">
        <v>37</v>
      </c>
      <c r="F587" s="10" t="s">
        <v>83</v>
      </c>
      <c r="G587" s="10" t="s">
        <v>32</v>
      </c>
      <c r="H587" s="10" t="s">
        <v>33</v>
      </c>
      <c r="I587" s="10" t="s">
        <v>45</v>
      </c>
      <c r="J587" s="10">
        <v>2</v>
      </c>
      <c r="K587" s="10">
        <v>441</v>
      </c>
      <c r="L587" s="10">
        <v>882</v>
      </c>
      <c r="M587" s="10">
        <v>10</v>
      </c>
      <c r="N587" s="10">
        <v>88</v>
      </c>
      <c r="O587" s="10">
        <v>794</v>
      </c>
      <c r="P587" s="10">
        <v>4.7</v>
      </c>
      <c r="Q587" s="10" t="s">
        <v>26</v>
      </c>
    </row>
    <row r="588" spans="1:17" x14ac:dyDescent="0.25">
      <c r="A588" s="10" t="s">
        <v>913</v>
      </c>
      <c r="B588" s="10" t="s">
        <v>911</v>
      </c>
      <c r="C588" s="10" t="s">
        <v>63</v>
      </c>
      <c r="D588" s="10" t="s">
        <v>64</v>
      </c>
      <c r="E588" s="10" t="s">
        <v>60</v>
      </c>
      <c r="F588" s="10" t="s">
        <v>72</v>
      </c>
      <c r="G588" s="10" t="s">
        <v>32</v>
      </c>
      <c r="H588" s="10" t="s">
        <v>24</v>
      </c>
      <c r="I588" s="10" t="s">
        <v>98</v>
      </c>
      <c r="J588" s="10">
        <v>5</v>
      </c>
      <c r="K588" s="10">
        <v>1610</v>
      </c>
      <c r="L588" s="10">
        <v>8050</v>
      </c>
      <c r="M588" s="10">
        <v>0</v>
      </c>
      <c r="N588" s="10">
        <v>0</v>
      </c>
      <c r="O588" s="10">
        <v>8050</v>
      </c>
      <c r="P588" s="10">
        <v>4.9000000000000004</v>
      </c>
      <c r="Q588" s="10" t="s">
        <v>26</v>
      </c>
    </row>
    <row r="589" spans="1:17" x14ac:dyDescent="0.25">
      <c r="A589" s="10" t="s">
        <v>914</v>
      </c>
      <c r="B589" s="10" t="s">
        <v>911</v>
      </c>
      <c r="C589" s="10" t="s">
        <v>51</v>
      </c>
      <c r="D589" s="10" t="s">
        <v>97</v>
      </c>
      <c r="E589" s="10" t="s">
        <v>78</v>
      </c>
      <c r="F589" s="10" t="s">
        <v>130</v>
      </c>
      <c r="G589" s="10" t="s">
        <v>23</v>
      </c>
      <c r="H589" s="10" t="s">
        <v>24</v>
      </c>
      <c r="I589" s="10" t="s">
        <v>25</v>
      </c>
      <c r="J589" s="10">
        <v>2</v>
      </c>
      <c r="K589" s="10">
        <v>741</v>
      </c>
      <c r="L589" s="10">
        <v>1482</v>
      </c>
      <c r="M589" s="10">
        <v>5</v>
      </c>
      <c r="N589" s="10">
        <v>74</v>
      </c>
      <c r="O589" s="10">
        <v>1408</v>
      </c>
      <c r="P589" s="10">
        <v>4.5</v>
      </c>
      <c r="Q589" s="10" t="s">
        <v>26</v>
      </c>
    </row>
    <row r="590" spans="1:17" x14ac:dyDescent="0.25">
      <c r="A590" s="10" t="s">
        <v>915</v>
      </c>
      <c r="B590" s="10" t="s">
        <v>911</v>
      </c>
      <c r="C590" s="10" t="s">
        <v>63</v>
      </c>
      <c r="D590" s="10" t="s">
        <v>143</v>
      </c>
      <c r="E590" s="10" t="s">
        <v>71</v>
      </c>
      <c r="F590" s="10" t="s">
        <v>83</v>
      </c>
      <c r="G590" s="10" t="s">
        <v>32</v>
      </c>
      <c r="H590" s="10" t="s">
        <v>33</v>
      </c>
      <c r="I590" s="10" t="s">
        <v>34</v>
      </c>
      <c r="J590" s="10">
        <v>3</v>
      </c>
      <c r="K590" s="10">
        <v>2132</v>
      </c>
      <c r="L590" s="10">
        <v>6396</v>
      </c>
      <c r="M590" s="10">
        <v>30</v>
      </c>
      <c r="N590" s="10">
        <v>1919</v>
      </c>
      <c r="O590" s="10">
        <v>4477</v>
      </c>
      <c r="P590" s="10">
        <v>3.6</v>
      </c>
      <c r="Q590" s="10" t="s">
        <v>26</v>
      </c>
    </row>
    <row r="591" spans="1:17" x14ac:dyDescent="0.25">
      <c r="A591" s="10" t="s">
        <v>916</v>
      </c>
      <c r="B591" s="10" t="s">
        <v>917</v>
      </c>
      <c r="C591" s="10" t="s">
        <v>28</v>
      </c>
      <c r="D591" s="10" t="s">
        <v>29</v>
      </c>
      <c r="E591" s="10" t="s">
        <v>60</v>
      </c>
      <c r="F591" s="10" t="s">
        <v>79</v>
      </c>
      <c r="G591" s="10" t="s">
        <v>23</v>
      </c>
      <c r="H591" s="10" t="s">
        <v>104</v>
      </c>
      <c r="I591" s="10" t="s">
        <v>25</v>
      </c>
      <c r="J591" s="10">
        <v>5</v>
      </c>
      <c r="K591" s="10">
        <v>1043</v>
      </c>
      <c r="L591" s="10">
        <v>5215</v>
      </c>
      <c r="M591" s="10">
        <v>5</v>
      </c>
      <c r="N591" s="10">
        <v>261</v>
      </c>
      <c r="O591" s="10">
        <v>4954</v>
      </c>
      <c r="P591" s="10">
        <v>3.9</v>
      </c>
      <c r="Q591" s="10" t="s">
        <v>26</v>
      </c>
    </row>
    <row r="592" spans="1:17" x14ac:dyDescent="0.25">
      <c r="A592" s="10" t="s">
        <v>918</v>
      </c>
      <c r="B592" s="10" t="s">
        <v>917</v>
      </c>
      <c r="C592" s="10" t="s">
        <v>40</v>
      </c>
      <c r="D592" s="10" t="s">
        <v>68</v>
      </c>
      <c r="E592" s="10" t="s">
        <v>82</v>
      </c>
      <c r="F592" s="10" t="s">
        <v>83</v>
      </c>
      <c r="G592" s="10" t="s">
        <v>32</v>
      </c>
      <c r="H592" s="10" t="s">
        <v>33</v>
      </c>
      <c r="I592" s="10" t="s">
        <v>98</v>
      </c>
      <c r="J592" s="10">
        <v>3</v>
      </c>
      <c r="K592" s="10">
        <v>760</v>
      </c>
      <c r="L592" s="10">
        <v>2280</v>
      </c>
      <c r="M592" s="10">
        <v>25</v>
      </c>
      <c r="N592" s="10">
        <v>570</v>
      </c>
      <c r="O592" s="10">
        <v>1710</v>
      </c>
      <c r="P592" s="10">
        <v>3.5</v>
      </c>
      <c r="Q592" s="10" t="s">
        <v>75</v>
      </c>
    </row>
    <row r="593" spans="1:17" x14ac:dyDescent="0.25">
      <c r="A593" s="10" t="s">
        <v>919</v>
      </c>
      <c r="B593" s="10" t="s">
        <v>920</v>
      </c>
      <c r="C593" s="10" t="s">
        <v>51</v>
      </c>
      <c r="D593" s="10" t="s">
        <v>70</v>
      </c>
      <c r="E593" s="10" t="s">
        <v>30</v>
      </c>
      <c r="F593" s="10" t="s">
        <v>79</v>
      </c>
      <c r="G593" s="10" t="s">
        <v>23</v>
      </c>
      <c r="H593" s="10" t="s">
        <v>104</v>
      </c>
      <c r="I593" s="10" t="s">
        <v>34</v>
      </c>
      <c r="J593" s="10">
        <v>2</v>
      </c>
      <c r="K593" s="10">
        <v>435</v>
      </c>
      <c r="L593" s="10">
        <v>870</v>
      </c>
      <c r="M593" s="10">
        <v>15</v>
      </c>
      <c r="N593" s="10">
        <v>130</v>
      </c>
      <c r="O593" s="10">
        <v>740</v>
      </c>
      <c r="P593" s="10">
        <v>4</v>
      </c>
      <c r="Q593" s="10" t="s">
        <v>26</v>
      </c>
    </row>
    <row r="594" spans="1:17" x14ac:dyDescent="0.25">
      <c r="A594" s="10" t="s">
        <v>921</v>
      </c>
      <c r="B594" s="10" t="s">
        <v>920</v>
      </c>
      <c r="C594" s="10" t="s">
        <v>51</v>
      </c>
      <c r="D594" s="10" t="s">
        <v>97</v>
      </c>
      <c r="E594" s="10" t="s">
        <v>82</v>
      </c>
      <c r="F594" s="10" t="s">
        <v>61</v>
      </c>
      <c r="G594" s="10" t="s">
        <v>23</v>
      </c>
      <c r="H594" s="10" t="s">
        <v>24</v>
      </c>
      <c r="I594" s="10" t="s">
        <v>45</v>
      </c>
      <c r="J594" s="10">
        <v>1</v>
      </c>
      <c r="K594" s="10">
        <v>240</v>
      </c>
      <c r="L594" s="10">
        <v>240</v>
      </c>
      <c r="M594" s="10">
        <v>20</v>
      </c>
      <c r="N594" s="10">
        <v>48</v>
      </c>
      <c r="O594" s="10">
        <v>192</v>
      </c>
      <c r="P594" s="10">
        <v>3.4</v>
      </c>
      <c r="Q594" s="10" t="s">
        <v>26</v>
      </c>
    </row>
    <row r="595" spans="1:17" x14ac:dyDescent="0.25">
      <c r="A595" s="10" t="s">
        <v>922</v>
      </c>
      <c r="B595" s="10" t="s">
        <v>923</v>
      </c>
      <c r="C595" s="10" t="s">
        <v>40</v>
      </c>
      <c r="D595" s="10" t="s">
        <v>47</v>
      </c>
      <c r="E595" s="10" t="s">
        <v>30</v>
      </c>
      <c r="F595" s="10" t="s">
        <v>130</v>
      </c>
      <c r="G595" s="10" t="s">
        <v>32</v>
      </c>
      <c r="H595" s="10" t="s">
        <v>104</v>
      </c>
      <c r="I595" s="10" t="s">
        <v>98</v>
      </c>
      <c r="J595" s="10">
        <v>4</v>
      </c>
      <c r="K595" s="10">
        <v>1073</v>
      </c>
      <c r="L595" s="10">
        <v>4292</v>
      </c>
      <c r="M595" s="10">
        <v>0</v>
      </c>
      <c r="N595" s="10">
        <v>0</v>
      </c>
      <c r="O595" s="10">
        <v>4292</v>
      </c>
      <c r="P595" s="10">
        <v>3.7</v>
      </c>
      <c r="Q595" s="10" t="s">
        <v>26</v>
      </c>
    </row>
    <row r="596" spans="1:17" x14ac:dyDescent="0.25">
      <c r="A596" s="10" t="s">
        <v>924</v>
      </c>
      <c r="B596" s="10" t="s">
        <v>923</v>
      </c>
      <c r="C596" s="10" t="s">
        <v>51</v>
      </c>
      <c r="D596" s="10" t="s">
        <v>70</v>
      </c>
      <c r="E596" s="10" t="s">
        <v>155</v>
      </c>
      <c r="F596" s="10" t="s">
        <v>31</v>
      </c>
      <c r="G596" s="10" t="s">
        <v>23</v>
      </c>
      <c r="H596" s="10" t="s">
        <v>33</v>
      </c>
      <c r="I596" s="10" t="s">
        <v>34</v>
      </c>
      <c r="J596" s="10">
        <v>5</v>
      </c>
      <c r="K596" s="10">
        <v>468</v>
      </c>
      <c r="L596" s="10">
        <v>2340</v>
      </c>
      <c r="M596" s="10">
        <v>30</v>
      </c>
      <c r="N596" s="10">
        <v>702</v>
      </c>
      <c r="O596" s="10">
        <v>1638</v>
      </c>
      <c r="P596" s="10">
        <v>4.7</v>
      </c>
      <c r="Q596" s="10" t="s">
        <v>26</v>
      </c>
    </row>
    <row r="597" spans="1:17" x14ac:dyDescent="0.25">
      <c r="A597" s="10" t="s">
        <v>925</v>
      </c>
      <c r="B597" s="10" t="s">
        <v>926</v>
      </c>
      <c r="C597" s="10" t="s">
        <v>63</v>
      </c>
      <c r="D597" s="10" t="s">
        <v>134</v>
      </c>
      <c r="E597" s="10" t="s">
        <v>71</v>
      </c>
      <c r="F597" s="10" t="s">
        <v>22</v>
      </c>
      <c r="G597" s="10" t="s">
        <v>32</v>
      </c>
      <c r="H597" s="10" t="s">
        <v>33</v>
      </c>
      <c r="I597" s="10" t="s">
        <v>98</v>
      </c>
      <c r="J597" s="10">
        <v>2</v>
      </c>
      <c r="K597" s="10">
        <v>652</v>
      </c>
      <c r="L597" s="10">
        <v>1304</v>
      </c>
      <c r="M597" s="10">
        <v>30</v>
      </c>
      <c r="N597" s="10">
        <v>391</v>
      </c>
      <c r="O597" s="10">
        <v>913</v>
      </c>
      <c r="P597" s="10">
        <v>4</v>
      </c>
      <c r="Q597" s="10" t="s">
        <v>75</v>
      </c>
    </row>
    <row r="598" spans="1:17" x14ac:dyDescent="0.25">
      <c r="A598" s="10" t="s">
        <v>927</v>
      </c>
      <c r="B598" s="10" t="s">
        <v>928</v>
      </c>
      <c r="C598" s="10" t="s">
        <v>51</v>
      </c>
      <c r="D598" s="10" t="s">
        <v>97</v>
      </c>
      <c r="E598" s="10" t="s">
        <v>42</v>
      </c>
      <c r="F598" s="10" t="s">
        <v>22</v>
      </c>
      <c r="G598" s="10" t="s">
        <v>23</v>
      </c>
      <c r="H598" s="10" t="s">
        <v>24</v>
      </c>
      <c r="I598" s="10" t="s">
        <v>98</v>
      </c>
      <c r="J598" s="10">
        <v>4</v>
      </c>
      <c r="K598" s="10">
        <v>225</v>
      </c>
      <c r="L598" s="10">
        <v>900</v>
      </c>
      <c r="M598" s="10">
        <v>5</v>
      </c>
      <c r="N598" s="10">
        <v>45</v>
      </c>
      <c r="O598" s="10">
        <v>855</v>
      </c>
      <c r="P598" s="10">
        <v>4.5</v>
      </c>
      <c r="Q598" s="10" t="s">
        <v>26</v>
      </c>
    </row>
    <row r="599" spans="1:17" x14ac:dyDescent="0.25">
      <c r="A599" s="10" t="s">
        <v>929</v>
      </c>
      <c r="B599" s="10" t="s">
        <v>930</v>
      </c>
      <c r="C599" s="10" t="s">
        <v>91</v>
      </c>
      <c r="D599" s="10" t="s">
        <v>110</v>
      </c>
      <c r="E599" s="10" t="s">
        <v>53</v>
      </c>
      <c r="F599" s="10" t="s">
        <v>65</v>
      </c>
      <c r="G599" s="10" t="s">
        <v>32</v>
      </c>
      <c r="H599" s="10" t="s">
        <v>33</v>
      </c>
      <c r="I599" s="10" t="s">
        <v>45</v>
      </c>
      <c r="J599" s="10">
        <v>3</v>
      </c>
      <c r="K599" s="10">
        <v>1003</v>
      </c>
      <c r="L599" s="10">
        <v>3009</v>
      </c>
      <c r="M599" s="10">
        <v>5</v>
      </c>
      <c r="N599" s="10">
        <v>150</v>
      </c>
      <c r="O599" s="10">
        <v>2859</v>
      </c>
      <c r="P599" s="10">
        <v>4</v>
      </c>
      <c r="Q599" s="10" t="s">
        <v>26</v>
      </c>
    </row>
    <row r="600" spans="1:17" x14ac:dyDescent="0.25">
      <c r="A600" s="10" t="s">
        <v>931</v>
      </c>
      <c r="B600" s="10" t="s">
        <v>930</v>
      </c>
      <c r="C600" s="10" t="s">
        <v>51</v>
      </c>
      <c r="D600" s="10" t="s">
        <v>97</v>
      </c>
      <c r="E600" s="10" t="s">
        <v>155</v>
      </c>
      <c r="F600" s="10" t="s">
        <v>83</v>
      </c>
      <c r="G600" s="10" t="s">
        <v>23</v>
      </c>
      <c r="H600" s="10" t="s">
        <v>24</v>
      </c>
      <c r="I600" s="10" t="s">
        <v>98</v>
      </c>
      <c r="J600" s="10">
        <v>5</v>
      </c>
      <c r="K600" s="10">
        <v>247</v>
      </c>
      <c r="L600" s="10">
        <v>1235</v>
      </c>
      <c r="M600" s="10">
        <v>0</v>
      </c>
      <c r="N600" s="10">
        <v>0</v>
      </c>
      <c r="O600" s="10">
        <v>1235</v>
      </c>
      <c r="P600" s="10">
        <v>4.0999999999999996</v>
      </c>
      <c r="Q600" s="10" t="s">
        <v>26</v>
      </c>
    </row>
    <row r="601" spans="1:17" x14ac:dyDescent="0.25">
      <c r="A601" s="10" t="s">
        <v>932</v>
      </c>
      <c r="B601" s="10" t="s">
        <v>930</v>
      </c>
      <c r="C601" s="10" t="s">
        <v>91</v>
      </c>
      <c r="D601" s="10" t="s">
        <v>125</v>
      </c>
      <c r="E601" s="10" t="s">
        <v>30</v>
      </c>
      <c r="F601" s="10" t="s">
        <v>72</v>
      </c>
      <c r="G601" s="10" t="s">
        <v>23</v>
      </c>
      <c r="H601" s="10" t="s">
        <v>33</v>
      </c>
      <c r="I601" s="10" t="s">
        <v>34</v>
      </c>
      <c r="J601" s="10">
        <v>3</v>
      </c>
      <c r="K601" s="10">
        <v>975</v>
      </c>
      <c r="L601" s="10">
        <v>2925</v>
      </c>
      <c r="M601" s="10">
        <v>10</v>
      </c>
      <c r="N601" s="10">
        <v>292</v>
      </c>
      <c r="O601" s="10">
        <v>2633</v>
      </c>
      <c r="P601" s="10">
        <v>4.3</v>
      </c>
      <c r="Q601" s="10" t="s">
        <v>26</v>
      </c>
    </row>
    <row r="602" spans="1:17" x14ac:dyDescent="0.25">
      <c r="A602" s="10" t="s">
        <v>933</v>
      </c>
      <c r="B602" s="10" t="s">
        <v>930</v>
      </c>
      <c r="C602" s="10" t="s">
        <v>51</v>
      </c>
      <c r="D602" s="10" t="s">
        <v>97</v>
      </c>
      <c r="E602" s="10" t="s">
        <v>37</v>
      </c>
      <c r="F602" s="10" t="s">
        <v>43</v>
      </c>
      <c r="G602" s="10" t="s">
        <v>23</v>
      </c>
      <c r="H602" s="10" t="s">
        <v>104</v>
      </c>
      <c r="I602" s="10" t="s">
        <v>34</v>
      </c>
      <c r="J602" s="10">
        <v>4</v>
      </c>
      <c r="K602" s="10">
        <v>704</v>
      </c>
      <c r="L602" s="10">
        <v>2816</v>
      </c>
      <c r="M602" s="10">
        <v>30</v>
      </c>
      <c r="N602" s="10">
        <v>845</v>
      </c>
      <c r="O602" s="10">
        <v>1971</v>
      </c>
      <c r="P602" s="10">
        <v>4</v>
      </c>
      <c r="Q602" s="10" t="s">
        <v>26</v>
      </c>
    </row>
    <row r="603" spans="1:17" x14ac:dyDescent="0.25">
      <c r="A603" s="10" t="s">
        <v>934</v>
      </c>
      <c r="B603" s="10" t="s">
        <v>930</v>
      </c>
      <c r="C603" s="10" t="s">
        <v>63</v>
      </c>
      <c r="D603" s="10" t="s">
        <v>64</v>
      </c>
      <c r="E603" s="10" t="s">
        <v>21</v>
      </c>
      <c r="F603" s="10" t="s">
        <v>83</v>
      </c>
      <c r="G603" s="10" t="s">
        <v>23</v>
      </c>
      <c r="H603" s="10" t="s">
        <v>24</v>
      </c>
      <c r="I603" s="10" t="s">
        <v>45</v>
      </c>
      <c r="J603" s="10">
        <v>3</v>
      </c>
      <c r="K603" s="10">
        <v>638</v>
      </c>
      <c r="L603" s="10">
        <v>1914</v>
      </c>
      <c r="M603" s="10">
        <v>20</v>
      </c>
      <c r="N603" s="10">
        <v>383</v>
      </c>
      <c r="O603" s="10">
        <v>1531</v>
      </c>
      <c r="P603" s="10">
        <v>3.6</v>
      </c>
      <c r="Q603" s="10" t="s">
        <v>75</v>
      </c>
    </row>
    <row r="604" spans="1:17" x14ac:dyDescent="0.25">
      <c r="A604" s="10" t="s">
        <v>935</v>
      </c>
      <c r="B604" s="10" t="s">
        <v>930</v>
      </c>
      <c r="C604" s="10" t="s">
        <v>51</v>
      </c>
      <c r="D604" s="10" t="s">
        <v>52</v>
      </c>
      <c r="E604" s="10" t="s">
        <v>53</v>
      </c>
      <c r="F604" s="10" t="s">
        <v>22</v>
      </c>
      <c r="G604" s="10" t="s">
        <v>23</v>
      </c>
      <c r="H604" s="10" t="s">
        <v>33</v>
      </c>
      <c r="I604" s="10" t="s">
        <v>34</v>
      </c>
      <c r="J604" s="10">
        <v>3</v>
      </c>
      <c r="K604" s="10">
        <v>587</v>
      </c>
      <c r="L604" s="10">
        <v>1761</v>
      </c>
      <c r="M604" s="10">
        <v>15</v>
      </c>
      <c r="N604" s="10">
        <v>264</v>
      </c>
      <c r="O604" s="10">
        <v>1497</v>
      </c>
      <c r="P604" s="10">
        <v>4.5999999999999996</v>
      </c>
      <c r="Q604" s="10" t="s">
        <v>26</v>
      </c>
    </row>
    <row r="605" spans="1:17" x14ac:dyDescent="0.25">
      <c r="A605" s="10" t="s">
        <v>936</v>
      </c>
      <c r="B605" s="10" t="s">
        <v>937</v>
      </c>
      <c r="C605" s="10" t="s">
        <v>63</v>
      </c>
      <c r="D605" s="10" t="s">
        <v>64</v>
      </c>
      <c r="E605" s="10" t="s">
        <v>37</v>
      </c>
      <c r="F605" s="10" t="s">
        <v>22</v>
      </c>
      <c r="G605" s="10" t="s">
        <v>23</v>
      </c>
      <c r="H605" s="10" t="s">
        <v>24</v>
      </c>
      <c r="I605" s="10" t="s">
        <v>84</v>
      </c>
      <c r="J605" s="10">
        <v>3</v>
      </c>
      <c r="K605" s="10">
        <v>1258</v>
      </c>
      <c r="L605" s="10">
        <v>3774</v>
      </c>
      <c r="M605" s="10">
        <v>0</v>
      </c>
      <c r="N605" s="10">
        <v>0</v>
      </c>
      <c r="O605" s="10">
        <v>3774</v>
      </c>
      <c r="P605" s="10">
        <v>3.5</v>
      </c>
      <c r="Q605" s="10" t="s">
        <v>26</v>
      </c>
    </row>
    <row r="606" spans="1:17" x14ac:dyDescent="0.25">
      <c r="A606" s="10" t="s">
        <v>938</v>
      </c>
      <c r="B606" s="10" t="s">
        <v>937</v>
      </c>
      <c r="C606" s="10" t="s">
        <v>19</v>
      </c>
      <c r="D606" s="10" t="s">
        <v>20</v>
      </c>
      <c r="E606" s="10" t="s">
        <v>71</v>
      </c>
      <c r="F606" s="10" t="s">
        <v>31</v>
      </c>
      <c r="G606" s="10" t="s">
        <v>32</v>
      </c>
      <c r="H606" s="10" t="s">
        <v>33</v>
      </c>
      <c r="I606" s="10" t="s">
        <v>34</v>
      </c>
      <c r="J606" s="10">
        <v>1</v>
      </c>
      <c r="K606" s="10">
        <v>188</v>
      </c>
      <c r="L606" s="10">
        <v>188</v>
      </c>
      <c r="M606" s="10">
        <v>25</v>
      </c>
      <c r="N606" s="10">
        <v>47</v>
      </c>
      <c r="O606" s="10">
        <v>141</v>
      </c>
      <c r="P606" s="10">
        <v>4.5999999999999996</v>
      </c>
      <c r="Q606" s="10" t="s">
        <v>26</v>
      </c>
    </row>
    <row r="607" spans="1:17" x14ac:dyDescent="0.25">
      <c r="A607" s="10" t="s">
        <v>939</v>
      </c>
      <c r="B607" s="10" t="s">
        <v>940</v>
      </c>
      <c r="C607" s="10" t="s">
        <v>91</v>
      </c>
      <c r="D607" s="10" t="s">
        <v>125</v>
      </c>
      <c r="E607" s="10" t="s">
        <v>155</v>
      </c>
      <c r="F607" s="10" t="s">
        <v>79</v>
      </c>
      <c r="G607" s="10" t="s">
        <v>32</v>
      </c>
      <c r="H607" s="10" t="s">
        <v>104</v>
      </c>
      <c r="I607" s="10" t="s">
        <v>25</v>
      </c>
      <c r="J607" s="10">
        <v>4</v>
      </c>
      <c r="K607" s="10">
        <v>1498</v>
      </c>
      <c r="L607" s="10">
        <v>5992</v>
      </c>
      <c r="M607" s="10">
        <v>20</v>
      </c>
      <c r="N607" s="10">
        <v>1198</v>
      </c>
      <c r="O607" s="10">
        <v>4794</v>
      </c>
      <c r="P607" s="10">
        <v>4.3</v>
      </c>
      <c r="Q607" s="10" t="s">
        <v>26</v>
      </c>
    </row>
    <row r="608" spans="1:17" x14ac:dyDescent="0.25">
      <c r="A608" s="10" t="s">
        <v>941</v>
      </c>
      <c r="B608" s="10" t="s">
        <v>940</v>
      </c>
      <c r="C608" s="10" t="s">
        <v>28</v>
      </c>
      <c r="D608" s="10" t="s">
        <v>36</v>
      </c>
      <c r="E608" s="10" t="s">
        <v>78</v>
      </c>
      <c r="F608" s="10" t="s">
        <v>130</v>
      </c>
      <c r="G608" s="10" t="s">
        <v>44</v>
      </c>
      <c r="H608" s="10" t="s">
        <v>33</v>
      </c>
      <c r="I608" s="10" t="s">
        <v>45</v>
      </c>
      <c r="J608" s="10">
        <v>4</v>
      </c>
      <c r="K608" s="10">
        <v>1235</v>
      </c>
      <c r="L608" s="10">
        <v>4940</v>
      </c>
      <c r="M608" s="10">
        <v>5</v>
      </c>
      <c r="N608" s="10">
        <v>247</v>
      </c>
      <c r="O608" s="10">
        <v>4693</v>
      </c>
      <c r="P608" s="10">
        <v>3.3</v>
      </c>
      <c r="Q608" s="10" t="s">
        <v>26</v>
      </c>
    </row>
    <row r="609" spans="1:17" x14ac:dyDescent="0.25">
      <c r="A609" s="10" t="s">
        <v>942</v>
      </c>
      <c r="B609" s="10" t="s">
        <v>940</v>
      </c>
      <c r="C609" s="10" t="s">
        <v>63</v>
      </c>
      <c r="D609" s="10" t="s">
        <v>143</v>
      </c>
      <c r="E609" s="10" t="s">
        <v>53</v>
      </c>
      <c r="F609" s="10" t="s">
        <v>61</v>
      </c>
      <c r="G609" s="10" t="s">
        <v>32</v>
      </c>
      <c r="H609" s="10" t="s">
        <v>33</v>
      </c>
      <c r="I609" s="10" t="s">
        <v>45</v>
      </c>
      <c r="J609" s="10">
        <v>3</v>
      </c>
      <c r="K609" s="10">
        <v>1097</v>
      </c>
      <c r="L609" s="10">
        <v>3291</v>
      </c>
      <c r="M609" s="10">
        <v>30</v>
      </c>
      <c r="N609" s="10">
        <v>987</v>
      </c>
      <c r="O609" s="10">
        <v>2304</v>
      </c>
      <c r="P609" s="10">
        <v>4.2</v>
      </c>
      <c r="Q609" s="10" t="s">
        <v>26</v>
      </c>
    </row>
    <row r="610" spans="1:17" x14ac:dyDescent="0.25">
      <c r="A610" s="10" t="s">
        <v>943</v>
      </c>
      <c r="B610" s="10" t="s">
        <v>944</v>
      </c>
      <c r="C610" s="10" t="s">
        <v>40</v>
      </c>
      <c r="D610" s="10" t="s">
        <v>47</v>
      </c>
      <c r="E610" s="10" t="s">
        <v>155</v>
      </c>
      <c r="F610" s="10" t="s">
        <v>61</v>
      </c>
      <c r="G610" s="10" t="s">
        <v>44</v>
      </c>
      <c r="H610" s="10" t="s">
        <v>24</v>
      </c>
      <c r="I610" s="10" t="s">
        <v>84</v>
      </c>
      <c r="J610" s="10">
        <v>1</v>
      </c>
      <c r="K610" s="10">
        <v>641</v>
      </c>
      <c r="L610" s="10">
        <v>641</v>
      </c>
      <c r="M610" s="10">
        <v>0</v>
      </c>
      <c r="N610" s="10">
        <v>0</v>
      </c>
      <c r="O610" s="10">
        <v>641</v>
      </c>
      <c r="P610" s="10">
        <v>4.8</v>
      </c>
      <c r="Q610" s="10" t="s">
        <v>26</v>
      </c>
    </row>
    <row r="611" spans="1:17" x14ac:dyDescent="0.25">
      <c r="A611" s="10" t="s">
        <v>945</v>
      </c>
      <c r="B611" s="10" t="s">
        <v>946</v>
      </c>
      <c r="C611" s="10" t="s">
        <v>63</v>
      </c>
      <c r="D611" s="10" t="s">
        <v>134</v>
      </c>
      <c r="E611" s="10" t="s">
        <v>21</v>
      </c>
      <c r="F611" s="10" t="s">
        <v>31</v>
      </c>
      <c r="G611" s="10" t="s">
        <v>23</v>
      </c>
      <c r="H611" s="10" t="s">
        <v>33</v>
      </c>
      <c r="I611" s="10" t="s">
        <v>45</v>
      </c>
      <c r="J611" s="10">
        <v>3</v>
      </c>
      <c r="K611" s="10">
        <v>1799</v>
      </c>
      <c r="L611" s="10">
        <v>5397</v>
      </c>
      <c r="M611" s="10">
        <v>30</v>
      </c>
      <c r="N611" s="10">
        <v>1619</v>
      </c>
      <c r="O611" s="10">
        <v>3778</v>
      </c>
      <c r="P611" s="10">
        <v>4</v>
      </c>
      <c r="Q611" s="10" t="s">
        <v>26</v>
      </c>
    </row>
    <row r="612" spans="1:17" x14ac:dyDescent="0.25">
      <c r="A612" s="10" t="s">
        <v>947</v>
      </c>
      <c r="B612" s="10" t="s">
        <v>946</v>
      </c>
      <c r="C612" s="10" t="s">
        <v>63</v>
      </c>
      <c r="D612" s="10" t="s">
        <v>134</v>
      </c>
      <c r="E612" s="10" t="s">
        <v>48</v>
      </c>
      <c r="F612" s="10" t="s">
        <v>22</v>
      </c>
      <c r="G612" s="10" t="s">
        <v>23</v>
      </c>
      <c r="H612" s="10" t="s">
        <v>24</v>
      </c>
      <c r="I612" s="10" t="s">
        <v>34</v>
      </c>
      <c r="J612" s="10">
        <v>2</v>
      </c>
      <c r="K612" s="10">
        <v>2056</v>
      </c>
      <c r="L612" s="10">
        <v>4112</v>
      </c>
      <c r="M612" s="10">
        <v>20</v>
      </c>
      <c r="N612" s="10">
        <v>822</v>
      </c>
      <c r="O612" s="10">
        <v>3290</v>
      </c>
      <c r="P612" s="10">
        <v>3.7</v>
      </c>
      <c r="Q612" s="10" t="s">
        <v>26</v>
      </c>
    </row>
    <row r="613" spans="1:17" x14ac:dyDescent="0.25">
      <c r="A613" s="10" t="s">
        <v>948</v>
      </c>
      <c r="B613" s="10" t="s">
        <v>949</v>
      </c>
      <c r="C613" s="10" t="s">
        <v>91</v>
      </c>
      <c r="D613" s="10" t="s">
        <v>92</v>
      </c>
      <c r="E613" s="10" t="s">
        <v>101</v>
      </c>
      <c r="F613" s="10" t="s">
        <v>83</v>
      </c>
      <c r="G613" s="10" t="s">
        <v>44</v>
      </c>
      <c r="H613" s="10" t="s">
        <v>24</v>
      </c>
      <c r="I613" s="10" t="s">
        <v>84</v>
      </c>
      <c r="J613" s="10">
        <v>3</v>
      </c>
      <c r="K613" s="10">
        <v>1833</v>
      </c>
      <c r="L613" s="10">
        <v>5499</v>
      </c>
      <c r="M613" s="10">
        <v>30</v>
      </c>
      <c r="N613" s="10">
        <v>1650</v>
      </c>
      <c r="O613" s="10">
        <v>3849</v>
      </c>
      <c r="P613" s="10">
        <v>4.9000000000000004</v>
      </c>
      <c r="Q613" s="10" t="s">
        <v>26</v>
      </c>
    </row>
    <row r="614" spans="1:17" x14ac:dyDescent="0.25">
      <c r="A614" s="10" t="s">
        <v>950</v>
      </c>
      <c r="B614" s="10" t="s">
        <v>949</v>
      </c>
      <c r="C614" s="10" t="s">
        <v>28</v>
      </c>
      <c r="D614" s="10" t="s">
        <v>95</v>
      </c>
      <c r="E614" s="10" t="s">
        <v>21</v>
      </c>
      <c r="F614" s="10" t="s">
        <v>61</v>
      </c>
      <c r="G614" s="10" t="s">
        <v>23</v>
      </c>
      <c r="H614" s="10" t="s">
        <v>33</v>
      </c>
      <c r="I614" s="10" t="s">
        <v>84</v>
      </c>
      <c r="J614" s="10">
        <v>5</v>
      </c>
      <c r="K614" s="10">
        <v>699</v>
      </c>
      <c r="L614" s="10">
        <v>3495</v>
      </c>
      <c r="M614" s="10">
        <v>15</v>
      </c>
      <c r="N614" s="10">
        <v>524</v>
      </c>
      <c r="O614" s="10">
        <v>2971</v>
      </c>
      <c r="P614" s="10">
        <v>3.9</v>
      </c>
      <c r="Q614" s="10" t="s">
        <v>26</v>
      </c>
    </row>
    <row r="615" spans="1:17" x14ac:dyDescent="0.25">
      <c r="A615" s="10" t="s">
        <v>951</v>
      </c>
      <c r="B615" s="10" t="s">
        <v>952</v>
      </c>
      <c r="C615" s="10" t="s">
        <v>63</v>
      </c>
      <c r="D615" s="10" t="s">
        <v>134</v>
      </c>
      <c r="E615" s="10" t="s">
        <v>53</v>
      </c>
      <c r="F615" s="10" t="s">
        <v>65</v>
      </c>
      <c r="G615" s="10" t="s">
        <v>44</v>
      </c>
      <c r="H615" s="10" t="s">
        <v>24</v>
      </c>
      <c r="I615" s="10" t="s">
        <v>25</v>
      </c>
      <c r="J615" s="10">
        <v>2</v>
      </c>
      <c r="K615" s="10">
        <v>2294</v>
      </c>
      <c r="L615" s="10">
        <v>4588</v>
      </c>
      <c r="M615" s="10">
        <v>15</v>
      </c>
      <c r="N615" s="10">
        <v>688</v>
      </c>
      <c r="O615" s="10">
        <v>3900</v>
      </c>
      <c r="P615" s="10">
        <v>4.7</v>
      </c>
      <c r="Q615" s="10" t="s">
        <v>26</v>
      </c>
    </row>
    <row r="616" spans="1:17" x14ac:dyDescent="0.25">
      <c r="A616" s="10" t="s">
        <v>953</v>
      </c>
      <c r="B616" s="10" t="s">
        <v>954</v>
      </c>
      <c r="C616" s="10" t="s">
        <v>91</v>
      </c>
      <c r="D616" s="10" t="s">
        <v>110</v>
      </c>
      <c r="E616" s="10" t="s">
        <v>42</v>
      </c>
      <c r="F616" s="10" t="s">
        <v>61</v>
      </c>
      <c r="G616" s="10" t="s">
        <v>23</v>
      </c>
      <c r="H616" s="10" t="s">
        <v>33</v>
      </c>
      <c r="I616" s="10" t="s">
        <v>98</v>
      </c>
      <c r="J616" s="10">
        <v>5</v>
      </c>
      <c r="K616" s="10">
        <v>515</v>
      </c>
      <c r="L616" s="10">
        <v>2575</v>
      </c>
      <c r="M616" s="10">
        <v>20</v>
      </c>
      <c r="N616" s="10">
        <v>515</v>
      </c>
      <c r="O616" s="10">
        <v>2060</v>
      </c>
      <c r="P616" s="10">
        <v>3.7</v>
      </c>
      <c r="Q616" s="10" t="s">
        <v>26</v>
      </c>
    </row>
    <row r="617" spans="1:17" x14ac:dyDescent="0.25">
      <c r="A617" s="10" t="s">
        <v>955</v>
      </c>
      <c r="B617" s="10" t="s">
        <v>956</v>
      </c>
      <c r="C617" s="10" t="s">
        <v>51</v>
      </c>
      <c r="D617" s="10" t="s">
        <v>70</v>
      </c>
      <c r="E617" s="10" t="s">
        <v>42</v>
      </c>
      <c r="F617" s="10" t="s">
        <v>61</v>
      </c>
      <c r="G617" s="10" t="s">
        <v>32</v>
      </c>
      <c r="H617" s="10" t="s">
        <v>24</v>
      </c>
      <c r="I617" s="10" t="s">
        <v>45</v>
      </c>
      <c r="J617" s="10">
        <v>2</v>
      </c>
      <c r="K617" s="10">
        <v>310</v>
      </c>
      <c r="L617" s="10">
        <v>620</v>
      </c>
      <c r="M617" s="10">
        <v>15</v>
      </c>
      <c r="N617" s="10">
        <v>93</v>
      </c>
      <c r="O617" s="10">
        <v>527</v>
      </c>
      <c r="P617" s="10">
        <v>4.2</v>
      </c>
      <c r="Q617" s="10" t="s">
        <v>26</v>
      </c>
    </row>
    <row r="618" spans="1:17" x14ac:dyDescent="0.25">
      <c r="A618" s="10" t="s">
        <v>957</v>
      </c>
      <c r="B618" s="10" t="s">
        <v>956</v>
      </c>
      <c r="C618" s="10" t="s">
        <v>51</v>
      </c>
      <c r="D618" s="10" t="s">
        <v>97</v>
      </c>
      <c r="E618" s="10" t="s">
        <v>48</v>
      </c>
      <c r="F618" s="10" t="s">
        <v>83</v>
      </c>
      <c r="G618" s="10" t="s">
        <v>44</v>
      </c>
      <c r="H618" s="10" t="s">
        <v>33</v>
      </c>
      <c r="I618" s="10" t="s">
        <v>98</v>
      </c>
      <c r="J618" s="10">
        <v>5</v>
      </c>
      <c r="K618" s="10">
        <v>456</v>
      </c>
      <c r="L618" s="10">
        <v>2280</v>
      </c>
      <c r="M618" s="10">
        <v>30</v>
      </c>
      <c r="N618" s="10">
        <v>684</v>
      </c>
      <c r="O618" s="10">
        <v>1596</v>
      </c>
      <c r="P618" s="10">
        <v>3.5</v>
      </c>
      <c r="Q618" s="10" t="s">
        <v>26</v>
      </c>
    </row>
    <row r="619" spans="1:17" x14ac:dyDescent="0.25">
      <c r="A619" s="10" t="s">
        <v>958</v>
      </c>
      <c r="B619" s="10" t="s">
        <v>959</v>
      </c>
      <c r="C619" s="10" t="s">
        <v>51</v>
      </c>
      <c r="D619" s="10" t="s">
        <v>97</v>
      </c>
      <c r="E619" s="10" t="s">
        <v>78</v>
      </c>
      <c r="F619" s="10" t="s">
        <v>83</v>
      </c>
      <c r="G619" s="10" t="s">
        <v>44</v>
      </c>
      <c r="H619" s="10" t="s">
        <v>24</v>
      </c>
      <c r="I619" s="10" t="s">
        <v>98</v>
      </c>
      <c r="J619" s="10">
        <v>3</v>
      </c>
      <c r="K619" s="10">
        <v>380</v>
      </c>
      <c r="L619" s="10">
        <v>1140</v>
      </c>
      <c r="M619" s="10">
        <v>15</v>
      </c>
      <c r="N619" s="10">
        <v>171</v>
      </c>
      <c r="O619" s="10">
        <v>969</v>
      </c>
      <c r="P619" s="10">
        <v>4.5</v>
      </c>
      <c r="Q619" s="10" t="s">
        <v>26</v>
      </c>
    </row>
    <row r="620" spans="1:17" x14ac:dyDescent="0.25">
      <c r="A620" s="10" t="s">
        <v>960</v>
      </c>
      <c r="B620" s="10" t="s">
        <v>961</v>
      </c>
      <c r="C620" s="10" t="s">
        <v>63</v>
      </c>
      <c r="D620" s="10" t="s">
        <v>143</v>
      </c>
      <c r="E620" s="10" t="s">
        <v>155</v>
      </c>
      <c r="F620" s="10" t="s">
        <v>31</v>
      </c>
      <c r="G620" s="10" t="s">
        <v>23</v>
      </c>
      <c r="H620" s="10" t="s">
        <v>24</v>
      </c>
      <c r="I620" s="10" t="s">
        <v>84</v>
      </c>
      <c r="J620" s="10">
        <v>4</v>
      </c>
      <c r="K620" s="10">
        <v>591</v>
      </c>
      <c r="L620" s="10">
        <v>2364</v>
      </c>
      <c r="M620" s="10">
        <v>20</v>
      </c>
      <c r="N620" s="10">
        <v>473</v>
      </c>
      <c r="O620" s="10">
        <v>1891</v>
      </c>
      <c r="P620" s="10">
        <v>3.8</v>
      </c>
      <c r="Q620" s="10" t="s">
        <v>75</v>
      </c>
    </row>
    <row r="621" spans="1:17" x14ac:dyDescent="0.25">
      <c r="A621" s="10" t="s">
        <v>962</v>
      </c>
      <c r="B621" s="10" t="s">
        <v>963</v>
      </c>
      <c r="C621" s="10" t="s">
        <v>28</v>
      </c>
      <c r="D621" s="10" t="s">
        <v>163</v>
      </c>
      <c r="E621" s="10" t="s">
        <v>48</v>
      </c>
      <c r="F621" s="10" t="s">
        <v>31</v>
      </c>
      <c r="G621" s="10" t="s">
        <v>32</v>
      </c>
      <c r="H621" s="10" t="s">
        <v>33</v>
      </c>
      <c r="I621" s="10" t="s">
        <v>84</v>
      </c>
      <c r="J621" s="10">
        <v>5</v>
      </c>
      <c r="K621" s="10">
        <v>925</v>
      </c>
      <c r="L621" s="10">
        <v>4625</v>
      </c>
      <c r="M621" s="10">
        <v>10</v>
      </c>
      <c r="N621" s="10">
        <v>462</v>
      </c>
      <c r="O621" s="10">
        <v>4163</v>
      </c>
      <c r="P621" s="10">
        <v>3.5</v>
      </c>
      <c r="Q621" s="10" t="s">
        <v>26</v>
      </c>
    </row>
    <row r="622" spans="1:17" x14ac:dyDescent="0.25">
      <c r="A622" s="10" t="s">
        <v>964</v>
      </c>
      <c r="B622" s="10" t="s">
        <v>965</v>
      </c>
      <c r="C622" s="10" t="s">
        <v>19</v>
      </c>
      <c r="D622" s="10" t="s">
        <v>230</v>
      </c>
      <c r="E622" s="10" t="s">
        <v>30</v>
      </c>
      <c r="F622" s="10" t="s">
        <v>43</v>
      </c>
      <c r="G622" s="10" t="s">
        <v>44</v>
      </c>
      <c r="H622" s="10" t="s">
        <v>33</v>
      </c>
      <c r="I622" s="10" t="s">
        <v>84</v>
      </c>
      <c r="J622" s="10">
        <v>4</v>
      </c>
      <c r="K622" s="10">
        <v>241</v>
      </c>
      <c r="L622" s="10">
        <v>964</v>
      </c>
      <c r="M622" s="10">
        <v>10</v>
      </c>
      <c r="N622" s="10">
        <v>96</v>
      </c>
      <c r="O622" s="10">
        <v>868</v>
      </c>
      <c r="P622" s="10">
        <v>4.0999999999999996</v>
      </c>
      <c r="Q622" s="10" t="s">
        <v>26</v>
      </c>
    </row>
    <row r="623" spans="1:17" x14ac:dyDescent="0.25">
      <c r="A623" s="10" t="s">
        <v>966</v>
      </c>
      <c r="B623" s="10" t="s">
        <v>965</v>
      </c>
      <c r="C623" s="10" t="s">
        <v>51</v>
      </c>
      <c r="D623" s="10" t="s">
        <v>70</v>
      </c>
      <c r="E623" s="10" t="s">
        <v>78</v>
      </c>
      <c r="F623" s="10" t="s">
        <v>43</v>
      </c>
      <c r="G623" s="10" t="s">
        <v>23</v>
      </c>
      <c r="H623" s="10" t="s">
        <v>24</v>
      </c>
      <c r="I623" s="10" t="s">
        <v>34</v>
      </c>
      <c r="J623" s="10">
        <v>1</v>
      </c>
      <c r="K623" s="10">
        <v>489</v>
      </c>
      <c r="L623" s="10">
        <v>489</v>
      </c>
      <c r="M623" s="10">
        <v>0</v>
      </c>
      <c r="N623" s="10">
        <v>0</v>
      </c>
      <c r="O623" s="10">
        <v>489</v>
      </c>
      <c r="P623" s="10">
        <v>3.9</v>
      </c>
      <c r="Q623" s="10" t="s">
        <v>75</v>
      </c>
    </row>
    <row r="624" spans="1:17" x14ac:dyDescent="0.25">
      <c r="A624" s="10" t="s">
        <v>967</v>
      </c>
      <c r="B624" s="10" t="s">
        <v>965</v>
      </c>
      <c r="C624" s="10" t="s">
        <v>51</v>
      </c>
      <c r="D624" s="10" t="s">
        <v>97</v>
      </c>
      <c r="E624" s="10" t="s">
        <v>155</v>
      </c>
      <c r="F624" s="10" t="s">
        <v>83</v>
      </c>
      <c r="G624" s="10" t="s">
        <v>32</v>
      </c>
      <c r="H624" s="10" t="s">
        <v>104</v>
      </c>
      <c r="I624" s="10" t="s">
        <v>34</v>
      </c>
      <c r="J624" s="10">
        <v>4</v>
      </c>
      <c r="K624" s="10">
        <v>264</v>
      </c>
      <c r="L624" s="10">
        <v>1056</v>
      </c>
      <c r="M624" s="10">
        <v>25</v>
      </c>
      <c r="N624" s="10">
        <v>264</v>
      </c>
      <c r="O624" s="10">
        <v>792</v>
      </c>
      <c r="P624" s="10">
        <v>3.3</v>
      </c>
      <c r="Q624" s="10" t="s">
        <v>75</v>
      </c>
    </row>
    <row r="625" spans="1:17" x14ac:dyDescent="0.25">
      <c r="A625" s="10" t="s">
        <v>968</v>
      </c>
      <c r="B625" s="10" t="s">
        <v>969</v>
      </c>
      <c r="C625" s="10" t="s">
        <v>91</v>
      </c>
      <c r="D625" s="10" t="s">
        <v>110</v>
      </c>
      <c r="E625" s="10" t="s">
        <v>155</v>
      </c>
      <c r="F625" s="10" t="s">
        <v>83</v>
      </c>
      <c r="G625" s="10" t="s">
        <v>23</v>
      </c>
      <c r="H625" s="10" t="s">
        <v>24</v>
      </c>
      <c r="I625" s="10" t="s">
        <v>34</v>
      </c>
      <c r="J625" s="10">
        <v>3</v>
      </c>
      <c r="K625" s="10">
        <v>1451</v>
      </c>
      <c r="L625" s="10">
        <v>4353</v>
      </c>
      <c r="M625" s="10">
        <v>20</v>
      </c>
      <c r="N625" s="10">
        <v>871</v>
      </c>
      <c r="O625" s="10">
        <v>3482</v>
      </c>
      <c r="P625" s="10">
        <v>4.4000000000000004</v>
      </c>
      <c r="Q625" s="10" t="s">
        <v>26</v>
      </c>
    </row>
    <row r="626" spans="1:17" x14ac:dyDescent="0.25">
      <c r="A626" s="10" t="s">
        <v>970</v>
      </c>
      <c r="B626" s="10" t="s">
        <v>969</v>
      </c>
      <c r="C626" s="10" t="s">
        <v>28</v>
      </c>
      <c r="D626" s="10" t="s">
        <v>36</v>
      </c>
      <c r="E626" s="10" t="s">
        <v>101</v>
      </c>
      <c r="F626" s="10" t="s">
        <v>79</v>
      </c>
      <c r="G626" s="10" t="s">
        <v>23</v>
      </c>
      <c r="H626" s="10" t="s">
        <v>24</v>
      </c>
      <c r="I626" s="10" t="s">
        <v>25</v>
      </c>
      <c r="J626" s="10">
        <v>3</v>
      </c>
      <c r="K626" s="10">
        <v>811</v>
      </c>
      <c r="L626" s="10">
        <v>2433</v>
      </c>
      <c r="M626" s="10">
        <v>0</v>
      </c>
      <c r="N626" s="10">
        <v>0</v>
      </c>
      <c r="O626" s="10">
        <v>2433</v>
      </c>
      <c r="P626" s="10">
        <v>4.5999999999999996</v>
      </c>
      <c r="Q626" s="10" t="s">
        <v>26</v>
      </c>
    </row>
    <row r="627" spans="1:17" x14ac:dyDescent="0.25">
      <c r="A627" s="10" t="s">
        <v>971</v>
      </c>
      <c r="B627" s="10" t="s">
        <v>969</v>
      </c>
      <c r="C627" s="10" t="s">
        <v>91</v>
      </c>
      <c r="D627" s="10" t="s">
        <v>92</v>
      </c>
      <c r="E627" s="10" t="s">
        <v>101</v>
      </c>
      <c r="F627" s="10" t="s">
        <v>65</v>
      </c>
      <c r="G627" s="10" t="s">
        <v>23</v>
      </c>
      <c r="H627" s="10" t="s">
        <v>24</v>
      </c>
      <c r="I627" s="10" t="s">
        <v>98</v>
      </c>
      <c r="J627" s="10">
        <v>5</v>
      </c>
      <c r="K627" s="10">
        <v>2876</v>
      </c>
      <c r="L627" s="10">
        <v>14380</v>
      </c>
      <c r="M627" s="10">
        <v>30</v>
      </c>
      <c r="N627" s="10">
        <v>4314</v>
      </c>
      <c r="O627" s="10">
        <v>10066</v>
      </c>
      <c r="P627" s="10">
        <v>4.4000000000000004</v>
      </c>
      <c r="Q627" s="10" t="s">
        <v>26</v>
      </c>
    </row>
    <row r="628" spans="1:17" x14ac:dyDescent="0.25">
      <c r="A628" s="10" t="s">
        <v>972</v>
      </c>
      <c r="B628" s="10" t="s">
        <v>969</v>
      </c>
      <c r="C628" s="10" t="s">
        <v>19</v>
      </c>
      <c r="D628" s="10" t="s">
        <v>128</v>
      </c>
      <c r="E628" s="10" t="s">
        <v>60</v>
      </c>
      <c r="F628" s="10" t="s">
        <v>31</v>
      </c>
      <c r="G628" s="10" t="s">
        <v>32</v>
      </c>
      <c r="H628" s="10" t="s">
        <v>33</v>
      </c>
      <c r="I628" s="10" t="s">
        <v>98</v>
      </c>
      <c r="J628" s="10">
        <v>2</v>
      </c>
      <c r="K628" s="10">
        <v>640</v>
      </c>
      <c r="L628" s="10">
        <v>1280</v>
      </c>
      <c r="M628" s="10">
        <v>20</v>
      </c>
      <c r="N628" s="10">
        <v>256</v>
      </c>
      <c r="O628" s="10">
        <v>1024</v>
      </c>
      <c r="P628" s="10">
        <v>4.7</v>
      </c>
      <c r="Q628" s="10" t="s">
        <v>26</v>
      </c>
    </row>
    <row r="629" spans="1:17" x14ac:dyDescent="0.25">
      <c r="A629" s="10" t="s">
        <v>973</v>
      </c>
      <c r="B629" s="10" t="s">
        <v>974</v>
      </c>
      <c r="C629" s="10" t="s">
        <v>19</v>
      </c>
      <c r="D629" s="10" t="s">
        <v>230</v>
      </c>
      <c r="E629" s="10" t="s">
        <v>42</v>
      </c>
      <c r="F629" s="10" t="s">
        <v>61</v>
      </c>
      <c r="G629" s="10" t="s">
        <v>23</v>
      </c>
      <c r="H629" s="10" t="s">
        <v>33</v>
      </c>
      <c r="I629" s="10" t="s">
        <v>25</v>
      </c>
      <c r="J629" s="10">
        <v>3</v>
      </c>
      <c r="K629" s="10">
        <v>513</v>
      </c>
      <c r="L629" s="10">
        <v>1539</v>
      </c>
      <c r="M629" s="10">
        <v>15</v>
      </c>
      <c r="N629" s="10">
        <v>231</v>
      </c>
      <c r="O629" s="10">
        <v>1308</v>
      </c>
      <c r="P629" s="10">
        <v>5</v>
      </c>
      <c r="Q629" s="10" t="s">
        <v>26</v>
      </c>
    </row>
    <row r="630" spans="1:17" x14ac:dyDescent="0.25">
      <c r="A630" s="10" t="s">
        <v>975</v>
      </c>
      <c r="B630" s="10" t="s">
        <v>974</v>
      </c>
      <c r="C630" s="10" t="s">
        <v>63</v>
      </c>
      <c r="D630" s="10" t="s">
        <v>64</v>
      </c>
      <c r="E630" s="10" t="s">
        <v>37</v>
      </c>
      <c r="F630" s="10" t="s">
        <v>61</v>
      </c>
      <c r="G630" s="10" t="s">
        <v>32</v>
      </c>
      <c r="H630" s="10" t="s">
        <v>104</v>
      </c>
      <c r="I630" s="10" t="s">
        <v>84</v>
      </c>
      <c r="J630" s="10">
        <v>5</v>
      </c>
      <c r="K630" s="10">
        <v>2083</v>
      </c>
      <c r="L630" s="10">
        <v>10415</v>
      </c>
      <c r="M630" s="10">
        <v>5</v>
      </c>
      <c r="N630" s="10">
        <v>521</v>
      </c>
      <c r="O630" s="10">
        <v>9894</v>
      </c>
      <c r="P630" s="10">
        <v>4.3</v>
      </c>
      <c r="Q630" s="10" t="s">
        <v>26</v>
      </c>
    </row>
    <row r="631" spans="1:17" x14ac:dyDescent="0.25">
      <c r="A631" s="10" t="s">
        <v>976</v>
      </c>
      <c r="B631" s="10" t="s">
        <v>974</v>
      </c>
      <c r="C631" s="10" t="s">
        <v>51</v>
      </c>
      <c r="D631" s="10" t="s">
        <v>97</v>
      </c>
      <c r="E631" s="10" t="s">
        <v>60</v>
      </c>
      <c r="F631" s="10" t="s">
        <v>79</v>
      </c>
      <c r="G631" s="10" t="s">
        <v>32</v>
      </c>
      <c r="H631" s="10" t="s">
        <v>33</v>
      </c>
      <c r="I631" s="10" t="s">
        <v>84</v>
      </c>
      <c r="J631" s="10">
        <v>1</v>
      </c>
      <c r="K631" s="10">
        <v>383</v>
      </c>
      <c r="L631" s="10">
        <v>383</v>
      </c>
      <c r="M631" s="10">
        <v>25</v>
      </c>
      <c r="N631" s="10">
        <v>96</v>
      </c>
      <c r="O631" s="10">
        <v>287</v>
      </c>
      <c r="P631" s="10">
        <v>4.5999999999999996</v>
      </c>
      <c r="Q631" s="10" t="s">
        <v>26</v>
      </c>
    </row>
    <row r="632" spans="1:17" x14ac:dyDescent="0.25">
      <c r="A632" s="10" t="s">
        <v>977</v>
      </c>
      <c r="B632" s="10" t="s">
        <v>974</v>
      </c>
      <c r="C632" s="10" t="s">
        <v>40</v>
      </c>
      <c r="D632" s="10" t="s">
        <v>57</v>
      </c>
      <c r="E632" s="10" t="s">
        <v>60</v>
      </c>
      <c r="F632" s="10" t="s">
        <v>83</v>
      </c>
      <c r="G632" s="10" t="s">
        <v>32</v>
      </c>
      <c r="H632" s="10" t="s">
        <v>104</v>
      </c>
      <c r="I632" s="10" t="s">
        <v>98</v>
      </c>
      <c r="J632" s="10">
        <v>5</v>
      </c>
      <c r="K632" s="10">
        <v>337</v>
      </c>
      <c r="L632" s="10">
        <v>1685</v>
      </c>
      <c r="M632" s="10">
        <v>15</v>
      </c>
      <c r="N632" s="10">
        <v>253</v>
      </c>
      <c r="O632" s="10">
        <v>1432</v>
      </c>
      <c r="P632" s="10">
        <v>4.5999999999999996</v>
      </c>
      <c r="Q632" s="10" t="s">
        <v>26</v>
      </c>
    </row>
    <row r="633" spans="1:17" x14ac:dyDescent="0.25">
      <c r="A633" s="10" t="s">
        <v>978</v>
      </c>
      <c r="B633" s="10" t="s">
        <v>974</v>
      </c>
      <c r="C633" s="10" t="s">
        <v>28</v>
      </c>
      <c r="D633" s="10" t="s">
        <v>77</v>
      </c>
      <c r="E633" s="10" t="s">
        <v>101</v>
      </c>
      <c r="F633" s="10" t="s">
        <v>79</v>
      </c>
      <c r="G633" s="10" t="s">
        <v>32</v>
      </c>
      <c r="H633" s="10" t="s">
        <v>33</v>
      </c>
      <c r="I633" s="10" t="s">
        <v>25</v>
      </c>
      <c r="J633" s="10">
        <v>3</v>
      </c>
      <c r="K633" s="10">
        <v>754</v>
      </c>
      <c r="L633" s="10">
        <v>2262</v>
      </c>
      <c r="M633" s="10">
        <v>15</v>
      </c>
      <c r="N633" s="10">
        <v>339</v>
      </c>
      <c r="O633" s="10">
        <v>1923</v>
      </c>
      <c r="P633" s="10">
        <v>3.7</v>
      </c>
      <c r="Q633" s="10" t="s">
        <v>26</v>
      </c>
    </row>
    <row r="634" spans="1:17" x14ac:dyDescent="0.25">
      <c r="A634" s="10" t="s">
        <v>979</v>
      </c>
      <c r="B634" s="10" t="s">
        <v>974</v>
      </c>
      <c r="C634" s="10" t="s">
        <v>19</v>
      </c>
      <c r="D634" s="10" t="s">
        <v>128</v>
      </c>
      <c r="E634" s="10" t="s">
        <v>71</v>
      </c>
      <c r="F634" s="10" t="s">
        <v>22</v>
      </c>
      <c r="G634" s="10" t="s">
        <v>23</v>
      </c>
      <c r="H634" s="10" t="s">
        <v>24</v>
      </c>
      <c r="I634" s="10" t="s">
        <v>25</v>
      </c>
      <c r="J634" s="10">
        <v>2</v>
      </c>
      <c r="K634" s="10">
        <v>570</v>
      </c>
      <c r="L634" s="10">
        <v>1140</v>
      </c>
      <c r="M634" s="10">
        <v>0</v>
      </c>
      <c r="N634" s="10">
        <v>0</v>
      </c>
      <c r="O634" s="10">
        <v>1140</v>
      </c>
      <c r="P634" s="10">
        <v>3.6</v>
      </c>
      <c r="Q634" s="10" t="s">
        <v>26</v>
      </c>
    </row>
    <row r="635" spans="1:17" x14ac:dyDescent="0.25">
      <c r="A635" s="10" t="s">
        <v>980</v>
      </c>
      <c r="B635" s="10" t="s">
        <v>981</v>
      </c>
      <c r="C635" s="10" t="s">
        <v>63</v>
      </c>
      <c r="D635" s="10" t="s">
        <v>64</v>
      </c>
      <c r="E635" s="10" t="s">
        <v>78</v>
      </c>
      <c r="F635" s="10" t="s">
        <v>31</v>
      </c>
      <c r="G635" s="10" t="s">
        <v>23</v>
      </c>
      <c r="H635" s="10" t="s">
        <v>24</v>
      </c>
      <c r="I635" s="10" t="s">
        <v>45</v>
      </c>
      <c r="J635" s="10">
        <v>4</v>
      </c>
      <c r="K635" s="10">
        <v>966</v>
      </c>
      <c r="L635" s="10">
        <v>3864</v>
      </c>
      <c r="M635" s="10">
        <v>25</v>
      </c>
      <c r="N635" s="10">
        <v>966</v>
      </c>
      <c r="O635" s="10">
        <v>2898</v>
      </c>
      <c r="P635" s="10">
        <v>4.4000000000000004</v>
      </c>
      <c r="Q635" s="10" t="s">
        <v>26</v>
      </c>
    </row>
    <row r="636" spans="1:17" x14ac:dyDescent="0.25">
      <c r="A636" s="10" t="s">
        <v>982</v>
      </c>
      <c r="B636" s="10" t="s">
        <v>981</v>
      </c>
      <c r="C636" s="10" t="s">
        <v>28</v>
      </c>
      <c r="D636" s="10" t="s">
        <v>163</v>
      </c>
      <c r="E636" s="10" t="s">
        <v>71</v>
      </c>
      <c r="F636" s="10" t="s">
        <v>22</v>
      </c>
      <c r="G636" s="10" t="s">
        <v>23</v>
      </c>
      <c r="H636" s="10" t="s">
        <v>33</v>
      </c>
      <c r="I636" s="10" t="s">
        <v>84</v>
      </c>
      <c r="J636" s="10">
        <v>3</v>
      </c>
      <c r="K636" s="10">
        <v>333</v>
      </c>
      <c r="L636" s="10">
        <v>999</v>
      </c>
      <c r="M636" s="10">
        <v>5</v>
      </c>
      <c r="N636" s="10">
        <v>50</v>
      </c>
      <c r="O636" s="10">
        <v>949</v>
      </c>
      <c r="P636" s="10">
        <v>4</v>
      </c>
      <c r="Q636" s="10" t="s">
        <v>26</v>
      </c>
    </row>
    <row r="637" spans="1:17" x14ac:dyDescent="0.25">
      <c r="A637" s="10" t="s">
        <v>983</v>
      </c>
      <c r="B637" s="10" t="s">
        <v>981</v>
      </c>
      <c r="C637" s="10" t="s">
        <v>91</v>
      </c>
      <c r="D637" s="10" t="s">
        <v>125</v>
      </c>
      <c r="E637" s="10" t="s">
        <v>37</v>
      </c>
      <c r="F637" s="10" t="s">
        <v>43</v>
      </c>
      <c r="G637" s="10" t="s">
        <v>32</v>
      </c>
      <c r="H637" s="10" t="s">
        <v>24</v>
      </c>
      <c r="I637" s="10" t="s">
        <v>98</v>
      </c>
      <c r="J637" s="10">
        <v>5</v>
      </c>
      <c r="K637" s="10">
        <v>1839</v>
      </c>
      <c r="L637" s="10">
        <v>9195</v>
      </c>
      <c r="M637" s="10">
        <v>25</v>
      </c>
      <c r="N637" s="10">
        <v>2299</v>
      </c>
      <c r="O637" s="10">
        <v>6896</v>
      </c>
      <c r="P637" s="10">
        <v>4.8</v>
      </c>
      <c r="Q637" s="10" t="s">
        <v>26</v>
      </c>
    </row>
    <row r="638" spans="1:17" x14ac:dyDescent="0.25">
      <c r="A638" s="10" t="s">
        <v>984</v>
      </c>
      <c r="B638" s="10" t="s">
        <v>985</v>
      </c>
      <c r="C638" s="10" t="s">
        <v>91</v>
      </c>
      <c r="D638" s="10" t="s">
        <v>92</v>
      </c>
      <c r="E638" s="10" t="s">
        <v>71</v>
      </c>
      <c r="F638" s="10" t="s">
        <v>31</v>
      </c>
      <c r="G638" s="10" t="s">
        <v>23</v>
      </c>
      <c r="H638" s="10" t="s">
        <v>104</v>
      </c>
      <c r="I638" s="10" t="s">
        <v>45</v>
      </c>
      <c r="J638" s="10">
        <v>4</v>
      </c>
      <c r="K638" s="10">
        <v>2435</v>
      </c>
      <c r="L638" s="10">
        <v>9740</v>
      </c>
      <c r="M638" s="10">
        <v>25</v>
      </c>
      <c r="N638" s="10">
        <v>2435</v>
      </c>
      <c r="O638" s="10">
        <v>7305</v>
      </c>
      <c r="P638" s="10">
        <v>4.3</v>
      </c>
      <c r="Q638" s="10" t="s">
        <v>26</v>
      </c>
    </row>
    <row r="639" spans="1:17" x14ac:dyDescent="0.25">
      <c r="A639" s="10" t="s">
        <v>986</v>
      </c>
      <c r="B639" s="10" t="s">
        <v>987</v>
      </c>
      <c r="C639" s="10" t="s">
        <v>19</v>
      </c>
      <c r="D639" s="10" t="s">
        <v>20</v>
      </c>
      <c r="E639" s="10" t="s">
        <v>48</v>
      </c>
      <c r="F639" s="10" t="s">
        <v>31</v>
      </c>
      <c r="G639" s="10" t="s">
        <v>23</v>
      </c>
      <c r="H639" s="10" t="s">
        <v>24</v>
      </c>
      <c r="I639" s="10" t="s">
        <v>98</v>
      </c>
      <c r="J639" s="10">
        <v>4</v>
      </c>
      <c r="K639" s="10">
        <v>538</v>
      </c>
      <c r="L639" s="10">
        <v>2152</v>
      </c>
      <c r="M639" s="10">
        <v>25</v>
      </c>
      <c r="N639" s="10">
        <v>538</v>
      </c>
      <c r="O639" s="10">
        <v>1614</v>
      </c>
      <c r="P639" s="10">
        <v>3.5</v>
      </c>
      <c r="Q639" s="10" t="s">
        <v>26</v>
      </c>
    </row>
    <row r="640" spans="1:17" x14ac:dyDescent="0.25">
      <c r="A640" s="10" t="s">
        <v>988</v>
      </c>
      <c r="B640" s="10" t="s">
        <v>989</v>
      </c>
      <c r="C640" s="10" t="s">
        <v>51</v>
      </c>
      <c r="D640" s="10" t="s">
        <v>70</v>
      </c>
      <c r="E640" s="10" t="s">
        <v>82</v>
      </c>
      <c r="F640" s="10" t="s">
        <v>79</v>
      </c>
      <c r="G640" s="10" t="s">
        <v>23</v>
      </c>
      <c r="H640" s="10" t="s">
        <v>33</v>
      </c>
      <c r="I640" s="10" t="s">
        <v>45</v>
      </c>
      <c r="J640" s="10">
        <v>4</v>
      </c>
      <c r="K640" s="10">
        <v>674</v>
      </c>
      <c r="L640" s="10">
        <v>2696</v>
      </c>
      <c r="M640" s="10">
        <v>20</v>
      </c>
      <c r="N640" s="10">
        <v>539</v>
      </c>
      <c r="O640" s="10">
        <v>2157</v>
      </c>
      <c r="P640" s="10">
        <v>3.6</v>
      </c>
      <c r="Q640" s="10" t="s">
        <v>26</v>
      </c>
    </row>
    <row r="641" spans="1:17" x14ac:dyDescent="0.25">
      <c r="A641" s="10" t="s">
        <v>990</v>
      </c>
      <c r="B641" s="10" t="s">
        <v>989</v>
      </c>
      <c r="C641" s="10" t="s">
        <v>63</v>
      </c>
      <c r="D641" s="10" t="s">
        <v>143</v>
      </c>
      <c r="E641" s="10" t="s">
        <v>82</v>
      </c>
      <c r="F641" s="10" t="s">
        <v>65</v>
      </c>
      <c r="G641" s="10" t="s">
        <v>23</v>
      </c>
      <c r="H641" s="10" t="s">
        <v>33</v>
      </c>
      <c r="I641" s="10" t="s">
        <v>45</v>
      </c>
      <c r="J641" s="10">
        <v>1</v>
      </c>
      <c r="K641" s="10">
        <v>2164</v>
      </c>
      <c r="L641" s="10">
        <v>2164</v>
      </c>
      <c r="M641" s="10">
        <v>20</v>
      </c>
      <c r="N641" s="10">
        <v>433</v>
      </c>
      <c r="O641" s="10">
        <v>1731</v>
      </c>
      <c r="P641" s="10">
        <v>3.6</v>
      </c>
      <c r="Q641" s="10" t="s">
        <v>26</v>
      </c>
    </row>
    <row r="642" spans="1:17" x14ac:dyDescent="0.25">
      <c r="A642" s="10" t="s">
        <v>991</v>
      </c>
      <c r="B642" s="10" t="s">
        <v>989</v>
      </c>
      <c r="C642" s="10" t="s">
        <v>40</v>
      </c>
      <c r="D642" s="10" t="s">
        <v>57</v>
      </c>
      <c r="E642" s="10" t="s">
        <v>101</v>
      </c>
      <c r="F642" s="10" t="s">
        <v>31</v>
      </c>
      <c r="G642" s="10" t="s">
        <v>23</v>
      </c>
      <c r="H642" s="10" t="s">
        <v>33</v>
      </c>
      <c r="I642" s="10" t="s">
        <v>25</v>
      </c>
      <c r="J642" s="10">
        <v>5</v>
      </c>
      <c r="K642" s="10">
        <v>709</v>
      </c>
      <c r="L642" s="10">
        <v>3545</v>
      </c>
      <c r="M642" s="10">
        <v>15</v>
      </c>
      <c r="N642" s="10">
        <v>532</v>
      </c>
      <c r="O642" s="10">
        <v>3013</v>
      </c>
      <c r="P642" s="10">
        <v>4.4000000000000004</v>
      </c>
      <c r="Q642" s="10" t="s">
        <v>26</v>
      </c>
    </row>
    <row r="643" spans="1:17" x14ac:dyDescent="0.25">
      <c r="A643" s="10" t="s">
        <v>992</v>
      </c>
      <c r="B643" s="10" t="s">
        <v>993</v>
      </c>
      <c r="C643" s="10" t="s">
        <v>40</v>
      </c>
      <c r="D643" s="10" t="s">
        <v>47</v>
      </c>
      <c r="E643" s="10" t="s">
        <v>37</v>
      </c>
      <c r="F643" s="10" t="s">
        <v>72</v>
      </c>
      <c r="G643" s="10" t="s">
        <v>23</v>
      </c>
      <c r="H643" s="10" t="s">
        <v>33</v>
      </c>
      <c r="I643" s="10" t="s">
        <v>84</v>
      </c>
      <c r="J643" s="10">
        <v>5</v>
      </c>
      <c r="K643" s="10">
        <v>394</v>
      </c>
      <c r="L643" s="10">
        <v>1970</v>
      </c>
      <c r="M643" s="10">
        <v>5</v>
      </c>
      <c r="N643" s="10">
        <v>98</v>
      </c>
      <c r="O643" s="10">
        <v>1872</v>
      </c>
      <c r="P643" s="10">
        <v>3.9</v>
      </c>
      <c r="Q643" s="10" t="s">
        <v>26</v>
      </c>
    </row>
    <row r="644" spans="1:17" x14ac:dyDescent="0.25">
      <c r="A644" s="10" t="s">
        <v>994</v>
      </c>
      <c r="B644" s="10" t="s">
        <v>993</v>
      </c>
      <c r="C644" s="10" t="s">
        <v>19</v>
      </c>
      <c r="D644" s="10" t="s">
        <v>128</v>
      </c>
      <c r="E644" s="10" t="s">
        <v>101</v>
      </c>
      <c r="F644" s="10" t="s">
        <v>61</v>
      </c>
      <c r="G644" s="10" t="s">
        <v>32</v>
      </c>
      <c r="H644" s="10" t="s">
        <v>33</v>
      </c>
      <c r="I644" s="10" t="s">
        <v>84</v>
      </c>
      <c r="J644" s="10">
        <v>2</v>
      </c>
      <c r="K644" s="10">
        <v>732</v>
      </c>
      <c r="L644" s="10">
        <v>1464</v>
      </c>
      <c r="M644" s="10">
        <v>5</v>
      </c>
      <c r="N644" s="10">
        <v>73</v>
      </c>
      <c r="O644" s="10">
        <v>1391</v>
      </c>
      <c r="P644" s="10">
        <v>4.5999999999999996</v>
      </c>
      <c r="Q644" s="10" t="s">
        <v>26</v>
      </c>
    </row>
    <row r="645" spans="1:17" x14ac:dyDescent="0.25">
      <c r="A645" s="10" t="s">
        <v>995</v>
      </c>
      <c r="B645" s="10" t="s">
        <v>996</v>
      </c>
      <c r="C645" s="10" t="s">
        <v>91</v>
      </c>
      <c r="D645" s="10" t="s">
        <v>92</v>
      </c>
      <c r="E645" s="10" t="s">
        <v>53</v>
      </c>
      <c r="F645" s="10" t="s">
        <v>83</v>
      </c>
      <c r="G645" s="10" t="s">
        <v>32</v>
      </c>
      <c r="H645" s="10" t="s">
        <v>24</v>
      </c>
      <c r="I645" s="10" t="s">
        <v>45</v>
      </c>
      <c r="J645" s="10">
        <v>3</v>
      </c>
      <c r="K645" s="10">
        <v>2649</v>
      </c>
      <c r="L645" s="10">
        <v>7947</v>
      </c>
      <c r="M645" s="10">
        <v>15</v>
      </c>
      <c r="N645" s="10">
        <v>1192</v>
      </c>
      <c r="O645" s="10">
        <v>6755</v>
      </c>
      <c r="P645" s="10">
        <v>3.7</v>
      </c>
      <c r="Q645" s="10" t="s">
        <v>26</v>
      </c>
    </row>
    <row r="646" spans="1:17" x14ac:dyDescent="0.25">
      <c r="A646" s="10" t="s">
        <v>997</v>
      </c>
      <c r="B646" s="10" t="s">
        <v>996</v>
      </c>
      <c r="C646" s="10" t="s">
        <v>91</v>
      </c>
      <c r="D646" s="10" t="s">
        <v>125</v>
      </c>
      <c r="E646" s="10" t="s">
        <v>21</v>
      </c>
      <c r="F646" s="10" t="s">
        <v>130</v>
      </c>
      <c r="G646" s="10" t="s">
        <v>23</v>
      </c>
      <c r="H646" s="10" t="s">
        <v>24</v>
      </c>
      <c r="I646" s="10" t="s">
        <v>98</v>
      </c>
      <c r="J646" s="10">
        <v>1</v>
      </c>
      <c r="K646" s="10">
        <v>1901</v>
      </c>
      <c r="L646" s="10">
        <v>1901</v>
      </c>
      <c r="M646" s="10">
        <v>30</v>
      </c>
      <c r="N646" s="10">
        <v>570</v>
      </c>
      <c r="O646" s="10">
        <v>1331</v>
      </c>
      <c r="P646" s="10">
        <v>3.6</v>
      </c>
      <c r="Q646" s="10" t="s">
        <v>75</v>
      </c>
    </row>
    <row r="647" spans="1:17" x14ac:dyDescent="0.25">
      <c r="A647" s="10" t="s">
        <v>998</v>
      </c>
      <c r="B647" s="10" t="s">
        <v>999</v>
      </c>
      <c r="C647" s="10" t="s">
        <v>40</v>
      </c>
      <c r="D647" s="10" t="s">
        <v>113</v>
      </c>
      <c r="E647" s="10" t="s">
        <v>42</v>
      </c>
      <c r="F647" s="10" t="s">
        <v>31</v>
      </c>
      <c r="G647" s="10" t="s">
        <v>32</v>
      </c>
      <c r="H647" s="10" t="s">
        <v>33</v>
      </c>
      <c r="I647" s="10" t="s">
        <v>25</v>
      </c>
      <c r="J647" s="10">
        <v>3</v>
      </c>
      <c r="K647" s="10">
        <v>1132</v>
      </c>
      <c r="L647" s="10">
        <v>3396</v>
      </c>
      <c r="M647" s="10">
        <v>0</v>
      </c>
      <c r="N647" s="10">
        <v>0</v>
      </c>
      <c r="O647" s="10">
        <v>3396</v>
      </c>
      <c r="P647" s="10">
        <v>3.7</v>
      </c>
      <c r="Q647" s="10" t="s">
        <v>26</v>
      </c>
    </row>
    <row r="648" spans="1:17" x14ac:dyDescent="0.25">
      <c r="A648" s="10" t="s">
        <v>1000</v>
      </c>
      <c r="B648" s="10" t="s">
        <v>999</v>
      </c>
      <c r="C648" s="10" t="s">
        <v>28</v>
      </c>
      <c r="D648" s="10" t="s">
        <v>77</v>
      </c>
      <c r="E648" s="10" t="s">
        <v>37</v>
      </c>
      <c r="F648" s="10" t="s">
        <v>22</v>
      </c>
      <c r="G648" s="10" t="s">
        <v>23</v>
      </c>
      <c r="H648" s="10" t="s">
        <v>33</v>
      </c>
      <c r="I648" s="10" t="s">
        <v>25</v>
      </c>
      <c r="J648" s="10">
        <v>4</v>
      </c>
      <c r="K648" s="10">
        <v>1199</v>
      </c>
      <c r="L648" s="10">
        <v>4796</v>
      </c>
      <c r="M648" s="10">
        <v>10</v>
      </c>
      <c r="N648" s="10">
        <v>480</v>
      </c>
      <c r="O648" s="10">
        <v>4316</v>
      </c>
      <c r="P648" s="10">
        <v>4.4000000000000004</v>
      </c>
      <c r="Q648" s="10" t="s">
        <v>26</v>
      </c>
    </row>
    <row r="649" spans="1:17" x14ac:dyDescent="0.25">
      <c r="A649" s="10" t="s">
        <v>1001</v>
      </c>
      <c r="B649" s="10" t="s">
        <v>1002</v>
      </c>
      <c r="C649" s="10" t="s">
        <v>40</v>
      </c>
      <c r="D649" s="10" t="s">
        <v>41</v>
      </c>
      <c r="E649" s="10" t="s">
        <v>60</v>
      </c>
      <c r="F649" s="10" t="s">
        <v>79</v>
      </c>
      <c r="G649" s="10" t="s">
        <v>32</v>
      </c>
      <c r="H649" s="10" t="s">
        <v>33</v>
      </c>
      <c r="I649" s="10" t="s">
        <v>25</v>
      </c>
      <c r="J649" s="10">
        <v>5</v>
      </c>
      <c r="K649" s="10">
        <v>1162</v>
      </c>
      <c r="L649" s="10">
        <v>5810</v>
      </c>
      <c r="M649" s="10">
        <v>0</v>
      </c>
      <c r="N649" s="10">
        <v>0</v>
      </c>
      <c r="O649" s="10">
        <v>5810</v>
      </c>
      <c r="P649" s="10">
        <v>3.7</v>
      </c>
      <c r="Q649" s="10" t="s">
        <v>26</v>
      </c>
    </row>
    <row r="650" spans="1:17" x14ac:dyDescent="0.25">
      <c r="A650" s="10" t="s">
        <v>1003</v>
      </c>
      <c r="B650" s="10" t="s">
        <v>1004</v>
      </c>
      <c r="C650" s="10" t="s">
        <v>19</v>
      </c>
      <c r="D650" s="10" t="s">
        <v>230</v>
      </c>
      <c r="E650" s="10" t="s">
        <v>42</v>
      </c>
      <c r="F650" s="10" t="s">
        <v>72</v>
      </c>
      <c r="G650" s="10" t="s">
        <v>32</v>
      </c>
      <c r="H650" s="10" t="s">
        <v>33</v>
      </c>
      <c r="I650" s="10" t="s">
        <v>98</v>
      </c>
      <c r="J650" s="10">
        <v>3</v>
      </c>
      <c r="K650" s="10">
        <v>381</v>
      </c>
      <c r="L650" s="10">
        <v>1143</v>
      </c>
      <c r="M650" s="10">
        <v>20</v>
      </c>
      <c r="N650" s="10">
        <v>229</v>
      </c>
      <c r="O650" s="10">
        <v>914</v>
      </c>
      <c r="P650" s="10">
        <v>4.5999999999999996</v>
      </c>
      <c r="Q650" s="10" t="s">
        <v>26</v>
      </c>
    </row>
    <row r="651" spans="1:17" x14ac:dyDescent="0.25">
      <c r="A651" s="10" t="s">
        <v>1005</v>
      </c>
      <c r="B651" s="10" t="s">
        <v>1004</v>
      </c>
      <c r="C651" s="10" t="s">
        <v>40</v>
      </c>
      <c r="D651" s="10" t="s">
        <v>68</v>
      </c>
      <c r="E651" s="10" t="s">
        <v>155</v>
      </c>
      <c r="F651" s="10" t="s">
        <v>130</v>
      </c>
      <c r="G651" s="10" t="s">
        <v>23</v>
      </c>
      <c r="H651" s="10" t="s">
        <v>24</v>
      </c>
      <c r="I651" s="10" t="s">
        <v>98</v>
      </c>
      <c r="J651" s="10">
        <v>1</v>
      </c>
      <c r="K651" s="10">
        <v>1321</v>
      </c>
      <c r="L651" s="10">
        <v>1321</v>
      </c>
      <c r="M651" s="10">
        <v>10</v>
      </c>
      <c r="N651" s="10">
        <v>132</v>
      </c>
      <c r="O651" s="10">
        <v>1189</v>
      </c>
      <c r="P651" s="10">
        <v>3.7</v>
      </c>
      <c r="Q651" s="10" t="s">
        <v>26</v>
      </c>
    </row>
    <row r="652" spans="1:17" x14ac:dyDescent="0.25">
      <c r="A652" s="10" t="s">
        <v>1006</v>
      </c>
      <c r="B652" s="10" t="s">
        <v>1004</v>
      </c>
      <c r="C652" s="10" t="s">
        <v>63</v>
      </c>
      <c r="D652" s="10" t="s">
        <v>143</v>
      </c>
      <c r="E652" s="10" t="s">
        <v>71</v>
      </c>
      <c r="F652" s="10" t="s">
        <v>79</v>
      </c>
      <c r="G652" s="10" t="s">
        <v>23</v>
      </c>
      <c r="H652" s="10" t="s">
        <v>24</v>
      </c>
      <c r="I652" s="10" t="s">
        <v>98</v>
      </c>
      <c r="J652" s="10">
        <v>1</v>
      </c>
      <c r="K652" s="10">
        <v>426</v>
      </c>
      <c r="L652" s="10">
        <v>426</v>
      </c>
      <c r="M652" s="10">
        <v>5</v>
      </c>
      <c r="N652" s="10">
        <v>21</v>
      </c>
      <c r="O652" s="10">
        <v>405</v>
      </c>
      <c r="P652" s="10">
        <v>4.4000000000000004</v>
      </c>
      <c r="Q652" s="10" t="s">
        <v>75</v>
      </c>
    </row>
    <row r="653" spans="1:17" x14ac:dyDescent="0.25">
      <c r="A653" s="10" t="s">
        <v>1007</v>
      </c>
      <c r="B653" s="10" t="s">
        <v>1008</v>
      </c>
      <c r="C653" s="10" t="s">
        <v>63</v>
      </c>
      <c r="D653" s="10" t="s">
        <v>64</v>
      </c>
      <c r="E653" s="10" t="s">
        <v>48</v>
      </c>
      <c r="F653" s="10" t="s">
        <v>119</v>
      </c>
      <c r="G653" s="10" t="s">
        <v>32</v>
      </c>
      <c r="H653" s="10" t="s">
        <v>33</v>
      </c>
      <c r="I653" s="10" t="s">
        <v>45</v>
      </c>
      <c r="J653" s="10">
        <v>5</v>
      </c>
      <c r="K653" s="10">
        <v>843</v>
      </c>
      <c r="L653" s="10">
        <v>4215</v>
      </c>
      <c r="M653" s="10">
        <v>5</v>
      </c>
      <c r="N653" s="10">
        <v>211</v>
      </c>
      <c r="O653" s="10">
        <v>4004</v>
      </c>
      <c r="P653" s="10">
        <v>4.0999999999999996</v>
      </c>
      <c r="Q653" s="10" t="s">
        <v>26</v>
      </c>
    </row>
    <row r="654" spans="1:17" x14ac:dyDescent="0.25">
      <c r="A654" s="10" t="s">
        <v>1009</v>
      </c>
      <c r="B654" s="10" t="s">
        <v>1008</v>
      </c>
      <c r="C654" s="10" t="s">
        <v>51</v>
      </c>
      <c r="D654" s="10" t="s">
        <v>70</v>
      </c>
      <c r="E654" s="10" t="s">
        <v>37</v>
      </c>
      <c r="F654" s="10" t="s">
        <v>65</v>
      </c>
      <c r="G654" s="10" t="s">
        <v>32</v>
      </c>
      <c r="H654" s="10" t="s">
        <v>104</v>
      </c>
      <c r="I654" s="10" t="s">
        <v>25</v>
      </c>
      <c r="J654" s="10">
        <v>5</v>
      </c>
      <c r="K654" s="10">
        <v>766</v>
      </c>
      <c r="L654" s="10">
        <v>3830</v>
      </c>
      <c r="M654" s="10">
        <v>5</v>
      </c>
      <c r="N654" s="10">
        <v>192</v>
      </c>
      <c r="O654" s="10">
        <v>3638</v>
      </c>
      <c r="P654" s="10">
        <v>3.5</v>
      </c>
      <c r="Q654" s="10" t="s">
        <v>26</v>
      </c>
    </row>
    <row r="655" spans="1:17" x14ac:dyDescent="0.25">
      <c r="A655" s="10" t="s">
        <v>1010</v>
      </c>
      <c r="B655" s="10" t="s">
        <v>1008</v>
      </c>
      <c r="C655" s="10" t="s">
        <v>91</v>
      </c>
      <c r="D655" s="10" t="s">
        <v>92</v>
      </c>
      <c r="E655" s="10" t="s">
        <v>155</v>
      </c>
      <c r="F655" s="10" t="s">
        <v>130</v>
      </c>
      <c r="G655" s="10" t="s">
        <v>23</v>
      </c>
      <c r="H655" s="10" t="s">
        <v>24</v>
      </c>
      <c r="I655" s="10" t="s">
        <v>84</v>
      </c>
      <c r="J655" s="10">
        <v>2</v>
      </c>
      <c r="K655" s="10">
        <v>875</v>
      </c>
      <c r="L655" s="10">
        <v>1750</v>
      </c>
      <c r="M655" s="10">
        <v>25</v>
      </c>
      <c r="N655" s="10">
        <v>438</v>
      </c>
      <c r="O655" s="10">
        <v>1312</v>
      </c>
      <c r="P655" s="10">
        <v>4.5999999999999996</v>
      </c>
      <c r="Q655" s="10" t="s">
        <v>26</v>
      </c>
    </row>
    <row r="656" spans="1:17" x14ac:dyDescent="0.25">
      <c r="A656" s="10" t="s">
        <v>1011</v>
      </c>
      <c r="B656" s="10" t="s">
        <v>1008</v>
      </c>
      <c r="C656" s="10" t="s">
        <v>19</v>
      </c>
      <c r="D656" s="10" t="s">
        <v>128</v>
      </c>
      <c r="E656" s="10" t="s">
        <v>155</v>
      </c>
      <c r="F656" s="10" t="s">
        <v>61</v>
      </c>
      <c r="G656" s="10" t="s">
        <v>32</v>
      </c>
      <c r="H656" s="10" t="s">
        <v>24</v>
      </c>
      <c r="I656" s="10" t="s">
        <v>25</v>
      </c>
      <c r="J656" s="10">
        <v>2</v>
      </c>
      <c r="K656" s="10">
        <v>408</v>
      </c>
      <c r="L656" s="10">
        <v>816</v>
      </c>
      <c r="M656" s="10">
        <v>15</v>
      </c>
      <c r="N656" s="10">
        <v>122</v>
      </c>
      <c r="O656" s="10">
        <v>694</v>
      </c>
      <c r="P656" s="10">
        <v>3.8</v>
      </c>
      <c r="Q656" s="10" t="s">
        <v>26</v>
      </c>
    </row>
    <row r="657" spans="1:17" x14ac:dyDescent="0.25">
      <c r="A657" s="10" t="s">
        <v>1012</v>
      </c>
      <c r="B657" s="10" t="s">
        <v>1008</v>
      </c>
      <c r="C657" s="10" t="s">
        <v>91</v>
      </c>
      <c r="D657" s="10" t="s">
        <v>110</v>
      </c>
      <c r="E657" s="10" t="s">
        <v>101</v>
      </c>
      <c r="F657" s="10" t="s">
        <v>61</v>
      </c>
      <c r="G657" s="10" t="s">
        <v>32</v>
      </c>
      <c r="H657" s="10" t="s">
        <v>24</v>
      </c>
      <c r="I657" s="10" t="s">
        <v>25</v>
      </c>
      <c r="J657" s="10">
        <v>4</v>
      </c>
      <c r="K657" s="10">
        <v>2733</v>
      </c>
      <c r="L657" s="10">
        <v>10932</v>
      </c>
      <c r="M657" s="10">
        <v>10</v>
      </c>
      <c r="N657" s="10">
        <v>1093</v>
      </c>
      <c r="O657" s="10">
        <v>9839</v>
      </c>
      <c r="P657" s="10">
        <v>4.2</v>
      </c>
      <c r="Q657" s="10" t="s">
        <v>26</v>
      </c>
    </row>
    <row r="658" spans="1:17" x14ac:dyDescent="0.25">
      <c r="A658" s="10" t="s">
        <v>1013</v>
      </c>
      <c r="B658" s="10" t="s">
        <v>1014</v>
      </c>
      <c r="C658" s="10" t="s">
        <v>19</v>
      </c>
      <c r="D658" s="10" t="s">
        <v>230</v>
      </c>
      <c r="E658" s="10" t="s">
        <v>78</v>
      </c>
      <c r="F658" s="10" t="s">
        <v>119</v>
      </c>
      <c r="G658" s="10" t="s">
        <v>23</v>
      </c>
      <c r="H658" s="10" t="s">
        <v>104</v>
      </c>
      <c r="I658" s="10" t="s">
        <v>45</v>
      </c>
      <c r="J658" s="10">
        <v>2</v>
      </c>
      <c r="K658" s="10">
        <v>268</v>
      </c>
      <c r="L658" s="10">
        <v>536</v>
      </c>
      <c r="M658" s="10">
        <v>5</v>
      </c>
      <c r="N658" s="10">
        <v>27</v>
      </c>
      <c r="O658" s="10">
        <v>509</v>
      </c>
      <c r="P658" s="10">
        <v>3.2</v>
      </c>
      <c r="Q658" s="10" t="s">
        <v>75</v>
      </c>
    </row>
    <row r="659" spans="1:17" x14ac:dyDescent="0.25">
      <c r="A659" s="10" t="s">
        <v>1015</v>
      </c>
      <c r="B659" s="10" t="s">
        <v>1014</v>
      </c>
      <c r="C659" s="10" t="s">
        <v>63</v>
      </c>
      <c r="D659" s="10" t="s">
        <v>64</v>
      </c>
      <c r="E659" s="10" t="s">
        <v>82</v>
      </c>
      <c r="F659" s="10" t="s">
        <v>61</v>
      </c>
      <c r="G659" s="10" t="s">
        <v>32</v>
      </c>
      <c r="H659" s="10" t="s">
        <v>24</v>
      </c>
      <c r="I659" s="10" t="s">
        <v>45</v>
      </c>
      <c r="J659" s="10">
        <v>2</v>
      </c>
      <c r="K659" s="10">
        <v>1718</v>
      </c>
      <c r="L659" s="10">
        <v>3436</v>
      </c>
      <c r="M659" s="10">
        <v>10</v>
      </c>
      <c r="N659" s="10">
        <v>344</v>
      </c>
      <c r="O659" s="10">
        <v>3092</v>
      </c>
      <c r="P659" s="10">
        <v>4.2</v>
      </c>
      <c r="Q659" s="10" t="s">
        <v>26</v>
      </c>
    </row>
    <row r="660" spans="1:17" x14ac:dyDescent="0.25">
      <c r="A660" s="10" t="s">
        <v>1016</v>
      </c>
      <c r="B660" s="10" t="s">
        <v>1017</v>
      </c>
      <c r="C660" s="10" t="s">
        <v>28</v>
      </c>
      <c r="D660" s="10" t="s">
        <v>29</v>
      </c>
      <c r="E660" s="10" t="s">
        <v>37</v>
      </c>
      <c r="F660" s="10" t="s">
        <v>22</v>
      </c>
      <c r="G660" s="10" t="s">
        <v>44</v>
      </c>
      <c r="H660" s="10" t="s">
        <v>33</v>
      </c>
      <c r="I660" s="10" t="s">
        <v>98</v>
      </c>
      <c r="J660" s="10">
        <v>3</v>
      </c>
      <c r="K660" s="10">
        <v>993</v>
      </c>
      <c r="L660" s="10">
        <v>2979</v>
      </c>
      <c r="M660" s="10">
        <v>10</v>
      </c>
      <c r="N660" s="10">
        <v>298</v>
      </c>
      <c r="O660" s="10">
        <v>2681</v>
      </c>
      <c r="P660" s="10">
        <v>4.8</v>
      </c>
      <c r="Q660" s="10" t="s">
        <v>26</v>
      </c>
    </row>
    <row r="661" spans="1:17" x14ac:dyDescent="0.25">
      <c r="A661" s="10" t="s">
        <v>1018</v>
      </c>
      <c r="B661" s="10" t="s">
        <v>1019</v>
      </c>
      <c r="C661" s="10" t="s">
        <v>19</v>
      </c>
      <c r="D661" s="10" t="s">
        <v>128</v>
      </c>
      <c r="E661" s="10" t="s">
        <v>101</v>
      </c>
      <c r="F661" s="10" t="s">
        <v>130</v>
      </c>
      <c r="G661" s="10" t="s">
        <v>23</v>
      </c>
      <c r="H661" s="10" t="s">
        <v>24</v>
      </c>
      <c r="I661" s="10" t="s">
        <v>84</v>
      </c>
      <c r="J661" s="10">
        <v>5</v>
      </c>
      <c r="K661" s="10">
        <v>799</v>
      </c>
      <c r="L661" s="10">
        <v>3995</v>
      </c>
      <c r="M661" s="10">
        <v>15</v>
      </c>
      <c r="N661" s="10">
        <v>599</v>
      </c>
      <c r="O661" s="10">
        <v>3396</v>
      </c>
      <c r="P661" s="10">
        <v>4.5999999999999996</v>
      </c>
      <c r="Q661" s="10" t="s">
        <v>26</v>
      </c>
    </row>
    <row r="662" spans="1:17" x14ac:dyDescent="0.25">
      <c r="A662" s="10" t="s">
        <v>1020</v>
      </c>
      <c r="B662" s="10" t="s">
        <v>1019</v>
      </c>
      <c r="C662" s="10" t="s">
        <v>40</v>
      </c>
      <c r="D662" s="10" t="s">
        <v>47</v>
      </c>
      <c r="E662" s="10" t="s">
        <v>155</v>
      </c>
      <c r="F662" s="10" t="s">
        <v>130</v>
      </c>
      <c r="G662" s="10" t="s">
        <v>23</v>
      </c>
      <c r="H662" s="10" t="s">
        <v>33</v>
      </c>
      <c r="I662" s="10" t="s">
        <v>45</v>
      </c>
      <c r="J662" s="10">
        <v>4</v>
      </c>
      <c r="K662" s="10">
        <v>843</v>
      </c>
      <c r="L662" s="10">
        <v>3372</v>
      </c>
      <c r="M662" s="10">
        <v>5</v>
      </c>
      <c r="N662" s="10">
        <v>169</v>
      </c>
      <c r="O662" s="10">
        <v>3203</v>
      </c>
      <c r="P662" s="10">
        <v>3.9</v>
      </c>
      <c r="Q662" s="10" t="s">
        <v>26</v>
      </c>
    </row>
    <row r="663" spans="1:17" x14ac:dyDescent="0.25">
      <c r="A663" s="10" t="s">
        <v>1021</v>
      </c>
      <c r="B663" s="10" t="s">
        <v>1019</v>
      </c>
      <c r="C663" s="10" t="s">
        <v>91</v>
      </c>
      <c r="D663" s="10" t="s">
        <v>125</v>
      </c>
      <c r="E663" s="10" t="s">
        <v>78</v>
      </c>
      <c r="F663" s="10" t="s">
        <v>83</v>
      </c>
      <c r="G663" s="10" t="s">
        <v>32</v>
      </c>
      <c r="H663" s="10" t="s">
        <v>24</v>
      </c>
      <c r="I663" s="10" t="s">
        <v>34</v>
      </c>
      <c r="J663" s="10">
        <v>2</v>
      </c>
      <c r="K663" s="10">
        <v>1140</v>
      </c>
      <c r="L663" s="10">
        <v>2280</v>
      </c>
      <c r="M663" s="10">
        <v>20</v>
      </c>
      <c r="N663" s="10">
        <v>456</v>
      </c>
      <c r="O663" s="10">
        <v>1824</v>
      </c>
      <c r="P663" s="10">
        <v>3.6</v>
      </c>
      <c r="Q663" s="10" t="s">
        <v>26</v>
      </c>
    </row>
    <row r="664" spans="1:17" x14ac:dyDescent="0.25">
      <c r="A664" s="10" t="s">
        <v>1022</v>
      </c>
      <c r="B664" s="10" t="s">
        <v>1019</v>
      </c>
      <c r="C664" s="10" t="s">
        <v>28</v>
      </c>
      <c r="D664" s="10" t="s">
        <v>29</v>
      </c>
      <c r="E664" s="10" t="s">
        <v>48</v>
      </c>
      <c r="F664" s="10" t="s">
        <v>43</v>
      </c>
      <c r="G664" s="10" t="s">
        <v>23</v>
      </c>
      <c r="H664" s="10" t="s">
        <v>104</v>
      </c>
      <c r="I664" s="10" t="s">
        <v>45</v>
      </c>
      <c r="J664" s="10">
        <v>1</v>
      </c>
      <c r="K664" s="10">
        <v>240</v>
      </c>
      <c r="L664" s="10">
        <v>240</v>
      </c>
      <c r="M664" s="10">
        <v>5</v>
      </c>
      <c r="N664" s="10">
        <v>12</v>
      </c>
      <c r="O664" s="10">
        <v>228</v>
      </c>
      <c r="P664" s="10">
        <v>4.5</v>
      </c>
      <c r="Q664" s="10" t="s">
        <v>75</v>
      </c>
    </row>
    <row r="665" spans="1:17" x14ac:dyDescent="0.25">
      <c r="A665" s="10" t="s">
        <v>1023</v>
      </c>
      <c r="B665" s="10" t="s">
        <v>1019</v>
      </c>
      <c r="C665" s="10" t="s">
        <v>19</v>
      </c>
      <c r="D665" s="10" t="s">
        <v>230</v>
      </c>
      <c r="E665" s="10" t="s">
        <v>53</v>
      </c>
      <c r="F665" s="10" t="s">
        <v>72</v>
      </c>
      <c r="G665" s="10" t="s">
        <v>23</v>
      </c>
      <c r="H665" s="10" t="s">
        <v>33</v>
      </c>
      <c r="I665" s="10" t="s">
        <v>84</v>
      </c>
      <c r="J665" s="10">
        <v>1</v>
      </c>
      <c r="K665" s="10">
        <v>357</v>
      </c>
      <c r="L665" s="10">
        <v>357</v>
      </c>
      <c r="M665" s="10">
        <v>15</v>
      </c>
      <c r="N665" s="10">
        <v>54</v>
      </c>
      <c r="O665" s="10">
        <v>303</v>
      </c>
      <c r="P665" s="10">
        <v>3.4</v>
      </c>
      <c r="Q665" s="10" t="s">
        <v>26</v>
      </c>
    </row>
    <row r="666" spans="1:17" x14ac:dyDescent="0.25">
      <c r="A666" s="10" t="s">
        <v>1024</v>
      </c>
      <c r="B666" s="10" t="s">
        <v>1025</v>
      </c>
      <c r="C666" s="10" t="s">
        <v>28</v>
      </c>
      <c r="D666" s="10" t="s">
        <v>77</v>
      </c>
      <c r="E666" s="10" t="s">
        <v>155</v>
      </c>
      <c r="F666" s="10" t="s">
        <v>31</v>
      </c>
      <c r="G666" s="10" t="s">
        <v>23</v>
      </c>
      <c r="H666" s="10" t="s">
        <v>33</v>
      </c>
      <c r="I666" s="10" t="s">
        <v>34</v>
      </c>
      <c r="J666" s="10">
        <v>1</v>
      </c>
      <c r="K666" s="10">
        <v>905</v>
      </c>
      <c r="L666" s="10">
        <v>905</v>
      </c>
      <c r="M666" s="10">
        <v>30</v>
      </c>
      <c r="N666" s="10">
        <v>272</v>
      </c>
      <c r="O666" s="10">
        <v>633</v>
      </c>
      <c r="P666" s="10">
        <v>4.7</v>
      </c>
      <c r="Q666" s="10" t="s">
        <v>26</v>
      </c>
    </row>
    <row r="667" spans="1:17" x14ac:dyDescent="0.25">
      <c r="A667" s="10" t="s">
        <v>1026</v>
      </c>
      <c r="B667" s="10" t="s">
        <v>1025</v>
      </c>
      <c r="C667" s="10" t="s">
        <v>91</v>
      </c>
      <c r="D667" s="10" t="s">
        <v>92</v>
      </c>
      <c r="E667" s="10" t="s">
        <v>53</v>
      </c>
      <c r="F667" s="10" t="s">
        <v>130</v>
      </c>
      <c r="G667" s="10" t="s">
        <v>32</v>
      </c>
      <c r="H667" s="10" t="s">
        <v>33</v>
      </c>
      <c r="I667" s="10" t="s">
        <v>34</v>
      </c>
      <c r="J667" s="10">
        <v>1</v>
      </c>
      <c r="K667" s="10">
        <v>1040</v>
      </c>
      <c r="L667" s="10">
        <v>1040</v>
      </c>
      <c r="M667" s="10">
        <v>20</v>
      </c>
      <c r="N667" s="10">
        <v>208</v>
      </c>
      <c r="O667" s="10">
        <v>832</v>
      </c>
      <c r="P667" s="10">
        <v>5</v>
      </c>
      <c r="Q667" s="10" t="s">
        <v>26</v>
      </c>
    </row>
    <row r="668" spans="1:17" x14ac:dyDescent="0.25">
      <c r="A668" s="10" t="s">
        <v>1027</v>
      </c>
      <c r="B668" s="10" t="s">
        <v>1025</v>
      </c>
      <c r="C668" s="10" t="s">
        <v>63</v>
      </c>
      <c r="D668" s="10" t="s">
        <v>134</v>
      </c>
      <c r="E668" s="10" t="s">
        <v>53</v>
      </c>
      <c r="F668" s="10" t="s">
        <v>72</v>
      </c>
      <c r="G668" s="10" t="s">
        <v>32</v>
      </c>
      <c r="H668" s="10" t="s">
        <v>24</v>
      </c>
      <c r="I668" s="10" t="s">
        <v>98</v>
      </c>
      <c r="J668" s="10">
        <v>2</v>
      </c>
      <c r="K668" s="10">
        <v>1189</v>
      </c>
      <c r="L668" s="10">
        <v>2378</v>
      </c>
      <c r="M668" s="10">
        <v>30</v>
      </c>
      <c r="N668" s="10">
        <v>713</v>
      </c>
      <c r="O668" s="10">
        <v>1665</v>
      </c>
      <c r="P668" s="10">
        <v>4.8</v>
      </c>
      <c r="Q668" s="10" t="s">
        <v>26</v>
      </c>
    </row>
    <row r="669" spans="1:17" x14ac:dyDescent="0.25">
      <c r="A669" s="10" t="s">
        <v>1028</v>
      </c>
      <c r="B669" s="10" t="s">
        <v>1025</v>
      </c>
      <c r="C669" s="10" t="s">
        <v>40</v>
      </c>
      <c r="D669" s="10" t="s">
        <v>41</v>
      </c>
      <c r="E669" s="10" t="s">
        <v>42</v>
      </c>
      <c r="F669" s="10" t="s">
        <v>83</v>
      </c>
      <c r="G669" s="10" t="s">
        <v>23</v>
      </c>
      <c r="H669" s="10" t="s">
        <v>33</v>
      </c>
      <c r="I669" s="10" t="s">
        <v>45</v>
      </c>
      <c r="J669" s="10">
        <v>1</v>
      </c>
      <c r="K669" s="10">
        <v>1116</v>
      </c>
      <c r="L669" s="10">
        <v>1116</v>
      </c>
      <c r="M669" s="10">
        <v>5</v>
      </c>
      <c r="N669" s="10">
        <v>56</v>
      </c>
      <c r="O669" s="10">
        <v>1060</v>
      </c>
      <c r="P669" s="10">
        <v>3.2</v>
      </c>
      <c r="Q669" s="10" t="s">
        <v>26</v>
      </c>
    </row>
    <row r="670" spans="1:17" x14ac:dyDescent="0.25">
      <c r="A670" s="10" t="s">
        <v>1029</v>
      </c>
      <c r="B670" s="10" t="s">
        <v>1030</v>
      </c>
      <c r="C670" s="10" t="s">
        <v>51</v>
      </c>
      <c r="D670" s="10" t="s">
        <v>70</v>
      </c>
      <c r="E670" s="10" t="s">
        <v>71</v>
      </c>
      <c r="F670" s="10" t="s">
        <v>22</v>
      </c>
      <c r="G670" s="10" t="s">
        <v>23</v>
      </c>
      <c r="H670" s="10" t="s">
        <v>24</v>
      </c>
      <c r="I670" s="10" t="s">
        <v>98</v>
      </c>
      <c r="J670" s="10">
        <v>2</v>
      </c>
      <c r="K670" s="10">
        <v>672</v>
      </c>
      <c r="L670" s="10">
        <v>1344</v>
      </c>
      <c r="M670" s="10">
        <v>15</v>
      </c>
      <c r="N670" s="10">
        <v>202</v>
      </c>
      <c r="O670" s="10">
        <v>1142</v>
      </c>
      <c r="P670" s="10">
        <v>3.8</v>
      </c>
      <c r="Q670" s="10" t="s">
        <v>26</v>
      </c>
    </row>
    <row r="671" spans="1:17" x14ac:dyDescent="0.25">
      <c r="A671" s="10" t="s">
        <v>1031</v>
      </c>
      <c r="B671" s="10" t="s">
        <v>1030</v>
      </c>
      <c r="C671" s="10" t="s">
        <v>63</v>
      </c>
      <c r="D671" s="10" t="s">
        <v>134</v>
      </c>
      <c r="E671" s="10" t="s">
        <v>37</v>
      </c>
      <c r="F671" s="10" t="s">
        <v>83</v>
      </c>
      <c r="G671" s="10" t="s">
        <v>32</v>
      </c>
      <c r="H671" s="10" t="s">
        <v>24</v>
      </c>
      <c r="I671" s="10" t="s">
        <v>25</v>
      </c>
      <c r="J671" s="10">
        <v>3</v>
      </c>
      <c r="K671" s="10">
        <v>1030</v>
      </c>
      <c r="L671" s="10">
        <v>3090</v>
      </c>
      <c r="M671" s="10">
        <v>20</v>
      </c>
      <c r="N671" s="10">
        <v>618</v>
      </c>
      <c r="O671" s="10">
        <v>2472</v>
      </c>
      <c r="P671" s="10">
        <v>3.8</v>
      </c>
      <c r="Q671" s="10" t="s">
        <v>26</v>
      </c>
    </row>
    <row r="672" spans="1:17" x14ac:dyDescent="0.25">
      <c r="A672" s="10" t="s">
        <v>1032</v>
      </c>
      <c r="B672" s="10" t="s">
        <v>1033</v>
      </c>
      <c r="C672" s="10" t="s">
        <v>63</v>
      </c>
      <c r="D672" s="10" t="s">
        <v>64</v>
      </c>
      <c r="E672" s="10" t="s">
        <v>60</v>
      </c>
      <c r="F672" s="10" t="s">
        <v>65</v>
      </c>
      <c r="G672" s="10" t="s">
        <v>23</v>
      </c>
      <c r="H672" s="10" t="s">
        <v>33</v>
      </c>
      <c r="I672" s="10" t="s">
        <v>45</v>
      </c>
      <c r="J672" s="10">
        <v>3</v>
      </c>
      <c r="K672" s="10">
        <v>1351</v>
      </c>
      <c r="L672" s="10">
        <v>4053</v>
      </c>
      <c r="M672" s="10">
        <v>25</v>
      </c>
      <c r="N672" s="10">
        <v>1013</v>
      </c>
      <c r="O672" s="10">
        <v>3040</v>
      </c>
      <c r="P672" s="10">
        <v>3.3</v>
      </c>
      <c r="Q672" s="10" t="s">
        <v>26</v>
      </c>
    </row>
    <row r="673" spans="1:17" x14ac:dyDescent="0.25">
      <c r="A673" s="10" t="s">
        <v>1034</v>
      </c>
      <c r="B673" s="10" t="s">
        <v>1033</v>
      </c>
      <c r="C673" s="10" t="s">
        <v>28</v>
      </c>
      <c r="D673" s="10" t="s">
        <v>77</v>
      </c>
      <c r="E673" s="10" t="s">
        <v>42</v>
      </c>
      <c r="F673" s="10" t="s">
        <v>130</v>
      </c>
      <c r="G673" s="10" t="s">
        <v>23</v>
      </c>
      <c r="H673" s="10" t="s">
        <v>33</v>
      </c>
      <c r="I673" s="10" t="s">
        <v>45</v>
      </c>
      <c r="J673" s="10">
        <v>3</v>
      </c>
      <c r="K673" s="10">
        <v>347</v>
      </c>
      <c r="L673" s="10">
        <v>1041</v>
      </c>
      <c r="M673" s="10">
        <v>10</v>
      </c>
      <c r="N673" s="10">
        <v>104</v>
      </c>
      <c r="O673" s="10">
        <v>937</v>
      </c>
      <c r="P673" s="10">
        <v>4.4000000000000004</v>
      </c>
      <c r="Q673" s="10" t="s">
        <v>26</v>
      </c>
    </row>
    <row r="674" spans="1:17" x14ac:dyDescent="0.25">
      <c r="A674" s="10" t="s">
        <v>1035</v>
      </c>
      <c r="B674" s="10" t="s">
        <v>1033</v>
      </c>
      <c r="C674" s="10" t="s">
        <v>40</v>
      </c>
      <c r="D674" s="10" t="s">
        <v>68</v>
      </c>
      <c r="E674" s="10" t="s">
        <v>101</v>
      </c>
      <c r="F674" s="10" t="s">
        <v>22</v>
      </c>
      <c r="G674" s="10" t="s">
        <v>23</v>
      </c>
      <c r="H674" s="10" t="s">
        <v>104</v>
      </c>
      <c r="I674" s="10" t="s">
        <v>98</v>
      </c>
      <c r="J674" s="10">
        <v>3</v>
      </c>
      <c r="K674" s="10">
        <v>1426</v>
      </c>
      <c r="L674" s="10">
        <v>4278</v>
      </c>
      <c r="M674" s="10">
        <v>0</v>
      </c>
      <c r="N674" s="10">
        <v>0</v>
      </c>
      <c r="O674" s="10">
        <v>4278</v>
      </c>
      <c r="P674" s="10">
        <v>4.8</v>
      </c>
      <c r="Q674" s="10" t="s">
        <v>26</v>
      </c>
    </row>
    <row r="675" spans="1:17" x14ac:dyDescent="0.25">
      <c r="A675" s="10" t="s">
        <v>1036</v>
      </c>
      <c r="B675" s="10" t="s">
        <v>1037</v>
      </c>
      <c r="C675" s="10" t="s">
        <v>40</v>
      </c>
      <c r="D675" s="10" t="s">
        <v>113</v>
      </c>
      <c r="E675" s="10" t="s">
        <v>60</v>
      </c>
      <c r="F675" s="10" t="s">
        <v>83</v>
      </c>
      <c r="G675" s="10" t="s">
        <v>23</v>
      </c>
      <c r="H675" s="10" t="s">
        <v>104</v>
      </c>
      <c r="I675" s="10" t="s">
        <v>34</v>
      </c>
      <c r="J675" s="10">
        <v>4</v>
      </c>
      <c r="K675" s="10">
        <v>359</v>
      </c>
      <c r="L675" s="10">
        <v>1436</v>
      </c>
      <c r="M675" s="10">
        <v>30</v>
      </c>
      <c r="N675" s="10">
        <v>431</v>
      </c>
      <c r="O675" s="10">
        <v>1005</v>
      </c>
      <c r="P675" s="10">
        <v>3.5</v>
      </c>
      <c r="Q675" s="10" t="s">
        <v>26</v>
      </c>
    </row>
    <row r="676" spans="1:17" x14ac:dyDescent="0.25">
      <c r="A676" s="10" t="s">
        <v>1038</v>
      </c>
      <c r="B676" s="10" t="s">
        <v>1039</v>
      </c>
      <c r="C676" s="10" t="s">
        <v>51</v>
      </c>
      <c r="D676" s="10" t="s">
        <v>52</v>
      </c>
      <c r="E676" s="10" t="s">
        <v>21</v>
      </c>
      <c r="F676" s="10" t="s">
        <v>61</v>
      </c>
      <c r="G676" s="10" t="s">
        <v>23</v>
      </c>
      <c r="H676" s="10" t="s">
        <v>33</v>
      </c>
      <c r="I676" s="10" t="s">
        <v>84</v>
      </c>
      <c r="J676" s="10">
        <v>5</v>
      </c>
      <c r="K676" s="10">
        <v>759</v>
      </c>
      <c r="L676" s="10">
        <v>3795</v>
      </c>
      <c r="M676" s="10">
        <v>25</v>
      </c>
      <c r="N676" s="10">
        <v>949</v>
      </c>
      <c r="O676" s="10">
        <v>2846</v>
      </c>
      <c r="P676" s="10">
        <v>4.2</v>
      </c>
      <c r="Q676" s="10" t="s">
        <v>26</v>
      </c>
    </row>
    <row r="677" spans="1:17" x14ac:dyDescent="0.25">
      <c r="A677" s="10" t="s">
        <v>1040</v>
      </c>
      <c r="B677" s="10" t="s">
        <v>1039</v>
      </c>
      <c r="C677" s="10" t="s">
        <v>19</v>
      </c>
      <c r="D677" s="10" t="s">
        <v>230</v>
      </c>
      <c r="E677" s="10" t="s">
        <v>21</v>
      </c>
      <c r="F677" s="10" t="s">
        <v>130</v>
      </c>
      <c r="G677" s="10" t="s">
        <v>23</v>
      </c>
      <c r="H677" s="10" t="s">
        <v>24</v>
      </c>
      <c r="I677" s="10" t="s">
        <v>84</v>
      </c>
      <c r="J677" s="10">
        <v>5</v>
      </c>
      <c r="K677" s="10">
        <v>697</v>
      </c>
      <c r="L677" s="10">
        <v>3485</v>
      </c>
      <c r="M677" s="10">
        <v>15</v>
      </c>
      <c r="N677" s="10">
        <v>523</v>
      </c>
      <c r="O677" s="10">
        <v>2962</v>
      </c>
      <c r="P677" s="10">
        <v>4.2</v>
      </c>
      <c r="Q677" s="10" t="s">
        <v>26</v>
      </c>
    </row>
    <row r="678" spans="1:17" x14ac:dyDescent="0.25">
      <c r="A678" s="10" t="s">
        <v>1041</v>
      </c>
      <c r="B678" s="10" t="s">
        <v>1039</v>
      </c>
      <c r="C678" s="10" t="s">
        <v>28</v>
      </c>
      <c r="D678" s="10" t="s">
        <v>163</v>
      </c>
      <c r="E678" s="10" t="s">
        <v>60</v>
      </c>
      <c r="F678" s="10" t="s">
        <v>72</v>
      </c>
      <c r="G678" s="10" t="s">
        <v>23</v>
      </c>
      <c r="H678" s="10" t="s">
        <v>33</v>
      </c>
      <c r="I678" s="10" t="s">
        <v>98</v>
      </c>
      <c r="J678" s="10">
        <v>3</v>
      </c>
      <c r="K678" s="10">
        <v>1056</v>
      </c>
      <c r="L678" s="10">
        <v>3168</v>
      </c>
      <c r="M678" s="10">
        <v>25</v>
      </c>
      <c r="N678" s="10">
        <v>792</v>
      </c>
      <c r="O678" s="10">
        <v>2376</v>
      </c>
      <c r="P678" s="10">
        <v>3.2</v>
      </c>
      <c r="Q678" s="10" t="s">
        <v>26</v>
      </c>
    </row>
    <row r="679" spans="1:17" x14ac:dyDescent="0.25">
      <c r="A679" s="10" t="s">
        <v>1042</v>
      </c>
      <c r="B679" s="10" t="s">
        <v>1043</v>
      </c>
      <c r="C679" s="10" t="s">
        <v>91</v>
      </c>
      <c r="D679" s="10" t="s">
        <v>125</v>
      </c>
      <c r="E679" s="10" t="s">
        <v>37</v>
      </c>
      <c r="F679" s="10" t="s">
        <v>83</v>
      </c>
      <c r="G679" s="10" t="s">
        <v>23</v>
      </c>
      <c r="H679" s="10" t="s">
        <v>104</v>
      </c>
      <c r="I679" s="10" t="s">
        <v>25</v>
      </c>
      <c r="J679" s="10">
        <v>3</v>
      </c>
      <c r="K679" s="10">
        <v>1182</v>
      </c>
      <c r="L679" s="10">
        <v>3546</v>
      </c>
      <c r="M679" s="10">
        <v>30</v>
      </c>
      <c r="N679" s="10">
        <v>1064</v>
      </c>
      <c r="O679" s="10">
        <v>2482</v>
      </c>
      <c r="P679" s="10">
        <v>3.9</v>
      </c>
      <c r="Q679" s="10" t="s">
        <v>26</v>
      </c>
    </row>
    <row r="680" spans="1:17" x14ac:dyDescent="0.25">
      <c r="A680" s="10" t="s">
        <v>1044</v>
      </c>
      <c r="B680" s="10" t="s">
        <v>1043</v>
      </c>
      <c r="C680" s="10" t="s">
        <v>40</v>
      </c>
      <c r="D680" s="10" t="s">
        <v>57</v>
      </c>
      <c r="E680" s="10" t="s">
        <v>82</v>
      </c>
      <c r="F680" s="10" t="s">
        <v>31</v>
      </c>
      <c r="G680" s="10" t="s">
        <v>32</v>
      </c>
      <c r="H680" s="10" t="s">
        <v>24</v>
      </c>
      <c r="I680" s="10" t="s">
        <v>34</v>
      </c>
      <c r="J680" s="10">
        <v>5</v>
      </c>
      <c r="K680" s="10">
        <v>1265</v>
      </c>
      <c r="L680" s="10">
        <v>6325</v>
      </c>
      <c r="M680" s="10">
        <v>10</v>
      </c>
      <c r="N680" s="10">
        <v>632</v>
      </c>
      <c r="O680" s="10">
        <v>5693</v>
      </c>
      <c r="P680" s="10">
        <v>4.5</v>
      </c>
      <c r="Q680" s="10" t="s">
        <v>26</v>
      </c>
    </row>
    <row r="681" spans="1:17" x14ac:dyDescent="0.25">
      <c r="A681" s="10" t="s">
        <v>1045</v>
      </c>
      <c r="B681" s="10" t="s">
        <v>1043</v>
      </c>
      <c r="C681" s="10" t="s">
        <v>63</v>
      </c>
      <c r="D681" s="10" t="s">
        <v>64</v>
      </c>
      <c r="E681" s="10" t="s">
        <v>48</v>
      </c>
      <c r="F681" s="10" t="s">
        <v>72</v>
      </c>
      <c r="G681" s="10" t="s">
        <v>32</v>
      </c>
      <c r="H681" s="10" t="s">
        <v>24</v>
      </c>
      <c r="I681" s="10" t="s">
        <v>45</v>
      </c>
      <c r="J681" s="10">
        <v>3</v>
      </c>
      <c r="K681" s="10">
        <v>479</v>
      </c>
      <c r="L681" s="10">
        <v>1437</v>
      </c>
      <c r="M681" s="10">
        <v>0</v>
      </c>
      <c r="N681" s="10">
        <v>0</v>
      </c>
      <c r="O681" s="10">
        <v>1437</v>
      </c>
      <c r="P681" s="10">
        <v>3.3</v>
      </c>
      <c r="Q681" s="10" t="s">
        <v>26</v>
      </c>
    </row>
    <row r="682" spans="1:17" x14ac:dyDescent="0.25">
      <c r="A682" s="10" t="s">
        <v>1046</v>
      </c>
      <c r="B682" s="10" t="s">
        <v>1043</v>
      </c>
      <c r="C682" s="10" t="s">
        <v>28</v>
      </c>
      <c r="D682" s="10" t="s">
        <v>36</v>
      </c>
      <c r="E682" s="10" t="s">
        <v>30</v>
      </c>
      <c r="F682" s="10" t="s">
        <v>119</v>
      </c>
      <c r="G682" s="10" t="s">
        <v>44</v>
      </c>
      <c r="H682" s="10" t="s">
        <v>24</v>
      </c>
      <c r="I682" s="10" t="s">
        <v>98</v>
      </c>
      <c r="J682" s="10">
        <v>2</v>
      </c>
      <c r="K682" s="10">
        <v>335</v>
      </c>
      <c r="L682" s="10">
        <v>670</v>
      </c>
      <c r="M682" s="10">
        <v>0</v>
      </c>
      <c r="N682" s="10">
        <v>0</v>
      </c>
      <c r="O682" s="10">
        <v>670</v>
      </c>
      <c r="P682" s="10">
        <v>4.2</v>
      </c>
      <c r="Q682" s="10" t="s">
        <v>26</v>
      </c>
    </row>
    <row r="683" spans="1:17" x14ac:dyDescent="0.25">
      <c r="A683" s="10" t="s">
        <v>1047</v>
      </c>
      <c r="B683" s="10" t="s">
        <v>1043</v>
      </c>
      <c r="C683" s="10" t="s">
        <v>51</v>
      </c>
      <c r="D683" s="10" t="s">
        <v>97</v>
      </c>
      <c r="E683" s="10" t="s">
        <v>30</v>
      </c>
      <c r="F683" s="10" t="s">
        <v>43</v>
      </c>
      <c r="G683" s="10" t="s">
        <v>44</v>
      </c>
      <c r="H683" s="10" t="s">
        <v>24</v>
      </c>
      <c r="I683" s="10" t="s">
        <v>45</v>
      </c>
      <c r="J683" s="10">
        <v>1</v>
      </c>
      <c r="K683" s="10">
        <v>156</v>
      </c>
      <c r="L683" s="10">
        <v>156</v>
      </c>
      <c r="M683" s="10">
        <v>10</v>
      </c>
      <c r="N683" s="10">
        <v>16</v>
      </c>
      <c r="O683" s="10">
        <v>140</v>
      </c>
      <c r="P683" s="10">
        <v>3.6</v>
      </c>
      <c r="Q683" s="10" t="s">
        <v>26</v>
      </c>
    </row>
    <row r="684" spans="1:17" x14ac:dyDescent="0.25">
      <c r="A684" s="10" t="s">
        <v>1048</v>
      </c>
      <c r="B684" s="10" t="s">
        <v>1049</v>
      </c>
      <c r="C684" s="10" t="s">
        <v>28</v>
      </c>
      <c r="D684" s="10" t="s">
        <v>29</v>
      </c>
      <c r="E684" s="10" t="s">
        <v>78</v>
      </c>
      <c r="F684" s="10" t="s">
        <v>61</v>
      </c>
      <c r="G684" s="10" t="s">
        <v>32</v>
      </c>
      <c r="H684" s="10" t="s">
        <v>33</v>
      </c>
      <c r="I684" s="10" t="s">
        <v>84</v>
      </c>
      <c r="J684" s="10">
        <v>2</v>
      </c>
      <c r="K684" s="10">
        <v>552</v>
      </c>
      <c r="L684" s="10">
        <v>1104</v>
      </c>
      <c r="M684" s="10">
        <v>10</v>
      </c>
      <c r="N684" s="10">
        <v>110</v>
      </c>
      <c r="O684" s="10">
        <v>994</v>
      </c>
      <c r="P684" s="10">
        <v>4.0999999999999996</v>
      </c>
      <c r="Q684" s="10" t="s">
        <v>26</v>
      </c>
    </row>
    <row r="685" spans="1:17" x14ac:dyDescent="0.25">
      <c r="A685" s="10" t="s">
        <v>1050</v>
      </c>
      <c r="B685" s="10" t="s">
        <v>1049</v>
      </c>
      <c r="C685" s="10" t="s">
        <v>51</v>
      </c>
      <c r="D685" s="10" t="s">
        <v>70</v>
      </c>
      <c r="E685" s="10" t="s">
        <v>155</v>
      </c>
      <c r="F685" s="10" t="s">
        <v>119</v>
      </c>
      <c r="G685" s="10" t="s">
        <v>23</v>
      </c>
      <c r="H685" s="10" t="s">
        <v>24</v>
      </c>
      <c r="I685" s="10" t="s">
        <v>45</v>
      </c>
      <c r="J685" s="10">
        <v>2</v>
      </c>
      <c r="K685" s="10">
        <v>255</v>
      </c>
      <c r="L685" s="10">
        <v>510</v>
      </c>
      <c r="M685" s="10">
        <v>5</v>
      </c>
      <c r="N685" s="10">
        <v>26</v>
      </c>
      <c r="O685" s="10">
        <v>484</v>
      </c>
      <c r="P685" s="10">
        <v>3.3</v>
      </c>
      <c r="Q685" s="10" t="s">
        <v>26</v>
      </c>
    </row>
    <row r="686" spans="1:17" x14ac:dyDescent="0.25">
      <c r="A686" s="10" t="s">
        <v>1051</v>
      </c>
      <c r="B686" s="10" t="s">
        <v>1049</v>
      </c>
      <c r="C686" s="10" t="s">
        <v>91</v>
      </c>
      <c r="D686" s="10" t="s">
        <v>92</v>
      </c>
      <c r="E686" s="10" t="s">
        <v>21</v>
      </c>
      <c r="F686" s="10" t="s">
        <v>119</v>
      </c>
      <c r="G686" s="10" t="s">
        <v>23</v>
      </c>
      <c r="H686" s="10" t="s">
        <v>104</v>
      </c>
      <c r="I686" s="10" t="s">
        <v>98</v>
      </c>
      <c r="J686" s="10">
        <v>3</v>
      </c>
      <c r="K686" s="10">
        <v>1057</v>
      </c>
      <c r="L686" s="10">
        <v>3171</v>
      </c>
      <c r="M686" s="10">
        <v>20</v>
      </c>
      <c r="N686" s="10">
        <v>634</v>
      </c>
      <c r="O686" s="10">
        <v>2537</v>
      </c>
      <c r="P686" s="10">
        <v>4.7</v>
      </c>
      <c r="Q686" s="10" t="s">
        <v>26</v>
      </c>
    </row>
    <row r="687" spans="1:17" x14ac:dyDescent="0.25">
      <c r="A687" s="10" t="s">
        <v>1052</v>
      </c>
      <c r="B687" s="10" t="s">
        <v>1049</v>
      </c>
      <c r="C687" s="10" t="s">
        <v>28</v>
      </c>
      <c r="D687" s="10" t="s">
        <v>29</v>
      </c>
      <c r="E687" s="10" t="s">
        <v>155</v>
      </c>
      <c r="F687" s="10" t="s">
        <v>31</v>
      </c>
      <c r="G687" s="10" t="s">
        <v>32</v>
      </c>
      <c r="H687" s="10" t="s">
        <v>33</v>
      </c>
      <c r="I687" s="10" t="s">
        <v>34</v>
      </c>
      <c r="J687" s="10">
        <v>4</v>
      </c>
      <c r="K687" s="10">
        <v>725</v>
      </c>
      <c r="L687" s="10">
        <v>2900</v>
      </c>
      <c r="M687" s="10">
        <v>25</v>
      </c>
      <c r="N687" s="10">
        <v>725</v>
      </c>
      <c r="O687" s="10">
        <v>2175</v>
      </c>
      <c r="P687" s="10">
        <v>3.4</v>
      </c>
      <c r="Q687" s="10" t="s">
        <v>26</v>
      </c>
    </row>
    <row r="688" spans="1:17" x14ac:dyDescent="0.25">
      <c r="A688" s="10" t="s">
        <v>1053</v>
      </c>
      <c r="B688" s="10" t="s">
        <v>1049</v>
      </c>
      <c r="C688" s="10" t="s">
        <v>40</v>
      </c>
      <c r="D688" s="10" t="s">
        <v>68</v>
      </c>
      <c r="E688" s="10" t="s">
        <v>30</v>
      </c>
      <c r="F688" s="10" t="s">
        <v>31</v>
      </c>
      <c r="G688" s="10" t="s">
        <v>23</v>
      </c>
      <c r="H688" s="10" t="s">
        <v>33</v>
      </c>
      <c r="I688" s="10" t="s">
        <v>84</v>
      </c>
      <c r="J688" s="10">
        <v>4</v>
      </c>
      <c r="K688" s="10">
        <v>1086</v>
      </c>
      <c r="L688" s="10">
        <v>4344</v>
      </c>
      <c r="M688" s="10">
        <v>25</v>
      </c>
      <c r="N688" s="10">
        <v>1086</v>
      </c>
      <c r="O688" s="10">
        <v>3258</v>
      </c>
      <c r="P688" s="10">
        <v>3.4</v>
      </c>
      <c r="Q688" s="10" t="s">
        <v>26</v>
      </c>
    </row>
    <row r="689" spans="1:17" x14ac:dyDescent="0.25">
      <c r="A689" s="10" t="s">
        <v>1054</v>
      </c>
      <c r="B689" s="10" t="s">
        <v>1055</v>
      </c>
      <c r="C689" s="10" t="s">
        <v>28</v>
      </c>
      <c r="D689" s="10" t="s">
        <v>36</v>
      </c>
      <c r="E689" s="10" t="s">
        <v>78</v>
      </c>
      <c r="F689" s="10" t="s">
        <v>65</v>
      </c>
      <c r="G689" s="10" t="s">
        <v>23</v>
      </c>
      <c r="H689" s="10" t="s">
        <v>24</v>
      </c>
      <c r="I689" s="10" t="s">
        <v>98</v>
      </c>
      <c r="J689" s="10">
        <v>3</v>
      </c>
      <c r="K689" s="10">
        <v>419</v>
      </c>
      <c r="L689" s="10">
        <v>1257</v>
      </c>
      <c r="M689" s="10">
        <v>15</v>
      </c>
      <c r="N689" s="10">
        <v>189</v>
      </c>
      <c r="O689" s="10">
        <v>1068</v>
      </c>
      <c r="P689" s="10">
        <v>3.7</v>
      </c>
      <c r="Q689" s="10" t="s">
        <v>26</v>
      </c>
    </row>
    <row r="690" spans="1:17" x14ac:dyDescent="0.25">
      <c r="A690" s="10" t="s">
        <v>1056</v>
      </c>
      <c r="B690" s="10" t="s">
        <v>1055</v>
      </c>
      <c r="C690" s="10" t="s">
        <v>51</v>
      </c>
      <c r="D690" s="10" t="s">
        <v>52</v>
      </c>
      <c r="E690" s="10" t="s">
        <v>37</v>
      </c>
      <c r="F690" s="10" t="s">
        <v>22</v>
      </c>
      <c r="G690" s="10" t="s">
        <v>32</v>
      </c>
      <c r="H690" s="10" t="s">
        <v>104</v>
      </c>
      <c r="I690" s="10" t="s">
        <v>84</v>
      </c>
      <c r="J690" s="10">
        <v>2</v>
      </c>
      <c r="K690" s="10">
        <v>413</v>
      </c>
      <c r="L690" s="10">
        <v>826</v>
      </c>
      <c r="M690" s="10">
        <v>15</v>
      </c>
      <c r="N690" s="10">
        <v>124</v>
      </c>
      <c r="O690" s="10">
        <v>702</v>
      </c>
      <c r="P690" s="10">
        <v>3.6</v>
      </c>
      <c r="Q690" s="10" t="s">
        <v>26</v>
      </c>
    </row>
    <row r="691" spans="1:17" x14ac:dyDescent="0.25">
      <c r="A691" s="10" t="s">
        <v>1057</v>
      </c>
      <c r="B691" s="10" t="s">
        <v>1058</v>
      </c>
      <c r="C691" s="10" t="s">
        <v>19</v>
      </c>
      <c r="D691" s="10" t="s">
        <v>121</v>
      </c>
      <c r="E691" s="10" t="s">
        <v>21</v>
      </c>
      <c r="F691" s="10" t="s">
        <v>130</v>
      </c>
      <c r="G691" s="10" t="s">
        <v>23</v>
      </c>
      <c r="H691" s="10" t="s">
        <v>33</v>
      </c>
      <c r="I691" s="10" t="s">
        <v>98</v>
      </c>
      <c r="J691" s="10">
        <v>5</v>
      </c>
      <c r="K691" s="10">
        <v>149</v>
      </c>
      <c r="L691" s="10">
        <v>745</v>
      </c>
      <c r="M691" s="10">
        <v>0</v>
      </c>
      <c r="N691" s="10">
        <v>0</v>
      </c>
      <c r="O691" s="10">
        <v>745</v>
      </c>
      <c r="P691" s="10">
        <v>4.5999999999999996</v>
      </c>
      <c r="Q691" s="10" t="s">
        <v>75</v>
      </c>
    </row>
    <row r="692" spans="1:17" x14ac:dyDescent="0.25">
      <c r="A692" s="10" t="s">
        <v>1059</v>
      </c>
      <c r="B692" s="10" t="s">
        <v>1058</v>
      </c>
      <c r="C692" s="10" t="s">
        <v>91</v>
      </c>
      <c r="D692" s="10" t="s">
        <v>110</v>
      </c>
      <c r="E692" s="10" t="s">
        <v>42</v>
      </c>
      <c r="F692" s="10" t="s">
        <v>22</v>
      </c>
      <c r="G692" s="10" t="s">
        <v>23</v>
      </c>
      <c r="H692" s="10" t="s">
        <v>33</v>
      </c>
      <c r="I692" s="10" t="s">
        <v>98</v>
      </c>
      <c r="J692" s="10">
        <v>2</v>
      </c>
      <c r="K692" s="10">
        <v>2352</v>
      </c>
      <c r="L692" s="10">
        <v>4704</v>
      </c>
      <c r="M692" s="10">
        <v>5</v>
      </c>
      <c r="N692" s="10">
        <v>235</v>
      </c>
      <c r="O692" s="10">
        <v>4469</v>
      </c>
      <c r="P692" s="10">
        <v>4.9000000000000004</v>
      </c>
      <c r="Q692" s="10" t="s">
        <v>26</v>
      </c>
    </row>
    <row r="693" spans="1:17" x14ac:dyDescent="0.25">
      <c r="A693" s="10" t="s">
        <v>1060</v>
      </c>
      <c r="B693" s="10" t="s">
        <v>1061</v>
      </c>
      <c r="C693" s="10" t="s">
        <v>40</v>
      </c>
      <c r="D693" s="10" t="s">
        <v>41</v>
      </c>
      <c r="E693" s="10" t="s">
        <v>155</v>
      </c>
      <c r="F693" s="10" t="s">
        <v>43</v>
      </c>
      <c r="G693" s="10" t="s">
        <v>23</v>
      </c>
      <c r="H693" s="10" t="s">
        <v>24</v>
      </c>
      <c r="I693" s="10" t="s">
        <v>34</v>
      </c>
      <c r="J693" s="10">
        <v>3</v>
      </c>
      <c r="K693" s="10">
        <v>1290</v>
      </c>
      <c r="L693" s="10">
        <v>3870</v>
      </c>
      <c r="M693" s="10">
        <v>20</v>
      </c>
      <c r="N693" s="10">
        <v>774</v>
      </c>
      <c r="O693" s="10">
        <v>3096</v>
      </c>
      <c r="P693" s="10">
        <v>3.9</v>
      </c>
      <c r="Q693" s="10" t="s">
        <v>26</v>
      </c>
    </row>
    <row r="694" spans="1:17" x14ac:dyDescent="0.25">
      <c r="A694" s="10" t="s">
        <v>1062</v>
      </c>
      <c r="B694" s="10" t="s">
        <v>1061</v>
      </c>
      <c r="C694" s="10" t="s">
        <v>28</v>
      </c>
      <c r="D694" s="10" t="s">
        <v>77</v>
      </c>
      <c r="E694" s="10" t="s">
        <v>82</v>
      </c>
      <c r="F694" s="10" t="s">
        <v>79</v>
      </c>
      <c r="G694" s="10" t="s">
        <v>44</v>
      </c>
      <c r="H694" s="10" t="s">
        <v>24</v>
      </c>
      <c r="I694" s="10" t="s">
        <v>98</v>
      </c>
      <c r="J694" s="10">
        <v>5</v>
      </c>
      <c r="K694" s="10">
        <v>1242</v>
      </c>
      <c r="L694" s="10">
        <v>6210</v>
      </c>
      <c r="M694" s="10">
        <v>0</v>
      </c>
      <c r="N694" s="10">
        <v>0</v>
      </c>
      <c r="O694" s="10">
        <v>6210</v>
      </c>
      <c r="P694" s="10">
        <v>3.5</v>
      </c>
      <c r="Q694" s="10" t="s">
        <v>26</v>
      </c>
    </row>
    <row r="695" spans="1:17" x14ac:dyDescent="0.25">
      <c r="A695" s="10" t="s">
        <v>1063</v>
      </c>
      <c r="B695" s="10" t="s">
        <v>1064</v>
      </c>
      <c r="C695" s="10" t="s">
        <v>91</v>
      </c>
      <c r="D695" s="10" t="s">
        <v>110</v>
      </c>
      <c r="E695" s="10" t="s">
        <v>78</v>
      </c>
      <c r="F695" s="10" t="s">
        <v>65</v>
      </c>
      <c r="G695" s="10" t="s">
        <v>32</v>
      </c>
      <c r="H695" s="10" t="s">
        <v>24</v>
      </c>
      <c r="I695" s="10" t="s">
        <v>25</v>
      </c>
      <c r="J695" s="10">
        <v>2</v>
      </c>
      <c r="K695" s="10">
        <v>1527</v>
      </c>
      <c r="L695" s="10">
        <v>3054</v>
      </c>
      <c r="M695" s="10">
        <v>30</v>
      </c>
      <c r="N695" s="10">
        <v>916</v>
      </c>
      <c r="O695" s="10">
        <v>2138</v>
      </c>
      <c r="P695" s="10">
        <v>4.3</v>
      </c>
      <c r="Q695" s="10" t="s">
        <v>75</v>
      </c>
    </row>
    <row r="696" spans="1:17" x14ac:dyDescent="0.25">
      <c r="A696" s="10" t="s">
        <v>1065</v>
      </c>
      <c r="B696" s="10" t="s">
        <v>1064</v>
      </c>
      <c r="C696" s="10" t="s">
        <v>51</v>
      </c>
      <c r="D696" s="10" t="s">
        <v>52</v>
      </c>
      <c r="E696" s="10" t="s">
        <v>48</v>
      </c>
      <c r="F696" s="10" t="s">
        <v>79</v>
      </c>
      <c r="G696" s="10" t="s">
        <v>32</v>
      </c>
      <c r="H696" s="10" t="s">
        <v>24</v>
      </c>
      <c r="I696" s="10" t="s">
        <v>34</v>
      </c>
      <c r="J696" s="10">
        <v>2</v>
      </c>
      <c r="K696" s="10">
        <v>584</v>
      </c>
      <c r="L696" s="10">
        <v>1168</v>
      </c>
      <c r="M696" s="10">
        <v>10</v>
      </c>
      <c r="N696" s="10">
        <v>117</v>
      </c>
      <c r="O696" s="10">
        <v>1051</v>
      </c>
      <c r="P696" s="10">
        <v>3.6</v>
      </c>
      <c r="Q696" s="10" t="s">
        <v>26</v>
      </c>
    </row>
    <row r="697" spans="1:17" x14ac:dyDescent="0.25">
      <c r="A697" s="10" t="s">
        <v>1066</v>
      </c>
      <c r="B697" s="10" t="s">
        <v>1064</v>
      </c>
      <c r="C697" s="10" t="s">
        <v>63</v>
      </c>
      <c r="D697" s="10" t="s">
        <v>143</v>
      </c>
      <c r="E697" s="10" t="s">
        <v>53</v>
      </c>
      <c r="F697" s="10" t="s">
        <v>61</v>
      </c>
      <c r="G697" s="10" t="s">
        <v>23</v>
      </c>
      <c r="H697" s="10" t="s">
        <v>24</v>
      </c>
      <c r="I697" s="10" t="s">
        <v>45</v>
      </c>
      <c r="J697" s="10">
        <v>4</v>
      </c>
      <c r="K697" s="10">
        <v>2148</v>
      </c>
      <c r="L697" s="10">
        <v>8592</v>
      </c>
      <c r="M697" s="10">
        <v>25</v>
      </c>
      <c r="N697" s="10">
        <v>2148</v>
      </c>
      <c r="O697" s="10">
        <v>6444</v>
      </c>
      <c r="P697" s="10">
        <v>4.4000000000000004</v>
      </c>
      <c r="Q697" s="10" t="s">
        <v>26</v>
      </c>
    </row>
    <row r="698" spans="1:17" x14ac:dyDescent="0.25">
      <c r="A698" s="10" t="s">
        <v>1067</v>
      </c>
      <c r="B698" s="10" t="s">
        <v>1064</v>
      </c>
      <c r="C698" s="10" t="s">
        <v>40</v>
      </c>
      <c r="D698" s="10" t="s">
        <v>68</v>
      </c>
      <c r="E698" s="10" t="s">
        <v>30</v>
      </c>
      <c r="F698" s="10" t="s">
        <v>31</v>
      </c>
      <c r="G698" s="10" t="s">
        <v>23</v>
      </c>
      <c r="H698" s="10" t="s">
        <v>33</v>
      </c>
      <c r="I698" s="10" t="s">
        <v>25</v>
      </c>
      <c r="J698" s="10">
        <v>2</v>
      </c>
      <c r="K698" s="10">
        <v>895</v>
      </c>
      <c r="L698" s="10">
        <v>1790</v>
      </c>
      <c r="M698" s="10">
        <v>10</v>
      </c>
      <c r="N698" s="10">
        <v>179</v>
      </c>
      <c r="O698" s="10">
        <v>1611</v>
      </c>
      <c r="P698" s="10">
        <v>4.0999999999999996</v>
      </c>
      <c r="Q698" s="10" t="s">
        <v>26</v>
      </c>
    </row>
    <row r="699" spans="1:17" x14ac:dyDescent="0.25">
      <c r="A699" s="10" t="s">
        <v>1068</v>
      </c>
      <c r="B699" s="10" t="s">
        <v>1069</v>
      </c>
      <c r="C699" s="10" t="s">
        <v>40</v>
      </c>
      <c r="D699" s="10" t="s">
        <v>68</v>
      </c>
      <c r="E699" s="10" t="s">
        <v>60</v>
      </c>
      <c r="F699" s="10" t="s">
        <v>22</v>
      </c>
      <c r="G699" s="10" t="s">
        <v>23</v>
      </c>
      <c r="H699" s="10" t="s">
        <v>104</v>
      </c>
      <c r="I699" s="10" t="s">
        <v>45</v>
      </c>
      <c r="J699" s="10">
        <v>1</v>
      </c>
      <c r="K699" s="10">
        <v>365</v>
      </c>
      <c r="L699" s="10">
        <v>365</v>
      </c>
      <c r="M699" s="10">
        <v>0</v>
      </c>
      <c r="N699" s="10">
        <v>0</v>
      </c>
      <c r="O699" s="10">
        <v>365</v>
      </c>
      <c r="P699" s="10">
        <v>3.8</v>
      </c>
      <c r="Q699" s="10" t="s">
        <v>26</v>
      </c>
    </row>
    <row r="700" spans="1:17" x14ac:dyDescent="0.25">
      <c r="A700" s="10" t="s">
        <v>1070</v>
      </c>
      <c r="B700" s="10" t="s">
        <v>1069</v>
      </c>
      <c r="C700" s="10" t="s">
        <v>28</v>
      </c>
      <c r="D700" s="10" t="s">
        <v>36</v>
      </c>
      <c r="E700" s="10" t="s">
        <v>53</v>
      </c>
      <c r="F700" s="10" t="s">
        <v>31</v>
      </c>
      <c r="G700" s="10" t="s">
        <v>23</v>
      </c>
      <c r="H700" s="10" t="s">
        <v>24</v>
      </c>
      <c r="I700" s="10" t="s">
        <v>25</v>
      </c>
      <c r="J700" s="10">
        <v>4</v>
      </c>
      <c r="K700" s="10">
        <v>538</v>
      </c>
      <c r="L700" s="10">
        <v>2152</v>
      </c>
      <c r="M700" s="10">
        <v>25</v>
      </c>
      <c r="N700" s="10">
        <v>538</v>
      </c>
      <c r="O700" s="10">
        <v>1614</v>
      </c>
      <c r="P700" s="10">
        <v>4.5999999999999996</v>
      </c>
      <c r="Q700" s="10" t="s">
        <v>26</v>
      </c>
    </row>
    <row r="701" spans="1:17" x14ac:dyDescent="0.25">
      <c r="A701" s="10" t="s">
        <v>1071</v>
      </c>
      <c r="B701" s="10" t="s">
        <v>1069</v>
      </c>
      <c r="C701" s="10" t="s">
        <v>40</v>
      </c>
      <c r="D701" s="10" t="s">
        <v>57</v>
      </c>
      <c r="E701" s="10" t="s">
        <v>155</v>
      </c>
      <c r="F701" s="10" t="s">
        <v>61</v>
      </c>
      <c r="G701" s="10" t="s">
        <v>23</v>
      </c>
      <c r="H701" s="10" t="s">
        <v>104</v>
      </c>
      <c r="I701" s="10" t="s">
        <v>98</v>
      </c>
      <c r="J701" s="10">
        <v>1</v>
      </c>
      <c r="K701" s="10">
        <v>694</v>
      </c>
      <c r="L701" s="10">
        <v>694</v>
      </c>
      <c r="M701" s="10">
        <v>0</v>
      </c>
      <c r="N701" s="10">
        <v>0</v>
      </c>
      <c r="O701" s="10">
        <v>694</v>
      </c>
      <c r="P701" s="10">
        <v>4.4000000000000004</v>
      </c>
      <c r="Q701" s="10" t="s">
        <v>75</v>
      </c>
    </row>
    <row r="702" spans="1:17" x14ac:dyDescent="0.25">
      <c r="A702" s="10" t="s">
        <v>1072</v>
      </c>
      <c r="B702" s="10" t="s">
        <v>1069</v>
      </c>
      <c r="C702" s="10" t="s">
        <v>91</v>
      </c>
      <c r="D702" s="10" t="s">
        <v>125</v>
      </c>
      <c r="E702" s="10" t="s">
        <v>53</v>
      </c>
      <c r="F702" s="10" t="s">
        <v>65</v>
      </c>
      <c r="G702" s="10" t="s">
        <v>32</v>
      </c>
      <c r="H702" s="10" t="s">
        <v>24</v>
      </c>
      <c r="I702" s="10" t="s">
        <v>98</v>
      </c>
      <c r="J702" s="10">
        <v>3</v>
      </c>
      <c r="K702" s="10">
        <v>2518</v>
      </c>
      <c r="L702" s="10">
        <v>7554</v>
      </c>
      <c r="M702" s="10">
        <v>15</v>
      </c>
      <c r="N702" s="10">
        <v>1133</v>
      </c>
      <c r="O702" s="10">
        <v>6421</v>
      </c>
      <c r="P702" s="10">
        <v>3.5</v>
      </c>
      <c r="Q702" s="10" t="s">
        <v>26</v>
      </c>
    </row>
    <row r="703" spans="1:17" x14ac:dyDescent="0.25">
      <c r="A703" s="10" t="s">
        <v>1073</v>
      </c>
      <c r="B703" s="10" t="s">
        <v>1074</v>
      </c>
      <c r="C703" s="10" t="s">
        <v>40</v>
      </c>
      <c r="D703" s="10" t="s">
        <v>113</v>
      </c>
      <c r="E703" s="10" t="s">
        <v>48</v>
      </c>
      <c r="F703" s="10" t="s">
        <v>65</v>
      </c>
      <c r="G703" s="10" t="s">
        <v>32</v>
      </c>
      <c r="H703" s="10" t="s">
        <v>104</v>
      </c>
      <c r="I703" s="10" t="s">
        <v>34</v>
      </c>
      <c r="J703" s="10">
        <v>1</v>
      </c>
      <c r="K703" s="10">
        <v>322</v>
      </c>
      <c r="L703" s="10">
        <v>322</v>
      </c>
      <c r="M703" s="10">
        <v>30</v>
      </c>
      <c r="N703" s="10">
        <v>97</v>
      </c>
      <c r="O703" s="10">
        <v>225</v>
      </c>
      <c r="P703" s="10">
        <v>4.8</v>
      </c>
      <c r="Q703" s="10" t="s">
        <v>26</v>
      </c>
    </row>
    <row r="704" spans="1:17" x14ac:dyDescent="0.25">
      <c r="A704" s="10" t="s">
        <v>1075</v>
      </c>
      <c r="B704" s="10" t="s">
        <v>1076</v>
      </c>
      <c r="C704" s="10" t="s">
        <v>63</v>
      </c>
      <c r="D704" s="10" t="s">
        <v>64</v>
      </c>
      <c r="E704" s="10" t="s">
        <v>37</v>
      </c>
      <c r="F704" s="10" t="s">
        <v>130</v>
      </c>
      <c r="G704" s="10" t="s">
        <v>32</v>
      </c>
      <c r="H704" s="10" t="s">
        <v>33</v>
      </c>
      <c r="I704" s="10" t="s">
        <v>84</v>
      </c>
      <c r="J704" s="10">
        <v>3</v>
      </c>
      <c r="K704" s="10">
        <v>1560</v>
      </c>
      <c r="L704" s="10">
        <v>4680</v>
      </c>
      <c r="M704" s="10">
        <v>10</v>
      </c>
      <c r="N704" s="10">
        <v>468</v>
      </c>
      <c r="O704" s="10">
        <v>4212</v>
      </c>
      <c r="P704" s="10">
        <v>4.4000000000000004</v>
      </c>
      <c r="Q704" s="10" t="s">
        <v>26</v>
      </c>
    </row>
    <row r="705" spans="1:17" x14ac:dyDescent="0.25">
      <c r="A705" s="10" t="s">
        <v>1077</v>
      </c>
      <c r="B705" s="10" t="s">
        <v>1076</v>
      </c>
      <c r="C705" s="10" t="s">
        <v>51</v>
      </c>
      <c r="D705" s="10" t="s">
        <v>52</v>
      </c>
      <c r="E705" s="10" t="s">
        <v>48</v>
      </c>
      <c r="F705" s="10" t="s">
        <v>31</v>
      </c>
      <c r="G705" s="10" t="s">
        <v>23</v>
      </c>
      <c r="H705" s="10" t="s">
        <v>24</v>
      </c>
      <c r="I705" s="10" t="s">
        <v>34</v>
      </c>
      <c r="J705" s="10">
        <v>4</v>
      </c>
      <c r="K705" s="10">
        <v>604</v>
      </c>
      <c r="L705" s="10">
        <v>2416</v>
      </c>
      <c r="M705" s="10">
        <v>25</v>
      </c>
      <c r="N705" s="10">
        <v>604</v>
      </c>
      <c r="O705" s="10">
        <v>1812</v>
      </c>
      <c r="P705" s="10">
        <v>3.8</v>
      </c>
      <c r="Q705" s="10" t="s">
        <v>26</v>
      </c>
    </row>
    <row r="706" spans="1:17" x14ac:dyDescent="0.25">
      <c r="A706" s="10" t="s">
        <v>1078</v>
      </c>
      <c r="B706" s="10" t="s">
        <v>1079</v>
      </c>
      <c r="C706" s="10" t="s">
        <v>19</v>
      </c>
      <c r="D706" s="10" t="s">
        <v>128</v>
      </c>
      <c r="E706" s="10" t="s">
        <v>101</v>
      </c>
      <c r="F706" s="10" t="s">
        <v>72</v>
      </c>
      <c r="G706" s="10" t="s">
        <v>32</v>
      </c>
      <c r="H706" s="10" t="s">
        <v>33</v>
      </c>
      <c r="I706" s="10" t="s">
        <v>45</v>
      </c>
      <c r="J706" s="10">
        <v>4</v>
      </c>
      <c r="K706" s="10">
        <v>902</v>
      </c>
      <c r="L706" s="10">
        <v>3608</v>
      </c>
      <c r="M706" s="10">
        <v>15</v>
      </c>
      <c r="N706" s="10">
        <v>541</v>
      </c>
      <c r="O706" s="10">
        <v>3067</v>
      </c>
      <c r="P706" s="10">
        <v>3.7</v>
      </c>
      <c r="Q706" s="10" t="s">
        <v>26</v>
      </c>
    </row>
    <row r="707" spans="1:17" x14ac:dyDescent="0.25">
      <c r="A707" s="10" t="s">
        <v>1080</v>
      </c>
      <c r="B707" s="10" t="s">
        <v>1079</v>
      </c>
      <c r="C707" s="10" t="s">
        <v>19</v>
      </c>
      <c r="D707" s="10" t="s">
        <v>230</v>
      </c>
      <c r="E707" s="10" t="s">
        <v>53</v>
      </c>
      <c r="F707" s="10" t="s">
        <v>22</v>
      </c>
      <c r="G707" s="10" t="s">
        <v>32</v>
      </c>
      <c r="H707" s="10" t="s">
        <v>33</v>
      </c>
      <c r="I707" s="10" t="s">
        <v>34</v>
      </c>
      <c r="J707" s="10">
        <v>5</v>
      </c>
      <c r="K707" s="10">
        <v>261</v>
      </c>
      <c r="L707" s="10">
        <v>1305</v>
      </c>
      <c r="M707" s="10">
        <v>30</v>
      </c>
      <c r="N707" s="10">
        <v>392</v>
      </c>
      <c r="O707" s="10">
        <v>913</v>
      </c>
      <c r="P707" s="10">
        <v>3.8</v>
      </c>
      <c r="Q707" s="10" t="s">
        <v>26</v>
      </c>
    </row>
    <row r="708" spans="1:17" x14ac:dyDescent="0.25">
      <c r="A708" s="10" t="s">
        <v>1081</v>
      </c>
      <c r="B708" s="10" t="s">
        <v>1082</v>
      </c>
      <c r="C708" s="10" t="s">
        <v>63</v>
      </c>
      <c r="D708" s="10" t="s">
        <v>64</v>
      </c>
      <c r="E708" s="10" t="s">
        <v>37</v>
      </c>
      <c r="F708" s="10" t="s">
        <v>22</v>
      </c>
      <c r="G708" s="10" t="s">
        <v>23</v>
      </c>
      <c r="H708" s="10" t="s">
        <v>33</v>
      </c>
      <c r="I708" s="10" t="s">
        <v>84</v>
      </c>
      <c r="J708" s="10">
        <v>3</v>
      </c>
      <c r="K708" s="10">
        <v>641</v>
      </c>
      <c r="L708" s="10">
        <v>1923</v>
      </c>
      <c r="M708" s="10">
        <v>0</v>
      </c>
      <c r="N708" s="10">
        <v>0</v>
      </c>
      <c r="O708" s="10">
        <v>1923</v>
      </c>
      <c r="P708" s="10">
        <v>4.5</v>
      </c>
      <c r="Q708" s="10" t="s">
        <v>26</v>
      </c>
    </row>
    <row r="709" spans="1:17" x14ac:dyDescent="0.25">
      <c r="A709" s="10" t="s">
        <v>1083</v>
      </c>
      <c r="B709" s="10" t="s">
        <v>1082</v>
      </c>
      <c r="C709" s="10" t="s">
        <v>19</v>
      </c>
      <c r="D709" s="10" t="s">
        <v>128</v>
      </c>
      <c r="E709" s="10" t="s">
        <v>37</v>
      </c>
      <c r="F709" s="10" t="s">
        <v>72</v>
      </c>
      <c r="G709" s="10" t="s">
        <v>23</v>
      </c>
      <c r="H709" s="10" t="s">
        <v>24</v>
      </c>
      <c r="I709" s="10" t="s">
        <v>98</v>
      </c>
      <c r="J709" s="10">
        <v>3</v>
      </c>
      <c r="K709" s="10">
        <v>736</v>
      </c>
      <c r="L709" s="10">
        <v>2208</v>
      </c>
      <c r="M709" s="10">
        <v>25</v>
      </c>
      <c r="N709" s="10">
        <v>552</v>
      </c>
      <c r="O709" s="10">
        <v>1656</v>
      </c>
      <c r="P709" s="10">
        <v>4.8</v>
      </c>
      <c r="Q709" s="10" t="s">
        <v>26</v>
      </c>
    </row>
    <row r="710" spans="1:17" x14ac:dyDescent="0.25">
      <c r="A710" s="10" t="s">
        <v>1084</v>
      </c>
      <c r="B710" s="10" t="s">
        <v>1085</v>
      </c>
      <c r="C710" s="10" t="s">
        <v>91</v>
      </c>
      <c r="D710" s="10" t="s">
        <v>125</v>
      </c>
      <c r="E710" s="10" t="s">
        <v>101</v>
      </c>
      <c r="F710" s="10" t="s">
        <v>72</v>
      </c>
      <c r="G710" s="10" t="s">
        <v>32</v>
      </c>
      <c r="H710" s="10" t="s">
        <v>24</v>
      </c>
      <c r="I710" s="10" t="s">
        <v>45</v>
      </c>
      <c r="J710" s="10">
        <v>3</v>
      </c>
      <c r="K710" s="10">
        <v>2155</v>
      </c>
      <c r="L710" s="10">
        <v>6465</v>
      </c>
      <c r="M710" s="10">
        <v>15</v>
      </c>
      <c r="N710" s="10">
        <v>970</v>
      </c>
      <c r="O710" s="10">
        <v>5495</v>
      </c>
      <c r="P710" s="10">
        <v>4.7</v>
      </c>
      <c r="Q710" s="10" t="s">
        <v>26</v>
      </c>
    </row>
    <row r="711" spans="1:17" x14ac:dyDescent="0.25">
      <c r="A711" s="10" t="s">
        <v>1086</v>
      </c>
      <c r="B711" s="10" t="s">
        <v>1085</v>
      </c>
      <c r="C711" s="10" t="s">
        <v>40</v>
      </c>
      <c r="D711" s="10" t="s">
        <v>57</v>
      </c>
      <c r="E711" s="10" t="s">
        <v>101</v>
      </c>
      <c r="F711" s="10" t="s">
        <v>72</v>
      </c>
      <c r="G711" s="10" t="s">
        <v>23</v>
      </c>
      <c r="H711" s="10" t="s">
        <v>33</v>
      </c>
      <c r="I711" s="10" t="s">
        <v>84</v>
      </c>
      <c r="J711" s="10">
        <v>2</v>
      </c>
      <c r="K711" s="10">
        <v>433</v>
      </c>
      <c r="L711" s="10">
        <v>866</v>
      </c>
      <c r="M711" s="10">
        <v>25</v>
      </c>
      <c r="N711" s="10">
        <v>216</v>
      </c>
      <c r="O711" s="10">
        <v>650</v>
      </c>
      <c r="P711" s="10">
        <v>4.0999999999999996</v>
      </c>
      <c r="Q711" s="10" t="s">
        <v>26</v>
      </c>
    </row>
    <row r="712" spans="1:17" x14ac:dyDescent="0.25">
      <c r="A712" s="10" t="s">
        <v>1087</v>
      </c>
      <c r="B712" s="10" t="s">
        <v>1088</v>
      </c>
      <c r="C712" s="10" t="s">
        <v>91</v>
      </c>
      <c r="D712" s="10" t="s">
        <v>92</v>
      </c>
      <c r="E712" s="10" t="s">
        <v>101</v>
      </c>
      <c r="F712" s="10" t="s">
        <v>72</v>
      </c>
      <c r="G712" s="10" t="s">
        <v>23</v>
      </c>
      <c r="H712" s="10" t="s">
        <v>104</v>
      </c>
      <c r="I712" s="10" t="s">
        <v>25</v>
      </c>
      <c r="J712" s="10">
        <v>1</v>
      </c>
      <c r="K712" s="10">
        <v>1476</v>
      </c>
      <c r="L712" s="10">
        <v>1476</v>
      </c>
      <c r="M712" s="10">
        <v>5</v>
      </c>
      <c r="N712" s="10">
        <v>74</v>
      </c>
      <c r="O712" s="10">
        <v>1402</v>
      </c>
      <c r="P712" s="10">
        <v>3.7</v>
      </c>
      <c r="Q712" s="10" t="s">
        <v>75</v>
      </c>
    </row>
    <row r="713" spans="1:17" x14ac:dyDescent="0.25">
      <c r="A713" s="10" t="s">
        <v>1089</v>
      </c>
      <c r="B713" s="10" t="s">
        <v>1090</v>
      </c>
      <c r="C713" s="10" t="s">
        <v>63</v>
      </c>
      <c r="D713" s="10" t="s">
        <v>134</v>
      </c>
      <c r="E713" s="10" t="s">
        <v>101</v>
      </c>
      <c r="F713" s="10" t="s">
        <v>22</v>
      </c>
      <c r="G713" s="10" t="s">
        <v>23</v>
      </c>
      <c r="H713" s="10" t="s">
        <v>24</v>
      </c>
      <c r="I713" s="10" t="s">
        <v>45</v>
      </c>
      <c r="J713" s="10">
        <v>5</v>
      </c>
      <c r="K713" s="10">
        <v>474</v>
      </c>
      <c r="L713" s="10">
        <v>2370</v>
      </c>
      <c r="M713" s="10">
        <v>0</v>
      </c>
      <c r="N713" s="10">
        <v>0</v>
      </c>
      <c r="O713" s="10">
        <v>2370</v>
      </c>
      <c r="P713" s="10">
        <v>3.6</v>
      </c>
      <c r="Q713" s="10" t="s">
        <v>26</v>
      </c>
    </row>
    <row r="714" spans="1:17" x14ac:dyDescent="0.25">
      <c r="A714" s="10" t="s">
        <v>1091</v>
      </c>
      <c r="B714" s="10" t="s">
        <v>1092</v>
      </c>
      <c r="C714" s="10" t="s">
        <v>19</v>
      </c>
      <c r="D714" s="10" t="s">
        <v>230</v>
      </c>
      <c r="E714" s="10" t="s">
        <v>42</v>
      </c>
      <c r="F714" s="10" t="s">
        <v>119</v>
      </c>
      <c r="G714" s="10" t="s">
        <v>23</v>
      </c>
      <c r="H714" s="10" t="s">
        <v>24</v>
      </c>
      <c r="I714" s="10" t="s">
        <v>84</v>
      </c>
      <c r="J714" s="10">
        <v>1</v>
      </c>
      <c r="K714" s="10">
        <v>351</v>
      </c>
      <c r="L714" s="10">
        <v>351</v>
      </c>
      <c r="M714" s="10">
        <v>15</v>
      </c>
      <c r="N714" s="10">
        <v>53</v>
      </c>
      <c r="O714" s="10">
        <v>298</v>
      </c>
      <c r="P714" s="10">
        <v>4.8</v>
      </c>
      <c r="Q714" s="10" t="s">
        <v>26</v>
      </c>
    </row>
    <row r="715" spans="1:17" x14ac:dyDescent="0.25">
      <c r="A715" s="10" t="s">
        <v>1093</v>
      </c>
      <c r="B715" s="10" t="s">
        <v>1092</v>
      </c>
      <c r="C715" s="10" t="s">
        <v>19</v>
      </c>
      <c r="D715" s="10" t="s">
        <v>128</v>
      </c>
      <c r="E715" s="10" t="s">
        <v>37</v>
      </c>
      <c r="F715" s="10" t="s">
        <v>130</v>
      </c>
      <c r="G715" s="10" t="s">
        <v>32</v>
      </c>
      <c r="H715" s="10" t="s">
        <v>24</v>
      </c>
      <c r="I715" s="10" t="s">
        <v>34</v>
      </c>
      <c r="J715" s="10">
        <v>3</v>
      </c>
      <c r="K715" s="10">
        <v>259</v>
      </c>
      <c r="L715" s="10">
        <v>777</v>
      </c>
      <c r="M715" s="10">
        <v>15</v>
      </c>
      <c r="N715" s="10">
        <v>117</v>
      </c>
      <c r="O715" s="10">
        <v>660</v>
      </c>
      <c r="P715" s="10">
        <v>4.0999999999999996</v>
      </c>
      <c r="Q715" s="10" t="s">
        <v>26</v>
      </c>
    </row>
    <row r="716" spans="1:17" x14ac:dyDescent="0.25">
      <c r="A716" s="10" t="s">
        <v>1094</v>
      </c>
      <c r="B716" s="10" t="s">
        <v>1095</v>
      </c>
      <c r="C716" s="10" t="s">
        <v>91</v>
      </c>
      <c r="D716" s="10" t="s">
        <v>125</v>
      </c>
      <c r="E716" s="10" t="s">
        <v>155</v>
      </c>
      <c r="F716" s="10" t="s">
        <v>43</v>
      </c>
      <c r="G716" s="10" t="s">
        <v>23</v>
      </c>
      <c r="H716" s="10" t="s">
        <v>104</v>
      </c>
      <c r="I716" s="10" t="s">
        <v>98</v>
      </c>
      <c r="J716" s="10">
        <v>5</v>
      </c>
      <c r="K716" s="10">
        <v>842</v>
      </c>
      <c r="L716" s="10">
        <v>4210</v>
      </c>
      <c r="M716" s="10">
        <v>30</v>
      </c>
      <c r="N716" s="10">
        <v>1263</v>
      </c>
      <c r="O716" s="10">
        <v>2947</v>
      </c>
      <c r="P716" s="10">
        <v>4.9000000000000004</v>
      </c>
      <c r="Q716" s="10" t="s">
        <v>26</v>
      </c>
    </row>
    <row r="717" spans="1:17" x14ac:dyDescent="0.25">
      <c r="A717" s="10" t="s">
        <v>1096</v>
      </c>
      <c r="B717" s="10" t="s">
        <v>1095</v>
      </c>
      <c r="C717" s="10" t="s">
        <v>51</v>
      </c>
      <c r="D717" s="10" t="s">
        <v>97</v>
      </c>
      <c r="E717" s="10" t="s">
        <v>37</v>
      </c>
      <c r="F717" s="10" t="s">
        <v>43</v>
      </c>
      <c r="G717" s="10" t="s">
        <v>23</v>
      </c>
      <c r="H717" s="10" t="s">
        <v>24</v>
      </c>
      <c r="I717" s="10" t="s">
        <v>25</v>
      </c>
      <c r="J717" s="10">
        <v>5</v>
      </c>
      <c r="K717" s="10">
        <v>428</v>
      </c>
      <c r="L717" s="10">
        <v>2140</v>
      </c>
      <c r="M717" s="10">
        <v>30</v>
      </c>
      <c r="N717" s="10">
        <v>642</v>
      </c>
      <c r="O717" s="10">
        <v>1498</v>
      </c>
      <c r="P717" s="10">
        <v>4.0999999999999996</v>
      </c>
      <c r="Q717" s="10" t="s">
        <v>26</v>
      </c>
    </row>
    <row r="718" spans="1:17" x14ac:dyDescent="0.25">
      <c r="A718" s="10" t="s">
        <v>1097</v>
      </c>
      <c r="B718" s="10" t="s">
        <v>1095</v>
      </c>
      <c r="C718" s="10" t="s">
        <v>19</v>
      </c>
      <c r="D718" s="10" t="s">
        <v>20</v>
      </c>
      <c r="E718" s="10" t="s">
        <v>53</v>
      </c>
      <c r="F718" s="10" t="s">
        <v>65</v>
      </c>
      <c r="G718" s="10" t="s">
        <v>44</v>
      </c>
      <c r="H718" s="10" t="s">
        <v>104</v>
      </c>
      <c r="I718" s="10" t="s">
        <v>34</v>
      </c>
      <c r="J718" s="10">
        <v>1</v>
      </c>
      <c r="K718" s="10">
        <v>644</v>
      </c>
      <c r="L718" s="10">
        <v>644</v>
      </c>
      <c r="M718" s="10">
        <v>20</v>
      </c>
      <c r="N718" s="10">
        <v>129</v>
      </c>
      <c r="O718" s="10">
        <v>515</v>
      </c>
      <c r="P718" s="10">
        <v>5</v>
      </c>
      <c r="Q718" s="10" t="s">
        <v>26</v>
      </c>
    </row>
    <row r="719" spans="1:17" x14ac:dyDescent="0.25">
      <c r="A719" s="10" t="s">
        <v>1098</v>
      </c>
      <c r="B719" s="10" t="s">
        <v>1095</v>
      </c>
      <c r="C719" s="10" t="s">
        <v>51</v>
      </c>
      <c r="D719" s="10" t="s">
        <v>70</v>
      </c>
      <c r="E719" s="10" t="s">
        <v>53</v>
      </c>
      <c r="F719" s="10" t="s">
        <v>119</v>
      </c>
      <c r="G719" s="10" t="s">
        <v>32</v>
      </c>
      <c r="H719" s="10" t="s">
        <v>24</v>
      </c>
      <c r="I719" s="10" t="s">
        <v>98</v>
      </c>
      <c r="J719" s="10">
        <v>3</v>
      </c>
      <c r="K719" s="10">
        <v>669</v>
      </c>
      <c r="L719" s="10">
        <v>2007</v>
      </c>
      <c r="M719" s="10">
        <v>30</v>
      </c>
      <c r="N719" s="10">
        <v>602</v>
      </c>
      <c r="O719" s="10">
        <v>1405</v>
      </c>
      <c r="P719" s="10">
        <v>3.8</v>
      </c>
      <c r="Q719" s="10" t="s">
        <v>75</v>
      </c>
    </row>
    <row r="720" spans="1:17" x14ac:dyDescent="0.25">
      <c r="A720" s="10" t="s">
        <v>1099</v>
      </c>
      <c r="B720" s="10" t="s">
        <v>1095</v>
      </c>
      <c r="C720" s="10" t="s">
        <v>28</v>
      </c>
      <c r="D720" s="10" t="s">
        <v>95</v>
      </c>
      <c r="E720" s="10" t="s">
        <v>21</v>
      </c>
      <c r="F720" s="10" t="s">
        <v>119</v>
      </c>
      <c r="G720" s="10" t="s">
        <v>23</v>
      </c>
      <c r="H720" s="10" t="s">
        <v>104</v>
      </c>
      <c r="I720" s="10" t="s">
        <v>45</v>
      </c>
      <c r="J720" s="10">
        <v>1</v>
      </c>
      <c r="K720" s="10">
        <v>635</v>
      </c>
      <c r="L720" s="10">
        <v>635</v>
      </c>
      <c r="M720" s="10">
        <v>20</v>
      </c>
      <c r="N720" s="10">
        <v>127</v>
      </c>
      <c r="O720" s="10">
        <v>508</v>
      </c>
      <c r="P720" s="10">
        <v>4.4000000000000004</v>
      </c>
      <c r="Q720" s="10" t="s">
        <v>26</v>
      </c>
    </row>
    <row r="721" spans="1:17" x14ac:dyDescent="0.25">
      <c r="A721" s="10" t="s">
        <v>1100</v>
      </c>
      <c r="B721" s="10" t="s">
        <v>1101</v>
      </c>
      <c r="C721" s="10" t="s">
        <v>28</v>
      </c>
      <c r="D721" s="10" t="s">
        <v>36</v>
      </c>
      <c r="E721" s="10" t="s">
        <v>21</v>
      </c>
      <c r="F721" s="10" t="s">
        <v>61</v>
      </c>
      <c r="G721" s="10" t="s">
        <v>32</v>
      </c>
      <c r="H721" s="10" t="s">
        <v>104</v>
      </c>
      <c r="I721" s="10" t="s">
        <v>45</v>
      </c>
      <c r="J721" s="10">
        <v>1</v>
      </c>
      <c r="K721" s="10">
        <v>483</v>
      </c>
      <c r="L721" s="10">
        <v>483</v>
      </c>
      <c r="M721" s="10">
        <v>15</v>
      </c>
      <c r="N721" s="10">
        <v>72</v>
      </c>
      <c r="O721" s="10">
        <v>411</v>
      </c>
      <c r="P721" s="10">
        <v>4.3</v>
      </c>
      <c r="Q721" s="10" t="s">
        <v>75</v>
      </c>
    </row>
    <row r="722" spans="1:17" x14ac:dyDescent="0.25">
      <c r="A722" s="10" t="s">
        <v>1102</v>
      </c>
      <c r="B722" s="10" t="s">
        <v>1101</v>
      </c>
      <c r="C722" s="10" t="s">
        <v>51</v>
      </c>
      <c r="D722" s="10" t="s">
        <v>97</v>
      </c>
      <c r="E722" s="10" t="s">
        <v>60</v>
      </c>
      <c r="F722" s="10" t="s">
        <v>22</v>
      </c>
      <c r="G722" s="10" t="s">
        <v>32</v>
      </c>
      <c r="H722" s="10" t="s">
        <v>24</v>
      </c>
      <c r="I722" s="10" t="s">
        <v>45</v>
      </c>
      <c r="J722" s="10">
        <v>1</v>
      </c>
      <c r="K722" s="10">
        <v>704</v>
      </c>
      <c r="L722" s="10">
        <v>704</v>
      </c>
      <c r="M722" s="10">
        <v>10</v>
      </c>
      <c r="N722" s="10">
        <v>70</v>
      </c>
      <c r="O722" s="10">
        <v>634</v>
      </c>
      <c r="P722" s="10">
        <v>4</v>
      </c>
      <c r="Q722" s="10" t="s">
        <v>75</v>
      </c>
    </row>
    <row r="723" spans="1:17" x14ac:dyDescent="0.25">
      <c r="A723" s="10" t="s">
        <v>1103</v>
      </c>
      <c r="B723" s="10" t="s">
        <v>1101</v>
      </c>
      <c r="C723" s="10" t="s">
        <v>63</v>
      </c>
      <c r="D723" s="10" t="s">
        <v>64</v>
      </c>
      <c r="E723" s="10" t="s">
        <v>30</v>
      </c>
      <c r="F723" s="10" t="s">
        <v>31</v>
      </c>
      <c r="G723" s="10" t="s">
        <v>32</v>
      </c>
      <c r="H723" s="10" t="s">
        <v>104</v>
      </c>
      <c r="I723" s="10" t="s">
        <v>25</v>
      </c>
      <c r="J723" s="10">
        <v>3</v>
      </c>
      <c r="K723" s="10">
        <v>2055</v>
      </c>
      <c r="L723" s="10">
        <v>6165</v>
      </c>
      <c r="M723" s="10">
        <v>0</v>
      </c>
      <c r="N723" s="10">
        <v>0</v>
      </c>
      <c r="O723" s="10">
        <v>6165</v>
      </c>
      <c r="P723" s="10">
        <v>4.2</v>
      </c>
      <c r="Q723" s="10" t="s">
        <v>26</v>
      </c>
    </row>
    <row r="724" spans="1:17" x14ac:dyDescent="0.25">
      <c r="A724" s="10" t="s">
        <v>1104</v>
      </c>
      <c r="B724" s="10" t="s">
        <v>1101</v>
      </c>
      <c r="C724" s="10" t="s">
        <v>63</v>
      </c>
      <c r="D724" s="10" t="s">
        <v>134</v>
      </c>
      <c r="E724" s="10" t="s">
        <v>42</v>
      </c>
      <c r="F724" s="10" t="s">
        <v>79</v>
      </c>
      <c r="G724" s="10" t="s">
        <v>32</v>
      </c>
      <c r="H724" s="10" t="s">
        <v>24</v>
      </c>
      <c r="I724" s="10" t="s">
        <v>45</v>
      </c>
      <c r="J724" s="10">
        <v>5</v>
      </c>
      <c r="K724" s="10">
        <v>1877</v>
      </c>
      <c r="L724" s="10">
        <v>9385</v>
      </c>
      <c r="M724" s="10">
        <v>0</v>
      </c>
      <c r="N724" s="10">
        <v>0</v>
      </c>
      <c r="O724" s="10">
        <v>9385</v>
      </c>
      <c r="P724" s="10">
        <v>4.9000000000000004</v>
      </c>
      <c r="Q724" s="10" t="s">
        <v>26</v>
      </c>
    </row>
    <row r="725" spans="1:17" x14ac:dyDescent="0.25">
      <c r="A725" s="10" t="s">
        <v>1105</v>
      </c>
      <c r="B725" s="10" t="s">
        <v>1106</v>
      </c>
      <c r="C725" s="10" t="s">
        <v>19</v>
      </c>
      <c r="D725" s="10" t="s">
        <v>20</v>
      </c>
      <c r="E725" s="10" t="s">
        <v>60</v>
      </c>
      <c r="F725" s="10" t="s">
        <v>72</v>
      </c>
      <c r="G725" s="10" t="s">
        <v>23</v>
      </c>
      <c r="H725" s="10" t="s">
        <v>24</v>
      </c>
      <c r="I725" s="10" t="s">
        <v>34</v>
      </c>
      <c r="J725" s="10">
        <v>3</v>
      </c>
      <c r="K725" s="10">
        <v>881</v>
      </c>
      <c r="L725" s="10">
        <v>2643</v>
      </c>
      <c r="M725" s="10">
        <v>10</v>
      </c>
      <c r="N725" s="10">
        <v>264</v>
      </c>
      <c r="O725" s="10">
        <v>2379</v>
      </c>
      <c r="P725" s="10">
        <v>4.4000000000000004</v>
      </c>
      <c r="Q725" s="10" t="s">
        <v>75</v>
      </c>
    </row>
    <row r="726" spans="1:17" x14ac:dyDescent="0.25">
      <c r="A726" s="10" t="s">
        <v>1107</v>
      </c>
      <c r="B726" s="10" t="s">
        <v>1106</v>
      </c>
      <c r="C726" s="10" t="s">
        <v>40</v>
      </c>
      <c r="D726" s="10" t="s">
        <v>41</v>
      </c>
      <c r="E726" s="10" t="s">
        <v>78</v>
      </c>
      <c r="F726" s="10" t="s">
        <v>61</v>
      </c>
      <c r="G726" s="10" t="s">
        <v>23</v>
      </c>
      <c r="H726" s="10" t="s">
        <v>33</v>
      </c>
      <c r="I726" s="10" t="s">
        <v>34</v>
      </c>
      <c r="J726" s="10">
        <v>2</v>
      </c>
      <c r="K726" s="10">
        <v>340</v>
      </c>
      <c r="L726" s="10">
        <v>680</v>
      </c>
      <c r="M726" s="10">
        <v>20</v>
      </c>
      <c r="N726" s="10">
        <v>136</v>
      </c>
      <c r="O726" s="10">
        <v>544</v>
      </c>
      <c r="P726" s="10">
        <v>3.4</v>
      </c>
      <c r="Q726" s="10" t="s">
        <v>75</v>
      </c>
    </row>
    <row r="727" spans="1:17" x14ac:dyDescent="0.25">
      <c r="A727" s="10" t="s">
        <v>1108</v>
      </c>
      <c r="B727" s="10" t="s">
        <v>1106</v>
      </c>
      <c r="C727" s="10" t="s">
        <v>19</v>
      </c>
      <c r="D727" s="10" t="s">
        <v>20</v>
      </c>
      <c r="E727" s="10" t="s">
        <v>60</v>
      </c>
      <c r="F727" s="10" t="s">
        <v>119</v>
      </c>
      <c r="G727" s="10" t="s">
        <v>23</v>
      </c>
      <c r="H727" s="10" t="s">
        <v>33</v>
      </c>
      <c r="I727" s="10" t="s">
        <v>84</v>
      </c>
      <c r="J727" s="10">
        <v>1</v>
      </c>
      <c r="K727" s="10">
        <v>265</v>
      </c>
      <c r="L727" s="10">
        <v>265</v>
      </c>
      <c r="M727" s="10">
        <v>10</v>
      </c>
      <c r="N727" s="10">
        <v>26</v>
      </c>
      <c r="O727" s="10">
        <v>239</v>
      </c>
      <c r="P727" s="10">
        <v>3.9</v>
      </c>
      <c r="Q727" s="10" t="s">
        <v>26</v>
      </c>
    </row>
    <row r="728" spans="1:17" x14ac:dyDescent="0.25">
      <c r="A728" s="10" t="s">
        <v>1109</v>
      </c>
      <c r="B728" s="10" t="s">
        <v>1106</v>
      </c>
      <c r="C728" s="10" t="s">
        <v>63</v>
      </c>
      <c r="D728" s="10" t="s">
        <v>64</v>
      </c>
      <c r="E728" s="10" t="s">
        <v>155</v>
      </c>
      <c r="F728" s="10" t="s">
        <v>22</v>
      </c>
      <c r="G728" s="10" t="s">
        <v>23</v>
      </c>
      <c r="H728" s="10" t="s">
        <v>33</v>
      </c>
      <c r="I728" s="10" t="s">
        <v>98</v>
      </c>
      <c r="J728" s="10">
        <v>3</v>
      </c>
      <c r="K728" s="10">
        <v>437</v>
      </c>
      <c r="L728" s="10">
        <v>1311</v>
      </c>
      <c r="M728" s="10">
        <v>10</v>
      </c>
      <c r="N728" s="10">
        <v>131</v>
      </c>
      <c r="O728" s="10">
        <v>1180</v>
      </c>
      <c r="P728" s="10">
        <v>3.5</v>
      </c>
      <c r="Q728" s="10" t="s">
        <v>26</v>
      </c>
    </row>
    <row r="729" spans="1:17" x14ac:dyDescent="0.25">
      <c r="A729" s="10" t="s">
        <v>1110</v>
      </c>
      <c r="B729" s="10" t="s">
        <v>1111</v>
      </c>
      <c r="C729" s="10" t="s">
        <v>40</v>
      </c>
      <c r="D729" s="10" t="s">
        <v>57</v>
      </c>
      <c r="E729" s="10" t="s">
        <v>155</v>
      </c>
      <c r="F729" s="10" t="s">
        <v>79</v>
      </c>
      <c r="G729" s="10" t="s">
        <v>44</v>
      </c>
      <c r="H729" s="10" t="s">
        <v>104</v>
      </c>
      <c r="I729" s="10" t="s">
        <v>34</v>
      </c>
      <c r="J729" s="10">
        <v>4</v>
      </c>
      <c r="K729" s="10">
        <v>1030</v>
      </c>
      <c r="L729" s="10">
        <v>4120</v>
      </c>
      <c r="M729" s="10">
        <v>10</v>
      </c>
      <c r="N729" s="10">
        <v>412</v>
      </c>
      <c r="O729" s="10">
        <v>3708</v>
      </c>
      <c r="P729" s="10">
        <v>3.7</v>
      </c>
      <c r="Q729" s="10" t="s">
        <v>26</v>
      </c>
    </row>
    <row r="730" spans="1:17" x14ac:dyDescent="0.25">
      <c r="A730" s="10" t="s">
        <v>1112</v>
      </c>
      <c r="B730" s="10" t="s">
        <v>1113</v>
      </c>
      <c r="C730" s="10" t="s">
        <v>51</v>
      </c>
      <c r="D730" s="10" t="s">
        <v>70</v>
      </c>
      <c r="E730" s="10" t="s">
        <v>82</v>
      </c>
      <c r="F730" s="10" t="s">
        <v>22</v>
      </c>
      <c r="G730" s="10" t="s">
        <v>32</v>
      </c>
      <c r="H730" s="10" t="s">
        <v>24</v>
      </c>
      <c r="I730" s="10" t="s">
        <v>25</v>
      </c>
      <c r="J730" s="10">
        <v>4</v>
      </c>
      <c r="K730" s="10">
        <v>668</v>
      </c>
      <c r="L730" s="10">
        <v>2672</v>
      </c>
      <c r="M730" s="10">
        <v>30</v>
      </c>
      <c r="N730" s="10">
        <v>802</v>
      </c>
      <c r="O730" s="10">
        <v>1870</v>
      </c>
      <c r="P730" s="10">
        <v>4.5999999999999996</v>
      </c>
      <c r="Q730" s="10" t="s">
        <v>75</v>
      </c>
    </row>
    <row r="731" spans="1:17" x14ac:dyDescent="0.25">
      <c r="A731" s="10" t="s">
        <v>1114</v>
      </c>
      <c r="B731" s="10" t="s">
        <v>1115</v>
      </c>
      <c r="C731" s="10" t="s">
        <v>91</v>
      </c>
      <c r="D731" s="10" t="s">
        <v>110</v>
      </c>
      <c r="E731" s="10" t="s">
        <v>101</v>
      </c>
      <c r="F731" s="10" t="s">
        <v>43</v>
      </c>
      <c r="G731" s="10" t="s">
        <v>32</v>
      </c>
      <c r="H731" s="10" t="s">
        <v>33</v>
      </c>
      <c r="I731" s="10" t="s">
        <v>45</v>
      </c>
      <c r="J731" s="10">
        <v>5</v>
      </c>
      <c r="K731" s="10">
        <v>1140</v>
      </c>
      <c r="L731" s="10">
        <v>5700</v>
      </c>
      <c r="M731" s="10">
        <v>0</v>
      </c>
      <c r="N731" s="10">
        <v>0</v>
      </c>
      <c r="O731" s="10">
        <v>5700</v>
      </c>
      <c r="P731" s="10">
        <v>4.2</v>
      </c>
      <c r="Q731" s="10" t="s">
        <v>26</v>
      </c>
    </row>
    <row r="732" spans="1:17" x14ac:dyDescent="0.25">
      <c r="A732" s="10" t="s">
        <v>1116</v>
      </c>
      <c r="B732" s="10" t="s">
        <v>1117</v>
      </c>
      <c r="C732" s="10" t="s">
        <v>51</v>
      </c>
      <c r="D732" s="10" t="s">
        <v>70</v>
      </c>
      <c r="E732" s="10" t="s">
        <v>48</v>
      </c>
      <c r="F732" s="10" t="s">
        <v>61</v>
      </c>
      <c r="G732" s="10" t="s">
        <v>32</v>
      </c>
      <c r="H732" s="10" t="s">
        <v>24</v>
      </c>
      <c r="I732" s="10" t="s">
        <v>34</v>
      </c>
      <c r="J732" s="10">
        <v>5</v>
      </c>
      <c r="K732" s="10">
        <v>442</v>
      </c>
      <c r="L732" s="10">
        <v>2210</v>
      </c>
      <c r="M732" s="10">
        <v>5</v>
      </c>
      <c r="N732" s="10">
        <v>110</v>
      </c>
      <c r="O732" s="10">
        <v>2100</v>
      </c>
      <c r="P732" s="10">
        <v>4.9000000000000004</v>
      </c>
      <c r="Q732" s="10" t="s">
        <v>26</v>
      </c>
    </row>
    <row r="733" spans="1:17" x14ac:dyDescent="0.25">
      <c r="A733" s="10" t="s">
        <v>1118</v>
      </c>
      <c r="B733" s="10" t="s">
        <v>1117</v>
      </c>
      <c r="C733" s="10" t="s">
        <v>28</v>
      </c>
      <c r="D733" s="10" t="s">
        <v>29</v>
      </c>
      <c r="E733" s="10" t="s">
        <v>71</v>
      </c>
      <c r="F733" s="10" t="s">
        <v>119</v>
      </c>
      <c r="G733" s="10" t="s">
        <v>32</v>
      </c>
      <c r="H733" s="10" t="s">
        <v>33</v>
      </c>
      <c r="I733" s="10" t="s">
        <v>98</v>
      </c>
      <c r="J733" s="10">
        <v>4</v>
      </c>
      <c r="K733" s="10">
        <v>840</v>
      </c>
      <c r="L733" s="10">
        <v>3360</v>
      </c>
      <c r="M733" s="10">
        <v>25</v>
      </c>
      <c r="N733" s="10">
        <v>840</v>
      </c>
      <c r="O733" s="10">
        <v>2520</v>
      </c>
      <c r="P733" s="10">
        <v>4.5</v>
      </c>
      <c r="Q733" s="10" t="s">
        <v>26</v>
      </c>
    </row>
    <row r="734" spans="1:17" x14ac:dyDescent="0.25">
      <c r="A734" s="10" t="s">
        <v>1119</v>
      </c>
      <c r="B734" s="10" t="s">
        <v>1117</v>
      </c>
      <c r="C734" s="10" t="s">
        <v>40</v>
      </c>
      <c r="D734" s="10" t="s">
        <v>113</v>
      </c>
      <c r="E734" s="10" t="s">
        <v>30</v>
      </c>
      <c r="F734" s="10" t="s">
        <v>61</v>
      </c>
      <c r="G734" s="10" t="s">
        <v>23</v>
      </c>
      <c r="H734" s="10" t="s">
        <v>33</v>
      </c>
      <c r="I734" s="10" t="s">
        <v>84</v>
      </c>
      <c r="J734" s="10">
        <v>4</v>
      </c>
      <c r="K734" s="10">
        <v>344</v>
      </c>
      <c r="L734" s="10">
        <v>1376</v>
      </c>
      <c r="M734" s="10">
        <v>10</v>
      </c>
      <c r="N734" s="10">
        <v>138</v>
      </c>
      <c r="O734" s="10">
        <v>1238</v>
      </c>
      <c r="P734" s="10">
        <v>3.4</v>
      </c>
      <c r="Q734" s="10" t="s">
        <v>26</v>
      </c>
    </row>
    <row r="735" spans="1:17" x14ac:dyDescent="0.25">
      <c r="A735" s="10" t="s">
        <v>1120</v>
      </c>
      <c r="B735" s="10" t="s">
        <v>1117</v>
      </c>
      <c r="C735" s="10" t="s">
        <v>51</v>
      </c>
      <c r="D735" s="10" t="s">
        <v>97</v>
      </c>
      <c r="E735" s="10" t="s">
        <v>60</v>
      </c>
      <c r="F735" s="10" t="s">
        <v>119</v>
      </c>
      <c r="G735" s="10" t="s">
        <v>23</v>
      </c>
      <c r="H735" s="10" t="s">
        <v>33</v>
      </c>
      <c r="I735" s="10" t="s">
        <v>98</v>
      </c>
      <c r="J735" s="10">
        <v>1</v>
      </c>
      <c r="K735" s="10">
        <v>714</v>
      </c>
      <c r="L735" s="10">
        <v>714</v>
      </c>
      <c r="M735" s="10">
        <v>30</v>
      </c>
      <c r="N735" s="10">
        <v>214</v>
      </c>
      <c r="O735" s="10">
        <v>500</v>
      </c>
      <c r="P735" s="10">
        <v>4.5</v>
      </c>
      <c r="Q735" s="10" t="s">
        <v>26</v>
      </c>
    </row>
    <row r="736" spans="1:17" x14ac:dyDescent="0.25">
      <c r="A736" s="10" t="s">
        <v>1121</v>
      </c>
      <c r="B736" s="10" t="s">
        <v>1117</v>
      </c>
      <c r="C736" s="10" t="s">
        <v>28</v>
      </c>
      <c r="D736" s="10" t="s">
        <v>77</v>
      </c>
      <c r="E736" s="10" t="s">
        <v>48</v>
      </c>
      <c r="F736" s="10" t="s">
        <v>79</v>
      </c>
      <c r="G736" s="10" t="s">
        <v>44</v>
      </c>
      <c r="H736" s="10" t="s">
        <v>33</v>
      </c>
      <c r="I736" s="10" t="s">
        <v>84</v>
      </c>
      <c r="J736" s="10">
        <v>1</v>
      </c>
      <c r="K736" s="10">
        <v>599</v>
      </c>
      <c r="L736" s="10">
        <v>599</v>
      </c>
      <c r="M736" s="10">
        <v>5</v>
      </c>
      <c r="N736" s="10">
        <v>30</v>
      </c>
      <c r="O736" s="10">
        <v>569</v>
      </c>
      <c r="P736" s="10">
        <v>3.8</v>
      </c>
      <c r="Q736" s="10" t="s">
        <v>26</v>
      </c>
    </row>
    <row r="737" spans="1:17" x14ac:dyDescent="0.25">
      <c r="A737" s="10" t="s">
        <v>1122</v>
      </c>
      <c r="B737" s="10" t="s">
        <v>1123</v>
      </c>
      <c r="C737" s="10" t="s">
        <v>63</v>
      </c>
      <c r="D737" s="10" t="s">
        <v>134</v>
      </c>
      <c r="E737" s="10" t="s">
        <v>78</v>
      </c>
      <c r="F737" s="10" t="s">
        <v>65</v>
      </c>
      <c r="G737" s="10" t="s">
        <v>32</v>
      </c>
      <c r="H737" s="10" t="s">
        <v>33</v>
      </c>
      <c r="I737" s="10" t="s">
        <v>25</v>
      </c>
      <c r="J737" s="10">
        <v>5</v>
      </c>
      <c r="K737" s="10">
        <v>2043</v>
      </c>
      <c r="L737" s="10">
        <v>10215</v>
      </c>
      <c r="M737" s="10">
        <v>10</v>
      </c>
      <c r="N737" s="10">
        <v>1022</v>
      </c>
      <c r="O737" s="10">
        <v>9193</v>
      </c>
      <c r="P737" s="10">
        <v>4.2</v>
      </c>
      <c r="Q737" s="10" t="s">
        <v>26</v>
      </c>
    </row>
    <row r="738" spans="1:17" x14ac:dyDescent="0.25">
      <c r="A738" s="10" t="s">
        <v>1124</v>
      </c>
      <c r="B738" s="10" t="s">
        <v>1123</v>
      </c>
      <c r="C738" s="10" t="s">
        <v>51</v>
      </c>
      <c r="D738" s="10" t="s">
        <v>52</v>
      </c>
      <c r="E738" s="10" t="s">
        <v>155</v>
      </c>
      <c r="F738" s="10" t="s">
        <v>43</v>
      </c>
      <c r="G738" s="10" t="s">
        <v>23</v>
      </c>
      <c r="H738" s="10" t="s">
        <v>24</v>
      </c>
      <c r="I738" s="10" t="s">
        <v>25</v>
      </c>
      <c r="J738" s="10">
        <v>1</v>
      </c>
      <c r="K738" s="10">
        <v>655</v>
      </c>
      <c r="L738" s="10">
        <v>655</v>
      </c>
      <c r="M738" s="10">
        <v>5</v>
      </c>
      <c r="N738" s="10">
        <v>33</v>
      </c>
      <c r="O738" s="10">
        <v>622</v>
      </c>
      <c r="P738" s="10">
        <v>3.5</v>
      </c>
      <c r="Q738" s="10" t="s">
        <v>75</v>
      </c>
    </row>
    <row r="739" spans="1:17" x14ac:dyDescent="0.25">
      <c r="A739" s="10" t="s">
        <v>1125</v>
      </c>
      <c r="B739" s="10" t="s">
        <v>1123</v>
      </c>
      <c r="C739" s="10" t="s">
        <v>19</v>
      </c>
      <c r="D739" s="10" t="s">
        <v>20</v>
      </c>
      <c r="E739" s="10" t="s">
        <v>21</v>
      </c>
      <c r="F739" s="10" t="s">
        <v>72</v>
      </c>
      <c r="G739" s="10" t="s">
        <v>44</v>
      </c>
      <c r="H739" s="10" t="s">
        <v>24</v>
      </c>
      <c r="I739" s="10" t="s">
        <v>34</v>
      </c>
      <c r="J739" s="10">
        <v>4</v>
      </c>
      <c r="K739" s="10">
        <v>807</v>
      </c>
      <c r="L739" s="10">
        <v>3228</v>
      </c>
      <c r="M739" s="10">
        <v>10</v>
      </c>
      <c r="N739" s="10">
        <v>323</v>
      </c>
      <c r="O739" s="10">
        <v>2905</v>
      </c>
      <c r="P739" s="10">
        <v>3.7</v>
      </c>
      <c r="Q739" s="10" t="s">
        <v>26</v>
      </c>
    </row>
    <row r="740" spans="1:17" x14ac:dyDescent="0.25">
      <c r="A740" s="10" t="s">
        <v>1126</v>
      </c>
      <c r="B740" s="10" t="s">
        <v>1127</v>
      </c>
      <c r="C740" s="10" t="s">
        <v>91</v>
      </c>
      <c r="D740" s="10" t="s">
        <v>110</v>
      </c>
      <c r="E740" s="10" t="s">
        <v>82</v>
      </c>
      <c r="F740" s="10" t="s">
        <v>65</v>
      </c>
      <c r="G740" s="10" t="s">
        <v>23</v>
      </c>
      <c r="H740" s="10" t="s">
        <v>24</v>
      </c>
      <c r="I740" s="10" t="s">
        <v>98</v>
      </c>
      <c r="J740" s="10">
        <v>5</v>
      </c>
      <c r="K740" s="10">
        <v>2343</v>
      </c>
      <c r="L740" s="10">
        <v>11715</v>
      </c>
      <c r="M740" s="10">
        <v>15</v>
      </c>
      <c r="N740" s="10">
        <v>1757</v>
      </c>
      <c r="O740" s="10">
        <v>9958</v>
      </c>
      <c r="P740" s="10">
        <v>4.5</v>
      </c>
      <c r="Q740" s="10" t="s">
        <v>26</v>
      </c>
    </row>
    <row r="741" spans="1:17" x14ac:dyDescent="0.25">
      <c r="A741" s="10" t="s">
        <v>1128</v>
      </c>
      <c r="B741" s="10" t="s">
        <v>1127</v>
      </c>
      <c r="C741" s="10" t="s">
        <v>19</v>
      </c>
      <c r="D741" s="10" t="s">
        <v>20</v>
      </c>
      <c r="E741" s="10" t="s">
        <v>30</v>
      </c>
      <c r="F741" s="10" t="s">
        <v>43</v>
      </c>
      <c r="G741" s="10" t="s">
        <v>23</v>
      </c>
      <c r="H741" s="10" t="s">
        <v>33</v>
      </c>
      <c r="I741" s="10" t="s">
        <v>25</v>
      </c>
      <c r="J741" s="10">
        <v>3</v>
      </c>
      <c r="K741" s="10">
        <v>624</v>
      </c>
      <c r="L741" s="10">
        <v>1872</v>
      </c>
      <c r="M741" s="10">
        <v>25</v>
      </c>
      <c r="N741" s="10">
        <v>468</v>
      </c>
      <c r="O741" s="10">
        <v>1404</v>
      </c>
      <c r="P741" s="10">
        <v>4.5999999999999996</v>
      </c>
      <c r="Q741" s="10" t="s">
        <v>26</v>
      </c>
    </row>
    <row r="742" spans="1:17" x14ac:dyDescent="0.25">
      <c r="A742" s="10" t="s">
        <v>1129</v>
      </c>
      <c r="B742" s="10" t="s">
        <v>1127</v>
      </c>
      <c r="C742" s="10" t="s">
        <v>91</v>
      </c>
      <c r="D742" s="10" t="s">
        <v>92</v>
      </c>
      <c r="E742" s="10" t="s">
        <v>30</v>
      </c>
      <c r="F742" s="10" t="s">
        <v>119</v>
      </c>
      <c r="G742" s="10" t="s">
        <v>32</v>
      </c>
      <c r="H742" s="10" t="s">
        <v>33</v>
      </c>
      <c r="I742" s="10" t="s">
        <v>45</v>
      </c>
      <c r="J742" s="10">
        <v>2</v>
      </c>
      <c r="K742" s="10">
        <v>2919</v>
      </c>
      <c r="L742" s="10">
        <v>5838</v>
      </c>
      <c r="M742" s="10">
        <v>30</v>
      </c>
      <c r="N742" s="10">
        <v>1751</v>
      </c>
      <c r="O742" s="10">
        <v>4087</v>
      </c>
      <c r="P742" s="10">
        <v>3.6</v>
      </c>
      <c r="Q742" s="10" t="s">
        <v>26</v>
      </c>
    </row>
    <row r="743" spans="1:17" x14ac:dyDescent="0.25">
      <c r="A743" s="10" t="s">
        <v>1130</v>
      </c>
      <c r="B743" s="10" t="s">
        <v>1131</v>
      </c>
      <c r="C743" s="10" t="s">
        <v>51</v>
      </c>
      <c r="D743" s="10" t="s">
        <v>97</v>
      </c>
      <c r="E743" s="10" t="s">
        <v>155</v>
      </c>
      <c r="F743" s="10" t="s">
        <v>61</v>
      </c>
      <c r="G743" s="10" t="s">
        <v>32</v>
      </c>
      <c r="H743" s="10" t="s">
        <v>24</v>
      </c>
      <c r="I743" s="10" t="s">
        <v>84</v>
      </c>
      <c r="J743" s="10">
        <v>5</v>
      </c>
      <c r="K743" s="10">
        <v>200</v>
      </c>
      <c r="L743" s="10">
        <v>1000</v>
      </c>
      <c r="M743" s="10">
        <v>30</v>
      </c>
      <c r="N743" s="10">
        <v>300</v>
      </c>
      <c r="O743" s="10">
        <v>700</v>
      </c>
      <c r="P743" s="10">
        <v>4.5999999999999996</v>
      </c>
      <c r="Q743" s="10" t="s">
        <v>26</v>
      </c>
    </row>
    <row r="744" spans="1:17" x14ac:dyDescent="0.25">
      <c r="A744" s="10" t="s">
        <v>1132</v>
      </c>
      <c r="B744" s="10" t="s">
        <v>1131</v>
      </c>
      <c r="C744" s="10" t="s">
        <v>28</v>
      </c>
      <c r="D744" s="10" t="s">
        <v>29</v>
      </c>
      <c r="E744" s="10" t="s">
        <v>48</v>
      </c>
      <c r="F744" s="10" t="s">
        <v>119</v>
      </c>
      <c r="G744" s="10" t="s">
        <v>23</v>
      </c>
      <c r="H744" s="10" t="s">
        <v>33</v>
      </c>
      <c r="I744" s="10" t="s">
        <v>98</v>
      </c>
      <c r="J744" s="10">
        <v>1</v>
      </c>
      <c r="K744" s="10">
        <v>755</v>
      </c>
      <c r="L744" s="10">
        <v>755</v>
      </c>
      <c r="M744" s="10">
        <v>25</v>
      </c>
      <c r="N744" s="10">
        <v>189</v>
      </c>
      <c r="O744" s="10">
        <v>566</v>
      </c>
      <c r="P744" s="10">
        <v>4.7</v>
      </c>
      <c r="Q744" s="10" t="s">
        <v>26</v>
      </c>
    </row>
    <row r="745" spans="1:17" x14ac:dyDescent="0.25">
      <c r="A745" s="10" t="s">
        <v>1133</v>
      </c>
      <c r="B745" s="10" t="s">
        <v>1134</v>
      </c>
      <c r="C745" s="10" t="s">
        <v>51</v>
      </c>
      <c r="D745" s="10" t="s">
        <v>97</v>
      </c>
      <c r="E745" s="10" t="s">
        <v>101</v>
      </c>
      <c r="F745" s="10" t="s">
        <v>72</v>
      </c>
      <c r="G745" s="10" t="s">
        <v>23</v>
      </c>
      <c r="H745" s="10" t="s">
        <v>24</v>
      </c>
      <c r="I745" s="10" t="s">
        <v>84</v>
      </c>
      <c r="J745" s="10">
        <v>4</v>
      </c>
      <c r="K745" s="10">
        <v>219</v>
      </c>
      <c r="L745" s="10">
        <v>876</v>
      </c>
      <c r="M745" s="10">
        <v>20</v>
      </c>
      <c r="N745" s="10">
        <v>175</v>
      </c>
      <c r="O745" s="10">
        <v>701</v>
      </c>
      <c r="P745" s="10">
        <v>3.6</v>
      </c>
      <c r="Q745" s="10" t="s">
        <v>26</v>
      </c>
    </row>
    <row r="746" spans="1:17" x14ac:dyDescent="0.25">
      <c r="A746" s="10" t="s">
        <v>1135</v>
      </c>
      <c r="B746" s="10" t="s">
        <v>1136</v>
      </c>
      <c r="C746" s="10" t="s">
        <v>28</v>
      </c>
      <c r="D746" s="10" t="s">
        <v>77</v>
      </c>
      <c r="E746" s="10" t="s">
        <v>71</v>
      </c>
      <c r="F746" s="10" t="s">
        <v>83</v>
      </c>
      <c r="G746" s="10" t="s">
        <v>23</v>
      </c>
      <c r="H746" s="10" t="s">
        <v>33</v>
      </c>
      <c r="I746" s="10" t="s">
        <v>34</v>
      </c>
      <c r="J746" s="10">
        <v>1</v>
      </c>
      <c r="K746" s="10">
        <v>636</v>
      </c>
      <c r="L746" s="10">
        <v>636</v>
      </c>
      <c r="M746" s="10">
        <v>25</v>
      </c>
      <c r="N746" s="10">
        <v>159</v>
      </c>
      <c r="O746" s="10">
        <v>477</v>
      </c>
      <c r="P746" s="10">
        <v>3.3</v>
      </c>
      <c r="Q746" s="10" t="s">
        <v>26</v>
      </c>
    </row>
    <row r="747" spans="1:17" x14ac:dyDescent="0.25">
      <c r="A747" s="10" t="s">
        <v>1137</v>
      </c>
      <c r="B747" s="10" t="s">
        <v>1136</v>
      </c>
      <c r="C747" s="10" t="s">
        <v>63</v>
      </c>
      <c r="D747" s="10" t="s">
        <v>143</v>
      </c>
      <c r="E747" s="10" t="s">
        <v>78</v>
      </c>
      <c r="F747" s="10" t="s">
        <v>22</v>
      </c>
      <c r="G747" s="10" t="s">
        <v>32</v>
      </c>
      <c r="H747" s="10" t="s">
        <v>24</v>
      </c>
      <c r="I747" s="10" t="s">
        <v>34</v>
      </c>
      <c r="J747" s="10">
        <v>5</v>
      </c>
      <c r="K747" s="10">
        <v>1542</v>
      </c>
      <c r="L747" s="10">
        <v>7710</v>
      </c>
      <c r="M747" s="10">
        <v>5</v>
      </c>
      <c r="N747" s="10">
        <v>386</v>
      </c>
      <c r="O747" s="10">
        <v>7324</v>
      </c>
      <c r="P747" s="10">
        <v>3.9</v>
      </c>
      <c r="Q747" s="10" t="s">
        <v>26</v>
      </c>
    </row>
    <row r="748" spans="1:17" x14ac:dyDescent="0.25">
      <c r="A748" s="10" t="s">
        <v>1138</v>
      </c>
      <c r="B748" s="10" t="s">
        <v>1139</v>
      </c>
      <c r="C748" s="10" t="s">
        <v>91</v>
      </c>
      <c r="D748" s="10" t="s">
        <v>92</v>
      </c>
      <c r="E748" s="10" t="s">
        <v>82</v>
      </c>
      <c r="F748" s="10" t="s">
        <v>83</v>
      </c>
      <c r="G748" s="10" t="s">
        <v>23</v>
      </c>
      <c r="H748" s="10" t="s">
        <v>33</v>
      </c>
      <c r="I748" s="10" t="s">
        <v>98</v>
      </c>
      <c r="J748" s="10">
        <v>4</v>
      </c>
      <c r="K748" s="10">
        <v>1538</v>
      </c>
      <c r="L748" s="10">
        <v>6152</v>
      </c>
      <c r="M748" s="10">
        <v>5</v>
      </c>
      <c r="N748" s="10">
        <v>308</v>
      </c>
      <c r="O748" s="10">
        <v>5844</v>
      </c>
      <c r="P748" s="10">
        <v>4.7</v>
      </c>
      <c r="Q748" s="10" t="s">
        <v>26</v>
      </c>
    </row>
    <row r="749" spans="1:17" x14ac:dyDescent="0.25">
      <c r="A749" s="10" t="s">
        <v>1140</v>
      </c>
      <c r="B749" s="10" t="s">
        <v>1141</v>
      </c>
      <c r="C749" s="10" t="s">
        <v>51</v>
      </c>
      <c r="D749" s="10" t="s">
        <v>97</v>
      </c>
      <c r="E749" s="10" t="s">
        <v>21</v>
      </c>
      <c r="F749" s="10" t="s">
        <v>79</v>
      </c>
      <c r="G749" s="10" t="s">
        <v>23</v>
      </c>
      <c r="H749" s="10" t="s">
        <v>33</v>
      </c>
      <c r="I749" s="10" t="s">
        <v>34</v>
      </c>
      <c r="J749" s="10">
        <v>3</v>
      </c>
      <c r="K749" s="10">
        <v>587</v>
      </c>
      <c r="L749" s="10">
        <v>1761</v>
      </c>
      <c r="M749" s="10">
        <v>15</v>
      </c>
      <c r="N749" s="10">
        <v>264</v>
      </c>
      <c r="O749" s="10">
        <v>1497</v>
      </c>
      <c r="P749" s="10">
        <v>4.3</v>
      </c>
      <c r="Q749" s="10" t="s">
        <v>26</v>
      </c>
    </row>
    <row r="750" spans="1:17" x14ac:dyDescent="0.25">
      <c r="A750" s="10" t="s">
        <v>1142</v>
      </c>
      <c r="B750" s="10" t="s">
        <v>1141</v>
      </c>
      <c r="C750" s="10" t="s">
        <v>28</v>
      </c>
      <c r="D750" s="10" t="s">
        <v>36</v>
      </c>
      <c r="E750" s="10" t="s">
        <v>37</v>
      </c>
      <c r="F750" s="10" t="s">
        <v>43</v>
      </c>
      <c r="G750" s="10" t="s">
        <v>23</v>
      </c>
      <c r="H750" s="10" t="s">
        <v>104</v>
      </c>
      <c r="I750" s="10" t="s">
        <v>98</v>
      </c>
      <c r="J750" s="10">
        <v>2</v>
      </c>
      <c r="K750" s="10">
        <v>600</v>
      </c>
      <c r="L750" s="10">
        <v>1200</v>
      </c>
      <c r="M750" s="10">
        <v>0</v>
      </c>
      <c r="N750" s="10">
        <v>0</v>
      </c>
      <c r="O750" s="10">
        <v>1200</v>
      </c>
      <c r="P750" s="10">
        <v>4.9000000000000004</v>
      </c>
      <c r="Q750" s="10" t="s">
        <v>75</v>
      </c>
    </row>
    <row r="751" spans="1:17" x14ac:dyDescent="0.25">
      <c r="A751" s="10" t="s">
        <v>1143</v>
      </c>
      <c r="B751" s="10" t="s">
        <v>1144</v>
      </c>
      <c r="C751" s="10" t="s">
        <v>40</v>
      </c>
      <c r="D751" s="10" t="s">
        <v>41</v>
      </c>
      <c r="E751" s="10" t="s">
        <v>42</v>
      </c>
      <c r="F751" s="10" t="s">
        <v>31</v>
      </c>
      <c r="G751" s="10" t="s">
        <v>23</v>
      </c>
      <c r="H751" s="10" t="s">
        <v>24</v>
      </c>
      <c r="I751" s="10" t="s">
        <v>45</v>
      </c>
      <c r="J751" s="10">
        <v>1</v>
      </c>
      <c r="K751" s="10">
        <v>569</v>
      </c>
      <c r="L751" s="10">
        <v>569</v>
      </c>
      <c r="M751" s="10">
        <v>30</v>
      </c>
      <c r="N751" s="10">
        <v>171</v>
      </c>
      <c r="O751" s="10">
        <v>398</v>
      </c>
      <c r="P751" s="10">
        <v>4.8</v>
      </c>
      <c r="Q751" s="10" t="s">
        <v>26</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9B4C-2815-46C1-8A47-B57CCA6142F1}">
  <dimension ref="A1:T751"/>
  <sheetViews>
    <sheetView topLeftCell="P1" zoomScale="111" zoomScaleNormal="100" workbookViewId="0">
      <pane ySplit="1" topLeftCell="A3" activePane="bottomLeft" state="frozen"/>
      <selection pane="bottomLeft" activeCell="S5" sqref="S5"/>
    </sheetView>
  </sheetViews>
  <sheetFormatPr defaultColWidth="20.5703125" defaultRowHeight="15" x14ac:dyDescent="0.25"/>
  <cols>
    <col min="8" max="8" width="27" bestFit="1" customWidth="1"/>
    <col min="11" max="11" width="21.5703125" bestFit="1" customWidth="1"/>
    <col min="12" max="12" width="24.140625" bestFit="1" customWidth="1"/>
    <col min="14" max="14" width="27.85546875" bestFit="1" customWidth="1"/>
    <col min="16" max="16" width="24.140625" bestFit="1" customWidth="1"/>
  </cols>
  <sheetData>
    <row r="1" spans="1:20" x14ac:dyDescent="0.25">
      <c r="A1" s="16" t="s">
        <v>0</v>
      </c>
      <c r="B1" s="17" t="s">
        <v>1</v>
      </c>
      <c r="C1" s="16" t="s">
        <v>2</v>
      </c>
      <c r="D1" s="16" t="s">
        <v>3</v>
      </c>
      <c r="E1" s="16" t="s">
        <v>4</v>
      </c>
      <c r="F1" s="16" t="s">
        <v>5</v>
      </c>
      <c r="G1" s="16" t="s">
        <v>6</v>
      </c>
      <c r="H1" s="16" t="s">
        <v>7</v>
      </c>
      <c r="I1" s="16" t="s">
        <v>8</v>
      </c>
      <c r="J1" s="16" t="s">
        <v>9</v>
      </c>
      <c r="K1" s="20" t="s">
        <v>10</v>
      </c>
      <c r="L1" s="20" t="s">
        <v>11</v>
      </c>
      <c r="M1" s="22" t="s">
        <v>12</v>
      </c>
      <c r="N1" s="20" t="s">
        <v>13</v>
      </c>
      <c r="O1" s="20" t="s">
        <v>14</v>
      </c>
      <c r="P1" s="16" t="s">
        <v>15</v>
      </c>
      <c r="Q1" s="16" t="s">
        <v>16</v>
      </c>
    </row>
    <row r="2" spans="1:20" x14ac:dyDescent="0.25">
      <c r="A2" s="13" t="s">
        <v>17</v>
      </c>
      <c r="B2" s="14">
        <v>45839</v>
      </c>
      <c r="C2" s="13" t="s">
        <v>19</v>
      </c>
      <c r="D2" s="13" t="s">
        <v>20</v>
      </c>
      <c r="E2" s="13" t="s">
        <v>21</v>
      </c>
      <c r="F2" s="13" t="s">
        <v>22</v>
      </c>
      <c r="G2" s="13" t="s">
        <v>23</v>
      </c>
      <c r="H2" s="13" t="s">
        <v>24</v>
      </c>
      <c r="I2" s="13" t="s">
        <v>25</v>
      </c>
      <c r="J2" s="13">
        <v>5</v>
      </c>
      <c r="K2" s="21">
        <v>877</v>
      </c>
      <c r="L2" s="21">
        <v>4385</v>
      </c>
      <c r="M2" s="23">
        <v>0.3</v>
      </c>
      <c r="N2" s="21">
        <v>1316</v>
      </c>
      <c r="O2" s="21">
        <v>3069</v>
      </c>
      <c r="P2" s="13">
        <v>4.3</v>
      </c>
      <c r="Q2" s="13" t="s">
        <v>26</v>
      </c>
    </row>
    <row r="3" spans="1:20" x14ac:dyDescent="0.25">
      <c r="A3" s="13" t="s">
        <v>27</v>
      </c>
      <c r="B3" s="14">
        <v>45839</v>
      </c>
      <c r="C3" s="13" t="s">
        <v>28</v>
      </c>
      <c r="D3" s="13" t="s">
        <v>29</v>
      </c>
      <c r="E3" s="13" t="s">
        <v>30</v>
      </c>
      <c r="F3" s="13" t="s">
        <v>31</v>
      </c>
      <c r="G3" s="13" t="s">
        <v>32</v>
      </c>
      <c r="H3" s="13" t="s">
        <v>33</v>
      </c>
      <c r="I3" s="13" t="s">
        <v>34</v>
      </c>
      <c r="J3" s="13">
        <v>4</v>
      </c>
      <c r="K3" s="21">
        <v>876</v>
      </c>
      <c r="L3" s="21">
        <v>3504</v>
      </c>
      <c r="M3" s="23">
        <v>0.15</v>
      </c>
      <c r="N3" s="21">
        <v>526</v>
      </c>
      <c r="O3" s="21">
        <v>2978</v>
      </c>
      <c r="P3" s="13">
        <v>3.6</v>
      </c>
      <c r="Q3" s="13" t="s">
        <v>26</v>
      </c>
    </row>
    <row r="4" spans="1:20" x14ac:dyDescent="0.25">
      <c r="A4" s="13" t="s">
        <v>35</v>
      </c>
      <c r="B4" s="14">
        <v>45839</v>
      </c>
      <c r="C4" s="13" t="s">
        <v>28</v>
      </c>
      <c r="D4" s="13" t="s">
        <v>36</v>
      </c>
      <c r="E4" s="13" t="s">
        <v>37</v>
      </c>
      <c r="F4" s="13" t="s">
        <v>22</v>
      </c>
      <c r="G4" s="13" t="s">
        <v>32</v>
      </c>
      <c r="H4" s="13" t="s">
        <v>33</v>
      </c>
      <c r="I4" s="13" t="s">
        <v>34</v>
      </c>
      <c r="J4" s="13">
        <v>3</v>
      </c>
      <c r="K4" s="21">
        <v>715</v>
      </c>
      <c r="L4" s="21">
        <v>2145</v>
      </c>
      <c r="M4" s="23">
        <v>0</v>
      </c>
      <c r="N4" s="21">
        <v>0</v>
      </c>
      <c r="O4" s="21">
        <v>2145</v>
      </c>
      <c r="P4" s="13">
        <v>4.4000000000000004</v>
      </c>
      <c r="Q4" s="13" t="s">
        <v>26</v>
      </c>
      <c r="S4" s="26" t="s">
        <v>1206</v>
      </c>
    </row>
    <row r="5" spans="1:20" x14ac:dyDescent="0.25">
      <c r="A5" s="13" t="s">
        <v>38</v>
      </c>
      <c r="B5" s="14">
        <v>45840</v>
      </c>
      <c r="C5" s="13" t="s">
        <v>40</v>
      </c>
      <c r="D5" s="13" t="s">
        <v>41</v>
      </c>
      <c r="E5" s="13" t="s">
        <v>42</v>
      </c>
      <c r="F5" s="13" t="s">
        <v>43</v>
      </c>
      <c r="G5" s="13" t="s">
        <v>44</v>
      </c>
      <c r="H5" s="13" t="s">
        <v>33</v>
      </c>
      <c r="I5" s="13" t="s">
        <v>45</v>
      </c>
      <c r="J5" s="13">
        <v>1</v>
      </c>
      <c r="K5" s="21">
        <v>980</v>
      </c>
      <c r="L5" s="21">
        <v>980</v>
      </c>
      <c r="M5" s="23">
        <v>0.1</v>
      </c>
      <c r="N5" s="21">
        <v>98</v>
      </c>
      <c r="O5" s="21">
        <v>882</v>
      </c>
      <c r="P5" s="13">
        <v>3.8</v>
      </c>
      <c r="Q5" s="13" t="s">
        <v>26</v>
      </c>
      <c r="S5" s="27">
        <f>AVERAGE(NykaaSalesData3[Customer Rating])</f>
        <v>4.1365333333333361</v>
      </c>
    </row>
    <row r="6" spans="1:20" x14ac:dyDescent="0.25">
      <c r="A6" s="13" t="s">
        <v>46</v>
      </c>
      <c r="B6" s="14">
        <v>45840</v>
      </c>
      <c r="C6" s="13" t="s">
        <v>40</v>
      </c>
      <c r="D6" s="13" t="s">
        <v>47</v>
      </c>
      <c r="E6" s="13" t="s">
        <v>48</v>
      </c>
      <c r="F6" s="13" t="s">
        <v>43</v>
      </c>
      <c r="G6" s="13" t="s">
        <v>23</v>
      </c>
      <c r="H6" s="13" t="s">
        <v>33</v>
      </c>
      <c r="I6" s="13" t="s">
        <v>45</v>
      </c>
      <c r="J6" s="13">
        <v>3</v>
      </c>
      <c r="K6" s="21">
        <v>807</v>
      </c>
      <c r="L6" s="21">
        <v>2421</v>
      </c>
      <c r="M6" s="23">
        <v>0.25</v>
      </c>
      <c r="N6" s="21">
        <v>605</v>
      </c>
      <c r="O6" s="21">
        <v>1816</v>
      </c>
      <c r="P6" s="13">
        <v>5</v>
      </c>
      <c r="Q6" s="13" t="s">
        <v>26</v>
      </c>
    </row>
    <row r="7" spans="1:20" x14ac:dyDescent="0.25">
      <c r="A7" s="13" t="s">
        <v>49</v>
      </c>
      <c r="B7" s="14">
        <v>45841</v>
      </c>
      <c r="C7" s="13" t="s">
        <v>51</v>
      </c>
      <c r="D7" s="13" t="s">
        <v>52</v>
      </c>
      <c r="E7" s="13" t="s">
        <v>53</v>
      </c>
      <c r="F7" s="13" t="s">
        <v>43</v>
      </c>
      <c r="G7" s="13" t="s">
        <v>44</v>
      </c>
      <c r="H7" s="13" t="s">
        <v>24</v>
      </c>
      <c r="I7" s="13" t="s">
        <v>45</v>
      </c>
      <c r="J7" s="13">
        <v>5</v>
      </c>
      <c r="K7" s="21">
        <v>171</v>
      </c>
      <c r="L7" s="21">
        <v>855</v>
      </c>
      <c r="M7" s="23">
        <v>0.2</v>
      </c>
      <c r="N7" s="21">
        <v>171</v>
      </c>
      <c r="O7" s="21">
        <v>684</v>
      </c>
      <c r="P7" s="13">
        <v>3.9</v>
      </c>
      <c r="Q7" s="13" t="s">
        <v>26</v>
      </c>
      <c r="S7" s="26" t="s">
        <v>1204</v>
      </c>
    </row>
    <row r="8" spans="1:20" x14ac:dyDescent="0.25">
      <c r="A8" s="13" t="s">
        <v>54</v>
      </c>
      <c r="B8" s="14">
        <v>45841</v>
      </c>
      <c r="C8" s="13" t="s">
        <v>51</v>
      </c>
      <c r="D8" s="13" t="s">
        <v>52</v>
      </c>
      <c r="E8" s="13" t="s">
        <v>21</v>
      </c>
      <c r="F8" s="13" t="s">
        <v>22</v>
      </c>
      <c r="G8" s="13" t="s">
        <v>32</v>
      </c>
      <c r="H8" s="13" t="s">
        <v>33</v>
      </c>
      <c r="I8" s="13" t="s">
        <v>45</v>
      </c>
      <c r="J8" s="13">
        <v>5</v>
      </c>
      <c r="K8" s="21">
        <v>463</v>
      </c>
      <c r="L8" s="21">
        <v>2315</v>
      </c>
      <c r="M8" s="23">
        <v>0.2</v>
      </c>
      <c r="N8" s="21">
        <v>463</v>
      </c>
      <c r="O8" s="21">
        <v>1852</v>
      </c>
      <c r="P8" s="13">
        <v>4.5999999999999996</v>
      </c>
      <c r="Q8" s="13" t="s">
        <v>26</v>
      </c>
      <c r="S8" s="24">
        <f>SUM(NykaaSalesData3[Net Sales (Rs)])</f>
        <v>1906646</v>
      </c>
    </row>
    <row r="9" spans="1:20" x14ac:dyDescent="0.25">
      <c r="A9" s="13" t="s">
        <v>55</v>
      </c>
      <c r="B9" s="14">
        <v>45842</v>
      </c>
      <c r="C9" s="13" t="s">
        <v>40</v>
      </c>
      <c r="D9" s="13" t="s">
        <v>57</v>
      </c>
      <c r="E9" s="13" t="s">
        <v>53</v>
      </c>
      <c r="F9" s="13" t="s">
        <v>22</v>
      </c>
      <c r="G9" s="13" t="s">
        <v>44</v>
      </c>
      <c r="H9" s="13" t="s">
        <v>33</v>
      </c>
      <c r="I9" s="13" t="s">
        <v>34</v>
      </c>
      <c r="J9" s="13">
        <v>5</v>
      </c>
      <c r="K9" s="21">
        <v>678</v>
      </c>
      <c r="L9" s="21">
        <v>3390</v>
      </c>
      <c r="M9" s="23">
        <v>0.2</v>
      </c>
      <c r="N9" s="21">
        <v>678</v>
      </c>
      <c r="O9" s="21">
        <v>2712</v>
      </c>
      <c r="P9" s="13">
        <v>4.8</v>
      </c>
      <c r="Q9" s="13" t="s">
        <v>26</v>
      </c>
    </row>
    <row r="10" spans="1:20" x14ac:dyDescent="0.25">
      <c r="A10" s="13" t="s">
        <v>58</v>
      </c>
      <c r="B10" s="14">
        <v>45843</v>
      </c>
      <c r="C10" s="13" t="s">
        <v>51</v>
      </c>
      <c r="D10" s="13" t="s">
        <v>52</v>
      </c>
      <c r="E10" s="13" t="s">
        <v>60</v>
      </c>
      <c r="F10" s="13" t="s">
        <v>61</v>
      </c>
      <c r="G10" s="13" t="s">
        <v>32</v>
      </c>
      <c r="H10" s="13" t="s">
        <v>33</v>
      </c>
      <c r="I10" s="13" t="s">
        <v>34</v>
      </c>
      <c r="J10" s="13">
        <v>2</v>
      </c>
      <c r="K10" s="21">
        <v>421</v>
      </c>
      <c r="L10" s="21">
        <v>842</v>
      </c>
      <c r="M10" s="23">
        <v>0.25</v>
      </c>
      <c r="N10" s="21">
        <v>210</v>
      </c>
      <c r="O10" s="21">
        <v>632</v>
      </c>
      <c r="P10" s="13">
        <v>4.5999999999999996</v>
      </c>
      <c r="Q10" s="13" t="s">
        <v>26</v>
      </c>
      <c r="S10" s="26" t="s">
        <v>1205</v>
      </c>
    </row>
    <row r="11" spans="1:20" x14ac:dyDescent="0.25">
      <c r="A11" s="13" t="s">
        <v>62</v>
      </c>
      <c r="B11" s="14">
        <v>45843</v>
      </c>
      <c r="C11" s="13" t="s">
        <v>63</v>
      </c>
      <c r="D11" s="13" t="s">
        <v>64</v>
      </c>
      <c r="E11" s="13" t="s">
        <v>60</v>
      </c>
      <c r="F11" s="13" t="s">
        <v>65</v>
      </c>
      <c r="G11" s="13" t="s">
        <v>23</v>
      </c>
      <c r="H11" s="13" t="s">
        <v>24</v>
      </c>
      <c r="I11" s="13" t="s">
        <v>45</v>
      </c>
      <c r="J11" s="13">
        <v>4</v>
      </c>
      <c r="K11" s="21">
        <v>2125</v>
      </c>
      <c r="L11" s="21">
        <v>8500</v>
      </c>
      <c r="M11" s="23">
        <v>0.3</v>
      </c>
      <c r="N11" s="21">
        <v>2550</v>
      </c>
      <c r="O11" s="21">
        <v>5950</v>
      </c>
      <c r="P11" s="13">
        <v>4.4000000000000004</v>
      </c>
      <c r="Q11" s="13" t="s">
        <v>26</v>
      </c>
      <c r="S11" s="25">
        <f>COUNTA(NykaaSalesData3[Order ID])</f>
        <v>750</v>
      </c>
    </row>
    <row r="12" spans="1:20" x14ac:dyDescent="0.25">
      <c r="A12" s="13" t="s">
        <v>66</v>
      </c>
      <c r="B12" s="14">
        <v>45844</v>
      </c>
      <c r="C12" s="13" t="s">
        <v>40</v>
      </c>
      <c r="D12" s="13" t="s">
        <v>68</v>
      </c>
      <c r="E12" s="13" t="s">
        <v>21</v>
      </c>
      <c r="F12" s="13" t="s">
        <v>65</v>
      </c>
      <c r="G12" s="13" t="s">
        <v>23</v>
      </c>
      <c r="H12" s="13" t="s">
        <v>33</v>
      </c>
      <c r="I12" s="13" t="s">
        <v>34</v>
      </c>
      <c r="J12" s="13">
        <v>3</v>
      </c>
      <c r="K12" s="21">
        <v>1243</v>
      </c>
      <c r="L12" s="21">
        <v>3729</v>
      </c>
      <c r="M12" s="23">
        <v>0.25</v>
      </c>
      <c r="N12" s="21">
        <v>932</v>
      </c>
      <c r="O12" s="21">
        <v>2797</v>
      </c>
      <c r="P12" s="13">
        <v>3.2</v>
      </c>
      <c r="Q12" s="13" t="s">
        <v>26</v>
      </c>
    </row>
    <row r="13" spans="1:20" x14ac:dyDescent="0.25">
      <c r="A13" s="13" t="s">
        <v>69</v>
      </c>
      <c r="B13" s="14">
        <v>45844</v>
      </c>
      <c r="C13" s="13" t="s">
        <v>51</v>
      </c>
      <c r="D13" s="13" t="s">
        <v>70</v>
      </c>
      <c r="E13" s="13" t="s">
        <v>71</v>
      </c>
      <c r="F13" s="13" t="s">
        <v>72</v>
      </c>
      <c r="G13" s="13" t="s">
        <v>32</v>
      </c>
      <c r="H13" s="13" t="s">
        <v>33</v>
      </c>
      <c r="I13" s="13" t="s">
        <v>34</v>
      </c>
      <c r="J13" s="13">
        <v>3</v>
      </c>
      <c r="K13" s="21">
        <v>222</v>
      </c>
      <c r="L13" s="21">
        <v>666</v>
      </c>
      <c r="M13" s="23">
        <v>0.15</v>
      </c>
      <c r="N13" s="21">
        <v>100</v>
      </c>
      <c r="O13" s="21">
        <v>566</v>
      </c>
      <c r="P13" s="13">
        <v>3.5</v>
      </c>
      <c r="Q13" s="13" t="s">
        <v>26</v>
      </c>
      <c r="S13" s="26" t="s">
        <v>1149</v>
      </c>
    </row>
    <row r="14" spans="1:20" x14ac:dyDescent="0.25">
      <c r="A14" s="13" t="s">
        <v>73</v>
      </c>
      <c r="B14" s="14">
        <v>45845</v>
      </c>
      <c r="C14" s="13" t="s">
        <v>51</v>
      </c>
      <c r="D14" s="13" t="s">
        <v>70</v>
      </c>
      <c r="E14" s="13" t="s">
        <v>48</v>
      </c>
      <c r="F14" s="13" t="s">
        <v>22</v>
      </c>
      <c r="G14" s="13" t="s">
        <v>23</v>
      </c>
      <c r="H14" s="13" t="s">
        <v>24</v>
      </c>
      <c r="I14" s="13" t="s">
        <v>25</v>
      </c>
      <c r="J14" s="13">
        <v>1</v>
      </c>
      <c r="K14" s="21">
        <v>279</v>
      </c>
      <c r="L14" s="21">
        <v>279</v>
      </c>
      <c r="M14" s="23">
        <v>0.3</v>
      </c>
      <c r="N14" s="21">
        <v>84</v>
      </c>
      <c r="O14" s="21">
        <v>195</v>
      </c>
      <c r="P14" s="13">
        <v>4.5999999999999996</v>
      </c>
      <c r="Q14" s="13" t="s">
        <v>75</v>
      </c>
      <c r="S14" s="25">
        <f>SUM(NykaaSalesData3[Units Sold])</f>
        <v>2324</v>
      </c>
      <c r="T14" t="s">
        <v>1203</v>
      </c>
    </row>
    <row r="15" spans="1:20" x14ac:dyDescent="0.25">
      <c r="A15" s="13" t="s">
        <v>76</v>
      </c>
      <c r="B15" s="14">
        <v>45845</v>
      </c>
      <c r="C15" s="13" t="s">
        <v>28</v>
      </c>
      <c r="D15" s="13" t="s">
        <v>77</v>
      </c>
      <c r="E15" s="13" t="s">
        <v>78</v>
      </c>
      <c r="F15" s="13" t="s">
        <v>79</v>
      </c>
      <c r="G15" s="13" t="s">
        <v>23</v>
      </c>
      <c r="H15" s="13" t="s">
        <v>33</v>
      </c>
      <c r="I15" s="13" t="s">
        <v>34</v>
      </c>
      <c r="J15" s="13">
        <v>2</v>
      </c>
      <c r="K15" s="21">
        <v>1261</v>
      </c>
      <c r="L15" s="21">
        <v>2522</v>
      </c>
      <c r="M15" s="23">
        <v>0.1</v>
      </c>
      <c r="N15" s="21">
        <v>252</v>
      </c>
      <c r="O15" s="21">
        <v>2270</v>
      </c>
      <c r="P15" s="13">
        <v>4.9000000000000004</v>
      </c>
      <c r="Q15" s="13" t="s">
        <v>26</v>
      </c>
    </row>
    <row r="16" spans="1:20" x14ac:dyDescent="0.25">
      <c r="A16" s="13" t="s">
        <v>80</v>
      </c>
      <c r="B16" s="14">
        <v>45846</v>
      </c>
      <c r="C16" s="13" t="s">
        <v>40</v>
      </c>
      <c r="D16" s="15" t="s">
        <v>47</v>
      </c>
      <c r="E16" s="13" t="s">
        <v>82</v>
      </c>
      <c r="F16" s="13" t="s">
        <v>83</v>
      </c>
      <c r="G16" s="13" t="s">
        <v>23</v>
      </c>
      <c r="H16" s="13" t="s">
        <v>24</v>
      </c>
      <c r="I16" s="13" t="s">
        <v>84</v>
      </c>
      <c r="J16" s="13">
        <v>1</v>
      </c>
      <c r="K16" s="21">
        <v>550</v>
      </c>
      <c r="L16" s="21">
        <v>550</v>
      </c>
      <c r="M16" s="23">
        <v>0.25</v>
      </c>
      <c r="N16" s="21">
        <v>138</v>
      </c>
      <c r="O16" s="21">
        <v>412</v>
      </c>
      <c r="P16" s="13">
        <v>3.5</v>
      </c>
      <c r="Q16" s="13" t="s">
        <v>26</v>
      </c>
    </row>
    <row r="17" spans="1:17" x14ac:dyDescent="0.25">
      <c r="A17" s="13" t="s">
        <v>85</v>
      </c>
      <c r="B17" s="14">
        <v>45848</v>
      </c>
      <c r="C17" s="13" t="s">
        <v>63</v>
      </c>
      <c r="D17" s="13" t="s">
        <v>64</v>
      </c>
      <c r="E17" s="13" t="s">
        <v>82</v>
      </c>
      <c r="F17" s="13" t="s">
        <v>22</v>
      </c>
      <c r="G17" s="13" t="s">
        <v>32</v>
      </c>
      <c r="H17" s="13" t="s">
        <v>33</v>
      </c>
      <c r="I17" s="13" t="s">
        <v>84</v>
      </c>
      <c r="J17" s="13">
        <v>4</v>
      </c>
      <c r="K17" s="21">
        <v>962</v>
      </c>
      <c r="L17" s="21">
        <v>3848</v>
      </c>
      <c r="M17" s="23">
        <v>0.25</v>
      </c>
      <c r="N17" s="21">
        <v>962</v>
      </c>
      <c r="O17" s="21">
        <v>2886</v>
      </c>
      <c r="P17" s="13">
        <v>4.2</v>
      </c>
      <c r="Q17" s="13" t="s">
        <v>26</v>
      </c>
    </row>
    <row r="18" spans="1:17" x14ac:dyDescent="0.25">
      <c r="A18" s="13" t="s">
        <v>87</v>
      </c>
      <c r="B18" s="14">
        <v>45848</v>
      </c>
      <c r="C18" s="13" t="s">
        <v>28</v>
      </c>
      <c r="D18" s="13" t="s">
        <v>77</v>
      </c>
      <c r="E18" s="13" t="s">
        <v>30</v>
      </c>
      <c r="F18" s="13" t="s">
        <v>61</v>
      </c>
      <c r="G18" s="13" t="s">
        <v>44</v>
      </c>
      <c r="H18" s="13" t="s">
        <v>33</v>
      </c>
      <c r="I18" s="13" t="s">
        <v>84</v>
      </c>
      <c r="J18" s="13">
        <v>2</v>
      </c>
      <c r="K18" s="21">
        <v>215</v>
      </c>
      <c r="L18" s="21">
        <v>430</v>
      </c>
      <c r="M18" s="23">
        <v>0.25</v>
      </c>
      <c r="N18" s="21">
        <v>108</v>
      </c>
      <c r="O18" s="21">
        <v>322</v>
      </c>
      <c r="P18" s="13">
        <v>3.3</v>
      </c>
      <c r="Q18" s="13" t="s">
        <v>26</v>
      </c>
    </row>
    <row r="19" spans="1:17" x14ac:dyDescent="0.25">
      <c r="A19" s="13" t="s">
        <v>88</v>
      </c>
      <c r="B19" s="14">
        <v>45849</v>
      </c>
      <c r="C19" s="13" t="s">
        <v>28</v>
      </c>
      <c r="D19" s="13" t="s">
        <v>77</v>
      </c>
      <c r="E19" s="13" t="s">
        <v>78</v>
      </c>
      <c r="F19" s="13" t="s">
        <v>83</v>
      </c>
      <c r="G19" s="13" t="s">
        <v>23</v>
      </c>
      <c r="H19" s="13" t="s">
        <v>33</v>
      </c>
      <c r="I19" s="13" t="s">
        <v>34</v>
      </c>
      <c r="J19" s="13">
        <v>2</v>
      </c>
      <c r="K19" s="21">
        <v>332</v>
      </c>
      <c r="L19" s="21">
        <v>664</v>
      </c>
      <c r="M19" s="23">
        <v>0.15</v>
      </c>
      <c r="N19" s="21">
        <v>100</v>
      </c>
      <c r="O19" s="21">
        <v>564</v>
      </c>
      <c r="P19" s="13">
        <v>4.5999999999999996</v>
      </c>
      <c r="Q19" s="13" t="s">
        <v>26</v>
      </c>
    </row>
    <row r="20" spans="1:17" x14ac:dyDescent="0.25">
      <c r="A20" s="13" t="s">
        <v>90</v>
      </c>
      <c r="B20" s="14">
        <v>45849</v>
      </c>
      <c r="C20" s="13" t="s">
        <v>91</v>
      </c>
      <c r="D20" s="13" t="s">
        <v>92</v>
      </c>
      <c r="E20" s="13" t="s">
        <v>42</v>
      </c>
      <c r="F20" s="13" t="s">
        <v>43</v>
      </c>
      <c r="G20" s="13" t="s">
        <v>23</v>
      </c>
      <c r="H20" s="13" t="s">
        <v>24</v>
      </c>
      <c r="I20" s="13" t="s">
        <v>25</v>
      </c>
      <c r="J20" s="13">
        <v>4</v>
      </c>
      <c r="K20" s="21">
        <v>2266</v>
      </c>
      <c r="L20" s="21">
        <v>9064</v>
      </c>
      <c r="M20" s="23">
        <v>0.2</v>
      </c>
      <c r="N20" s="21">
        <v>1813</v>
      </c>
      <c r="O20" s="21">
        <v>7251</v>
      </c>
      <c r="P20" s="13">
        <v>3.7</v>
      </c>
      <c r="Q20" s="13" t="s">
        <v>26</v>
      </c>
    </row>
    <row r="21" spans="1:17" x14ac:dyDescent="0.25">
      <c r="A21" s="13" t="s">
        <v>93</v>
      </c>
      <c r="B21" s="14">
        <v>45851</v>
      </c>
      <c r="C21" s="13" t="s">
        <v>28</v>
      </c>
      <c r="D21" s="13" t="s">
        <v>95</v>
      </c>
      <c r="E21" s="13" t="s">
        <v>78</v>
      </c>
      <c r="F21" s="13" t="s">
        <v>61</v>
      </c>
      <c r="G21" s="13" t="s">
        <v>32</v>
      </c>
      <c r="H21" s="13" t="s">
        <v>24</v>
      </c>
      <c r="I21" s="13" t="s">
        <v>84</v>
      </c>
      <c r="J21" s="13">
        <v>5</v>
      </c>
      <c r="K21" s="21">
        <v>1298</v>
      </c>
      <c r="L21" s="21">
        <v>6490</v>
      </c>
      <c r="M21" s="23">
        <v>0.15</v>
      </c>
      <c r="N21" s="21">
        <v>974</v>
      </c>
      <c r="O21" s="21">
        <v>5516</v>
      </c>
      <c r="P21" s="13">
        <v>3.3</v>
      </c>
      <c r="Q21" s="13" t="s">
        <v>26</v>
      </c>
    </row>
    <row r="22" spans="1:17" x14ac:dyDescent="0.25">
      <c r="A22" s="13" t="s">
        <v>96</v>
      </c>
      <c r="B22" s="14">
        <v>45851</v>
      </c>
      <c r="C22" s="13" t="s">
        <v>51</v>
      </c>
      <c r="D22" s="13" t="s">
        <v>97</v>
      </c>
      <c r="E22" s="13" t="s">
        <v>60</v>
      </c>
      <c r="F22" s="13" t="s">
        <v>22</v>
      </c>
      <c r="G22" s="13" t="s">
        <v>32</v>
      </c>
      <c r="H22" s="13" t="s">
        <v>24</v>
      </c>
      <c r="I22" s="13" t="s">
        <v>98</v>
      </c>
      <c r="J22" s="13">
        <v>4</v>
      </c>
      <c r="K22" s="21">
        <v>465</v>
      </c>
      <c r="L22" s="21">
        <v>1860</v>
      </c>
      <c r="M22" s="23">
        <v>0.1</v>
      </c>
      <c r="N22" s="21">
        <v>186</v>
      </c>
      <c r="O22" s="21">
        <v>1674</v>
      </c>
      <c r="P22" s="13">
        <v>4.8</v>
      </c>
      <c r="Q22" s="13" t="s">
        <v>26</v>
      </c>
    </row>
    <row r="23" spans="1:17" x14ac:dyDescent="0.25">
      <c r="A23" s="13" t="s">
        <v>99</v>
      </c>
      <c r="B23" s="14">
        <v>45852</v>
      </c>
      <c r="C23" s="13" t="s">
        <v>28</v>
      </c>
      <c r="D23" s="13" t="s">
        <v>77</v>
      </c>
      <c r="E23" s="13" t="s">
        <v>101</v>
      </c>
      <c r="F23" s="13" t="s">
        <v>43</v>
      </c>
      <c r="G23" s="13" t="s">
        <v>23</v>
      </c>
      <c r="H23" s="13" t="s">
        <v>33</v>
      </c>
      <c r="I23" s="13" t="s">
        <v>84</v>
      </c>
      <c r="J23" s="13">
        <v>4</v>
      </c>
      <c r="K23" s="21">
        <v>1293</v>
      </c>
      <c r="L23" s="21">
        <v>5172</v>
      </c>
      <c r="M23" s="23">
        <v>0.1</v>
      </c>
      <c r="N23" s="21">
        <v>517</v>
      </c>
      <c r="O23" s="21">
        <v>4655</v>
      </c>
      <c r="P23" s="13">
        <v>3.6</v>
      </c>
      <c r="Q23" s="13" t="s">
        <v>26</v>
      </c>
    </row>
    <row r="24" spans="1:17" x14ac:dyDescent="0.25">
      <c r="A24" s="13" t="s">
        <v>102</v>
      </c>
      <c r="B24" s="14">
        <v>45852</v>
      </c>
      <c r="C24" s="13" t="s">
        <v>28</v>
      </c>
      <c r="D24" s="13" t="s">
        <v>95</v>
      </c>
      <c r="E24" s="13" t="s">
        <v>30</v>
      </c>
      <c r="F24" s="13" t="s">
        <v>31</v>
      </c>
      <c r="G24" s="13" t="s">
        <v>23</v>
      </c>
      <c r="H24" s="13" t="s">
        <v>33</v>
      </c>
      <c r="I24" s="13" t="s">
        <v>84</v>
      </c>
      <c r="J24" s="13">
        <v>5</v>
      </c>
      <c r="K24" s="21">
        <v>555</v>
      </c>
      <c r="L24" s="21">
        <v>2775</v>
      </c>
      <c r="M24" s="23">
        <v>0.05</v>
      </c>
      <c r="N24" s="21">
        <v>139</v>
      </c>
      <c r="O24" s="21">
        <v>2636</v>
      </c>
      <c r="P24" s="13">
        <v>3.7</v>
      </c>
      <c r="Q24" s="13" t="s">
        <v>26</v>
      </c>
    </row>
    <row r="25" spans="1:17" x14ac:dyDescent="0.25">
      <c r="A25" s="13" t="s">
        <v>103</v>
      </c>
      <c r="B25" s="14">
        <v>45852</v>
      </c>
      <c r="C25" s="13" t="s">
        <v>63</v>
      </c>
      <c r="D25" s="13" t="s">
        <v>64</v>
      </c>
      <c r="E25" s="13" t="s">
        <v>30</v>
      </c>
      <c r="F25" s="13" t="s">
        <v>79</v>
      </c>
      <c r="G25" s="13" t="s">
        <v>23</v>
      </c>
      <c r="H25" s="13" t="s">
        <v>104</v>
      </c>
      <c r="I25" s="13" t="s">
        <v>98</v>
      </c>
      <c r="J25" s="13">
        <v>5</v>
      </c>
      <c r="K25" s="21">
        <v>877</v>
      </c>
      <c r="L25" s="21">
        <v>4385</v>
      </c>
      <c r="M25" s="23">
        <v>0</v>
      </c>
      <c r="N25" s="21">
        <v>0</v>
      </c>
      <c r="O25" s="21">
        <v>4385</v>
      </c>
      <c r="P25" s="13">
        <v>4.3</v>
      </c>
      <c r="Q25" s="13" t="s">
        <v>26</v>
      </c>
    </row>
    <row r="26" spans="1:17" x14ac:dyDescent="0.25">
      <c r="A26" s="13" t="s">
        <v>105</v>
      </c>
      <c r="B26" s="14">
        <v>45853</v>
      </c>
      <c r="C26" s="13" t="s">
        <v>63</v>
      </c>
      <c r="D26" s="13" t="s">
        <v>64</v>
      </c>
      <c r="E26" s="13" t="s">
        <v>60</v>
      </c>
      <c r="F26" s="13" t="s">
        <v>31</v>
      </c>
      <c r="G26" s="13" t="s">
        <v>23</v>
      </c>
      <c r="H26" s="13" t="s">
        <v>33</v>
      </c>
      <c r="I26" s="13" t="s">
        <v>34</v>
      </c>
      <c r="J26" s="13">
        <v>3</v>
      </c>
      <c r="K26" s="21">
        <v>412</v>
      </c>
      <c r="L26" s="21">
        <v>1236</v>
      </c>
      <c r="M26" s="23">
        <v>0.3</v>
      </c>
      <c r="N26" s="21">
        <v>371</v>
      </c>
      <c r="O26" s="21">
        <v>865</v>
      </c>
      <c r="P26" s="13">
        <v>3.5</v>
      </c>
      <c r="Q26" s="13" t="s">
        <v>26</v>
      </c>
    </row>
    <row r="27" spans="1:17" x14ac:dyDescent="0.25">
      <c r="A27" s="13" t="s">
        <v>107</v>
      </c>
      <c r="B27" s="14">
        <v>45853</v>
      </c>
      <c r="C27" s="13" t="s">
        <v>28</v>
      </c>
      <c r="D27" s="13" t="s">
        <v>77</v>
      </c>
      <c r="E27" s="13" t="s">
        <v>82</v>
      </c>
      <c r="F27" s="13" t="s">
        <v>65</v>
      </c>
      <c r="G27" s="13" t="s">
        <v>44</v>
      </c>
      <c r="H27" s="13" t="s">
        <v>24</v>
      </c>
      <c r="I27" s="13" t="s">
        <v>45</v>
      </c>
      <c r="J27" s="13">
        <v>2</v>
      </c>
      <c r="K27" s="21">
        <v>606</v>
      </c>
      <c r="L27" s="21">
        <v>1212</v>
      </c>
      <c r="M27" s="23">
        <v>0.25</v>
      </c>
      <c r="N27" s="21">
        <v>303</v>
      </c>
      <c r="O27" s="21">
        <v>909</v>
      </c>
      <c r="P27" s="13">
        <v>4.4000000000000004</v>
      </c>
      <c r="Q27" s="13" t="s">
        <v>26</v>
      </c>
    </row>
    <row r="28" spans="1:17" x14ac:dyDescent="0.25">
      <c r="A28" s="13" t="s">
        <v>108</v>
      </c>
      <c r="B28" s="14">
        <v>45853</v>
      </c>
      <c r="C28" s="13" t="s">
        <v>19</v>
      </c>
      <c r="D28" s="13" t="s">
        <v>20</v>
      </c>
      <c r="E28" s="13" t="s">
        <v>21</v>
      </c>
      <c r="F28" s="13" t="s">
        <v>31</v>
      </c>
      <c r="G28" s="13" t="s">
        <v>23</v>
      </c>
      <c r="H28" s="13" t="s">
        <v>33</v>
      </c>
      <c r="I28" s="13" t="s">
        <v>25</v>
      </c>
      <c r="J28" s="13">
        <v>3</v>
      </c>
      <c r="K28" s="21">
        <v>905</v>
      </c>
      <c r="L28" s="21">
        <v>2715</v>
      </c>
      <c r="M28" s="23">
        <v>0.05</v>
      </c>
      <c r="N28" s="21">
        <v>136</v>
      </c>
      <c r="O28" s="21">
        <v>2579</v>
      </c>
      <c r="P28" s="13">
        <v>3.5</v>
      </c>
      <c r="Q28" s="13" t="s">
        <v>26</v>
      </c>
    </row>
    <row r="29" spans="1:17" x14ac:dyDescent="0.25">
      <c r="A29" s="13" t="s">
        <v>109</v>
      </c>
      <c r="B29" s="14">
        <v>45853</v>
      </c>
      <c r="C29" s="13" t="s">
        <v>91</v>
      </c>
      <c r="D29" s="13" t="s">
        <v>110</v>
      </c>
      <c r="E29" s="13" t="s">
        <v>21</v>
      </c>
      <c r="F29" s="13" t="s">
        <v>43</v>
      </c>
      <c r="G29" s="13" t="s">
        <v>32</v>
      </c>
      <c r="H29" s="13" t="s">
        <v>104</v>
      </c>
      <c r="I29" s="13" t="s">
        <v>25</v>
      </c>
      <c r="J29" s="13">
        <v>3</v>
      </c>
      <c r="K29" s="21">
        <v>1884</v>
      </c>
      <c r="L29" s="21">
        <v>5652</v>
      </c>
      <c r="M29" s="23">
        <v>0.2</v>
      </c>
      <c r="N29" s="21">
        <v>1130</v>
      </c>
      <c r="O29" s="21">
        <v>4522</v>
      </c>
      <c r="P29" s="13">
        <v>4.4000000000000004</v>
      </c>
      <c r="Q29" s="13" t="s">
        <v>26</v>
      </c>
    </row>
    <row r="30" spans="1:17" x14ac:dyDescent="0.25">
      <c r="A30" s="13" t="s">
        <v>111</v>
      </c>
      <c r="B30" s="14">
        <v>45854</v>
      </c>
      <c r="C30" s="13" t="s">
        <v>40</v>
      </c>
      <c r="D30" s="13" t="s">
        <v>113</v>
      </c>
      <c r="E30" s="13" t="s">
        <v>101</v>
      </c>
      <c r="F30" s="13" t="s">
        <v>22</v>
      </c>
      <c r="G30" s="13" t="s">
        <v>23</v>
      </c>
      <c r="H30" s="13" t="s">
        <v>24</v>
      </c>
      <c r="I30" s="13" t="s">
        <v>84</v>
      </c>
      <c r="J30" s="13">
        <v>5</v>
      </c>
      <c r="K30" s="21">
        <v>1394</v>
      </c>
      <c r="L30" s="21">
        <v>6970</v>
      </c>
      <c r="M30" s="23">
        <v>0.1</v>
      </c>
      <c r="N30" s="21">
        <v>697</v>
      </c>
      <c r="O30" s="21">
        <v>6273</v>
      </c>
      <c r="P30" s="13">
        <v>3.3</v>
      </c>
      <c r="Q30" s="13" t="s">
        <v>26</v>
      </c>
    </row>
    <row r="31" spans="1:17" x14ac:dyDescent="0.25">
      <c r="A31" s="13" t="s">
        <v>114</v>
      </c>
      <c r="B31" s="14">
        <v>45854</v>
      </c>
      <c r="C31" s="13" t="s">
        <v>40</v>
      </c>
      <c r="D31" s="13" t="s">
        <v>113</v>
      </c>
      <c r="E31" s="13" t="s">
        <v>71</v>
      </c>
      <c r="F31" s="13" t="s">
        <v>61</v>
      </c>
      <c r="G31" s="13" t="s">
        <v>32</v>
      </c>
      <c r="H31" s="13" t="s">
        <v>24</v>
      </c>
      <c r="I31" s="13" t="s">
        <v>45</v>
      </c>
      <c r="J31" s="13">
        <v>5</v>
      </c>
      <c r="K31" s="21">
        <v>729</v>
      </c>
      <c r="L31" s="21">
        <v>3645</v>
      </c>
      <c r="M31" s="23">
        <v>0.05</v>
      </c>
      <c r="N31" s="21">
        <v>182</v>
      </c>
      <c r="O31" s="21">
        <v>3463</v>
      </c>
      <c r="P31" s="13">
        <v>4.7</v>
      </c>
      <c r="Q31" s="13" t="s">
        <v>26</v>
      </c>
    </row>
    <row r="32" spans="1:17" x14ac:dyDescent="0.25">
      <c r="A32" s="13" t="s">
        <v>115</v>
      </c>
      <c r="B32" s="14">
        <v>45855</v>
      </c>
      <c r="C32" s="13" t="s">
        <v>51</v>
      </c>
      <c r="D32" s="13" t="s">
        <v>70</v>
      </c>
      <c r="E32" s="13" t="s">
        <v>60</v>
      </c>
      <c r="F32" s="13" t="s">
        <v>83</v>
      </c>
      <c r="G32" s="13" t="s">
        <v>23</v>
      </c>
      <c r="H32" s="13" t="s">
        <v>24</v>
      </c>
      <c r="I32" s="13" t="s">
        <v>45</v>
      </c>
      <c r="J32" s="13">
        <v>1</v>
      </c>
      <c r="K32" s="21">
        <v>596</v>
      </c>
      <c r="L32" s="21">
        <v>596</v>
      </c>
      <c r="M32" s="23">
        <v>0.1</v>
      </c>
      <c r="N32" s="21">
        <v>60</v>
      </c>
      <c r="O32" s="21">
        <v>536</v>
      </c>
      <c r="P32" s="13">
        <v>4.5999999999999996</v>
      </c>
      <c r="Q32" s="13" t="s">
        <v>26</v>
      </c>
    </row>
    <row r="33" spans="1:17" x14ac:dyDescent="0.25">
      <c r="A33" s="13" t="s">
        <v>117</v>
      </c>
      <c r="B33" s="14">
        <v>45855</v>
      </c>
      <c r="C33" s="13" t="s">
        <v>51</v>
      </c>
      <c r="D33" s="13" t="s">
        <v>97</v>
      </c>
      <c r="E33" s="13" t="s">
        <v>30</v>
      </c>
      <c r="F33" s="13" t="s">
        <v>31</v>
      </c>
      <c r="G33" s="13" t="s">
        <v>44</v>
      </c>
      <c r="H33" s="13" t="s">
        <v>24</v>
      </c>
      <c r="I33" s="13" t="s">
        <v>84</v>
      </c>
      <c r="J33" s="13">
        <v>5</v>
      </c>
      <c r="K33" s="21">
        <v>243</v>
      </c>
      <c r="L33" s="21">
        <v>1215</v>
      </c>
      <c r="M33" s="23">
        <v>0.3</v>
      </c>
      <c r="N33" s="21">
        <v>364</v>
      </c>
      <c r="O33" s="21">
        <v>851</v>
      </c>
      <c r="P33" s="13">
        <v>4.5</v>
      </c>
      <c r="Q33" s="13" t="s">
        <v>26</v>
      </c>
    </row>
    <row r="34" spans="1:17" x14ac:dyDescent="0.25">
      <c r="A34" s="13" t="s">
        <v>118</v>
      </c>
      <c r="B34" s="14">
        <v>45855</v>
      </c>
      <c r="C34" s="13" t="s">
        <v>91</v>
      </c>
      <c r="D34" s="13" t="s">
        <v>110</v>
      </c>
      <c r="E34" s="13" t="s">
        <v>71</v>
      </c>
      <c r="F34" s="13" t="s">
        <v>119</v>
      </c>
      <c r="G34" s="13" t="s">
        <v>44</v>
      </c>
      <c r="H34" s="13" t="s">
        <v>104</v>
      </c>
      <c r="I34" s="13" t="s">
        <v>98</v>
      </c>
      <c r="J34" s="13">
        <v>2</v>
      </c>
      <c r="K34" s="21">
        <v>2593</v>
      </c>
      <c r="L34" s="21">
        <v>5186</v>
      </c>
      <c r="M34" s="23">
        <v>0.3</v>
      </c>
      <c r="N34" s="21">
        <v>1556</v>
      </c>
      <c r="O34" s="21">
        <v>3630</v>
      </c>
      <c r="P34" s="13">
        <v>5</v>
      </c>
      <c r="Q34" s="13" t="s">
        <v>26</v>
      </c>
    </row>
    <row r="35" spans="1:17" x14ac:dyDescent="0.25">
      <c r="A35" s="13" t="s">
        <v>120</v>
      </c>
      <c r="B35" s="14">
        <v>45855</v>
      </c>
      <c r="C35" s="13" t="s">
        <v>19</v>
      </c>
      <c r="D35" s="13" t="s">
        <v>121</v>
      </c>
      <c r="E35" s="13" t="s">
        <v>42</v>
      </c>
      <c r="F35" s="13" t="s">
        <v>119</v>
      </c>
      <c r="G35" s="13" t="s">
        <v>23</v>
      </c>
      <c r="H35" s="13" t="s">
        <v>24</v>
      </c>
      <c r="I35" s="13" t="s">
        <v>98</v>
      </c>
      <c r="J35" s="13">
        <v>3</v>
      </c>
      <c r="K35" s="21">
        <v>330</v>
      </c>
      <c r="L35" s="21">
        <v>990</v>
      </c>
      <c r="M35" s="23">
        <v>0.15</v>
      </c>
      <c r="N35" s="21">
        <v>148</v>
      </c>
      <c r="O35" s="21">
        <v>842</v>
      </c>
      <c r="P35" s="13">
        <v>3.9</v>
      </c>
      <c r="Q35" s="13" t="s">
        <v>26</v>
      </c>
    </row>
    <row r="36" spans="1:17" x14ac:dyDescent="0.25">
      <c r="A36" s="13" t="s">
        <v>122</v>
      </c>
      <c r="B36" s="14">
        <v>45856</v>
      </c>
      <c r="C36" s="13" t="s">
        <v>51</v>
      </c>
      <c r="D36" s="13" t="s">
        <v>70</v>
      </c>
      <c r="E36" s="13" t="s">
        <v>42</v>
      </c>
      <c r="F36" s="13" t="s">
        <v>79</v>
      </c>
      <c r="G36" s="13" t="s">
        <v>23</v>
      </c>
      <c r="H36" s="13" t="s">
        <v>33</v>
      </c>
      <c r="I36" s="13" t="s">
        <v>98</v>
      </c>
      <c r="J36" s="13">
        <v>2</v>
      </c>
      <c r="K36" s="21">
        <v>587</v>
      </c>
      <c r="L36" s="21">
        <v>1174</v>
      </c>
      <c r="M36" s="23">
        <v>0.1</v>
      </c>
      <c r="N36" s="21">
        <v>117</v>
      </c>
      <c r="O36" s="21">
        <v>1057</v>
      </c>
      <c r="P36" s="13">
        <v>3.6</v>
      </c>
      <c r="Q36" s="13" t="s">
        <v>26</v>
      </c>
    </row>
    <row r="37" spans="1:17" x14ac:dyDescent="0.25">
      <c r="A37" s="13" t="s">
        <v>124</v>
      </c>
      <c r="B37" s="14">
        <v>45856</v>
      </c>
      <c r="C37" s="13" t="s">
        <v>91</v>
      </c>
      <c r="D37" s="13" t="s">
        <v>125</v>
      </c>
      <c r="E37" s="13" t="s">
        <v>42</v>
      </c>
      <c r="F37" s="13" t="s">
        <v>83</v>
      </c>
      <c r="G37" s="13" t="s">
        <v>23</v>
      </c>
      <c r="H37" s="13" t="s">
        <v>33</v>
      </c>
      <c r="I37" s="13" t="s">
        <v>98</v>
      </c>
      <c r="J37" s="13">
        <v>2</v>
      </c>
      <c r="K37" s="21">
        <v>1681</v>
      </c>
      <c r="L37" s="21">
        <v>3362</v>
      </c>
      <c r="M37" s="23">
        <v>0.25</v>
      </c>
      <c r="N37" s="21">
        <v>840</v>
      </c>
      <c r="O37" s="21">
        <v>2522</v>
      </c>
      <c r="P37" s="13">
        <v>4.9000000000000004</v>
      </c>
      <c r="Q37" s="13" t="s">
        <v>75</v>
      </c>
    </row>
    <row r="38" spans="1:17" x14ac:dyDescent="0.25">
      <c r="A38" s="13" t="s">
        <v>126</v>
      </c>
      <c r="B38" s="14">
        <v>45856</v>
      </c>
      <c r="C38" s="13" t="s">
        <v>91</v>
      </c>
      <c r="D38" s="13" t="s">
        <v>125</v>
      </c>
      <c r="E38" s="13" t="s">
        <v>37</v>
      </c>
      <c r="F38" s="13" t="s">
        <v>65</v>
      </c>
      <c r="G38" s="13" t="s">
        <v>32</v>
      </c>
      <c r="H38" s="13" t="s">
        <v>33</v>
      </c>
      <c r="I38" s="13" t="s">
        <v>34</v>
      </c>
      <c r="J38" s="13">
        <v>1</v>
      </c>
      <c r="K38" s="21">
        <v>1250</v>
      </c>
      <c r="L38" s="21">
        <v>1250</v>
      </c>
      <c r="M38" s="23">
        <v>0.05</v>
      </c>
      <c r="N38" s="21">
        <v>62</v>
      </c>
      <c r="O38" s="21">
        <v>1188</v>
      </c>
      <c r="P38" s="13">
        <v>3.6</v>
      </c>
      <c r="Q38" s="13" t="s">
        <v>26</v>
      </c>
    </row>
    <row r="39" spans="1:17" x14ac:dyDescent="0.25">
      <c r="A39" s="13" t="s">
        <v>127</v>
      </c>
      <c r="B39" s="14">
        <v>45856</v>
      </c>
      <c r="C39" s="13" t="s">
        <v>19</v>
      </c>
      <c r="D39" s="13" t="s">
        <v>128</v>
      </c>
      <c r="E39" s="13" t="s">
        <v>42</v>
      </c>
      <c r="F39" s="13" t="s">
        <v>22</v>
      </c>
      <c r="G39" s="13" t="s">
        <v>23</v>
      </c>
      <c r="H39" s="13" t="s">
        <v>33</v>
      </c>
      <c r="I39" s="13" t="s">
        <v>98</v>
      </c>
      <c r="J39" s="13">
        <v>1</v>
      </c>
      <c r="K39" s="21">
        <v>481</v>
      </c>
      <c r="L39" s="21">
        <v>481</v>
      </c>
      <c r="M39" s="23">
        <v>0.1</v>
      </c>
      <c r="N39" s="21">
        <v>48</v>
      </c>
      <c r="O39" s="21">
        <v>433</v>
      </c>
      <c r="P39" s="13">
        <v>4</v>
      </c>
      <c r="Q39" s="13" t="s">
        <v>26</v>
      </c>
    </row>
    <row r="40" spans="1:17" x14ac:dyDescent="0.25">
      <c r="A40" s="13" t="s">
        <v>129</v>
      </c>
      <c r="B40" s="14">
        <v>45856</v>
      </c>
      <c r="C40" s="13" t="s">
        <v>51</v>
      </c>
      <c r="D40" s="13" t="s">
        <v>97</v>
      </c>
      <c r="E40" s="13" t="s">
        <v>101</v>
      </c>
      <c r="F40" s="13" t="s">
        <v>130</v>
      </c>
      <c r="G40" s="13" t="s">
        <v>32</v>
      </c>
      <c r="H40" s="13" t="s">
        <v>33</v>
      </c>
      <c r="I40" s="13" t="s">
        <v>25</v>
      </c>
      <c r="J40" s="13">
        <v>5</v>
      </c>
      <c r="K40" s="21">
        <v>462</v>
      </c>
      <c r="L40" s="21">
        <v>2310</v>
      </c>
      <c r="M40" s="23">
        <v>0.25</v>
      </c>
      <c r="N40" s="21">
        <v>578</v>
      </c>
      <c r="O40" s="21">
        <v>1732</v>
      </c>
      <c r="P40" s="13">
        <v>3.3</v>
      </c>
      <c r="Q40" s="13" t="s">
        <v>26</v>
      </c>
    </row>
    <row r="41" spans="1:17" x14ac:dyDescent="0.25">
      <c r="A41" s="13" t="s">
        <v>131</v>
      </c>
      <c r="B41" s="14">
        <v>45857</v>
      </c>
      <c r="C41" s="13" t="s">
        <v>63</v>
      </c>
      <c r="D41" s="13" t="s">
        <v>64</v>
      </c>
      <c r="E41" s="13" t="s">
        <v>30</v>
      </c>
      <c r="F41" s="13" t="s">
        <v>83</v>
      </c>
      <c r="G41" s="13" t="s">
        <v>23</v>
      </c>
      <c r="H41" s="13" t="s">
        <v>24</v>
      </c>
      <c r="I41" s="13" t="s">
        <v>84</v>
      </c>
      <c r="J41" s="13">
        <v>4</v>
      </c>
      <c r="K41" s="21">
        <v>858</v>
      </c>
      <c r="L41" s="21">
        <v>3432</v>
      </c>
      <c r="M41" s="23">
        <v>0.15</v>
      </c>
      <c r="N41" s="21">
        <v>515</v>
      </c>
      <c r="O41" s="21">
        <v>2917</v>
      </c>
      <c r="P41" s="13">
        <v>4.8</v>
      </c>
      <c r="Q41" s="13" t="s">
        <v>26</v>
      </c>
    </row>
    <row r="42" spans="1:17" x14ac:dyDescent="0.25">
      <c r="A42" s="13" t="s">
        <v>133</v>
      </c>
      <c r="B42" s="14">
        <v>45857</v>
      </c>
      <c r="C42" s="13" t="s">
        <v>63</v>
      </c>
      <c r="D42" s="13" t="s">
        <v>134</v>
      </c>
      <c r="E42" s="13" t="s">
        <v>71</v>
      </c>
      <c r="F42" s="13" t="s">
        <v>119</v>
      </c>
      <c r="G42" s="13" t="s">
        <v>32</v>
      </c>
      <c r="H42" s="13" t="s">
        <v>24</v>
      </c>
      <c r="I42" s="13" t="s">
        <v>84</v>
      </c>
      <c r="J42" s="13">
        <v>1</v>
      </c>
      <c r="K42" s="21">
        <v>1046</v>
      </c>
      <c r="L42" s="21">
        <v>1046</v>
      </c>
      <c r="M42" s="23">
        <v>0.3</v>
      </c>
      <c r="N42" s="21">
        <v>314</v>
      </c>
      <c r="O42" s="21">
        <v>732</v>
      </c>
      <c r="P42" s="13">
        <v>4.9000000000000004</v>
      </c>
      <c r="Q42" s="13" t="s">
        <v>26</v>
      </c>
    </row>
    <row r="43" spans="1:17" x14ac:dyDescent="0.25">
      <c r="A43" s="13" t="s">
        <v>135</v>
      </c>
      <c r="B43" s="14">
        <v>45858</v>
      </c>
      <c r="C43" s="13" t="s">
        <v>51</v>
      </c>
      <c r="D43" s="13" t="s">
        <v>52</v>
      </c>
      <c r="E43" s="13" t="s">
        <v>71</v>
      </c>
      <c r="F43" s="13" t="s">
        <v>31</v>
      </c>
      <c r="G43" s="13" t="s">
        <v>23</v>
      </c>
      <c r="H43" s="13" t="s">
        <v>33</v>
      </c>
      <c r="I43" s="13" t="s">
        <v>25</v>
      </c>
      <c r="J43" s="13">
        <v>4</v>
      </c>
      <c r="K43" s="21">
        <v>661</v>
      </c>
      <c r="L43" s="21">
        <v>2644</v>
      </c>
      <c r="M43" s="23">
        <v>0.05</v>
      </c>
      <c r="N43" s="21">
        <v>132</v>
      </c>
      <c r="O43" s="21">
        <v>2512</v>
      </c>
      <c r="P43" s="13">
        <v>4.9000000000000004</v>
      </c>
      <c r="Q43" s="13" t="s">
        <v>75</v>
      </c>
    </row>
    <row r="44" spans="1:17" x14ac:dyDescent="0.25">
      <c r="A44" s="13" t="s">
        <v>137</v>
      </c>
      <c r="B44" s="14">
        <v>45860</v>
      </c>
      <c r="C44" s="13" t="s">
        <v>51</v>
      </c>
      <c r="D44" s="13" t="s">
        <v>70</v>
      </c>
      <c r="E44" s="13" t="s">
        <v>71</v>
      </c>
      <c r="F44" s="13" t="s">
        <v>61</v>
      </c>
      <c r="G44" s="13" t="s">
        <v>23</v>
      </c>
      <c r="H44" s="13" t="s">
        <v>104</v>
      </c>
      <c r="I44" s="13" t="s">
        <v>25</v>
      </c>
      <c r="J44" s="13">
        <v>2</v>
      </c>
      <c r="K44" s="21">
        <v>343</v>
      </c>
      <c r="L44" s="21">
        <v>686</v>
      </c>
      <c r="M44" s="23">
        <v>0</v>
      </c>
      <c r="N44" s="21">
        <v>0</v>
      </c>
      <c r="O44" s="21">
        <v>686</v>
      </c>
      <c r="P44" s="13">
        <v>4</v>
      </c>
      <c r="Q44" s="13" t="s">
        <v>26</v>
      </c>
    </row>
    <row r="45" spans="1:17" x14ac:dyDescent="0.25">
      <c r="A45" s="13" t="s">
        <v>139</v>
      </c>
      <c r="B45" s="14">
        <v>45860</v>
      </c>
      <c r="C45" s="13" t="s">
        <v>19</v>
      </c>
      <c r="D45" s="13" t="s">
        <v>128</v>
      </c>
      <c r="E45" s="13" t="s">
        <v>71</v>
      </c>
      <c r="F45" s="13" t="s">
        <v>79</v>
      </c>
      <c r="G45" s="13" t="s">
        <v>23</v>
      </c>
      <c r="H45" s="13" t="s">
        <v>24</v>
      </c>
      <c r="I45" s="13" t="s">
        <v>45</v>
      </c>
      <c r="J45" s="13">
        <v>3</v>
      </c>
      <c r="K45" s="21">
        <v>895</v>
      </c>
      <c r="L45" s="21">
        <v>2685</v>
      </c>
      <c r="M45" s="23">
        <v>0.05</v>
      </c>
      <c r="N45" s="21">
        <v>134</v>
      </c>
      <c r="O45" s="21">
        <v>2551</v>
      </c>
      <c r="P45" s="13">
        <v>3.4</v>
      </c>
      <c r="Q45" s="13" t="s">
        <v>26</v>
      </c>
    </row>
    <row r="46" spans="1:17" x14ac:dyDescent="0.25">
      <c r="A46" s="13" t="s">
        <v>140</v>
      </c>
      <c r="B46" s="14">
        <v>45860</v>
      </c>
      <c r="C46" s="13" t="s">
        <v>51</v>
      </c>
      <c r="D46" s="13" t="s">
        <v>52</v>
      </c>
      <c r="E46" s="13" t="s">
        <v>71</v>
      </c>
      <c r="F46" s="13" t="s">
        <v>83</v>
      </c>
      <c r="G46" s="13" t="s">
        <v>23</v>
      </c>
      <c r="H46" s="13" t="s">
        <v>104</v>
      </c>
      <c r="I46" s="13" t="s">
        <v>98</v>
      </c>
      <c r="J46" s="13">
        <v>4</v>
      </c>
      <c r="K46" s="21">
        <v>325</v>
      </c>
      <c r="L46" s="21">
        <v>1300</v>
      </c>
      <c r="M46" s="23">
        <v>0</v>
      </c>
      <c r="N46" s="21">
        <v>0</v>
      </c>
      <c r="O46" s="21">
        <v>1300</v>
      </c>
      <c r="P46" s="13">
        <v>4.4000000000000004</v>
      </c>
      <c r="Q46" s="13" t="s">
        <v>26</v>
      </c>
    </row>
    <row r="47" spans="1:17" x14ac:dyDescent="0.25">
      <c r="A47" s="13" t="s">
        <v>141</v>
      </c>
      <c r="B47" s="14">
        <v>45861</v>
      </c>
      <c r="C47" s="13" t="s">
        <v>63</v>
      </c>
      <c r="D47" s="13" t="s">
        <v>143</v>
      </c>
      <c r="E47" s="13" t="s">
        <v>82</v>
      </c>
      <c r="F47" s="13" t="s">
        <v>119</v>
      </c>
      <c r="G47" s="13" t="s">
        <v>23</v>
      </c>
      <c r="H47" s="13" t="s">
        <v>33</v>
      </c>
      <c r="I47" s="13" t="s">
        <v>84</v>
      </c>
      <c r="J47" s="13">
        <v>4</v>
      </c>
      <c r="K47" s="21">
        <v>2459</v>
      </c>
      <c r="L47" s="21">
        <v>9836</v>
      </c>
      <c r="M47" s="23">
        <v>0.15</v>
      </c>
      <c r="N47" s="21">
        <v>1475</v>
      </c>
      <c r="O47" s="21">
        <v>8361</v>
      </c>
      <c r="P47" s="13">
        <v>4.3</v>
      </c>
      <c r="Q47" s="13" t="s">
        <v>26</v>
      </c>
    </row>
    <row r="48" spans="1:17" x14ac:dyDescent="0.25">
      <c r="A48" s="13" t="s">
        <v>144</v>
      </c>
      <c r="B48" s="14">
        <v>45861</v>
      </c>
      <c r="C48" s="13" t="s">
        <v>51</v>
      </c>
      <c r="D48" s="13" t="s">
        <v>97</v>
      </c>
      <c r="E48" s="13" t="s">
        <v>78</v>
      </c>
      <c r="F48" s="13" t="s">
        <v>31</v>
      </c>
      <c r="G48" s="13" t="s">
        <v>23</v>
      </c>
      <c r="H48" s="13" t="s">
        <v>24</v>
      </c>
      <c r="I48" s="13" t="s">
        <v>25</v>
      </c>
      <c r="J48" s="13">
        <v>4</v>
      </c>
      <c r="K48" s="21">
        <v>274</v>
      </c>
      <c r="L48" s="21">
        <v>1096</v>
      </c>
      <c r="M48" s="23">
        <v>0</v>
      </c>
      <c r="N48" s="21">
        <v>0</v>
      </c>
      <c r="O48" s="21">
        <v>1096</v>
      </c>
      <c r="P48" s="13">
        <v>4.2</v>
      </c>
      <c r="Q48" s="13" t="s">
        <v>26</v>
      </c>
    </row>
    <row r="49" spans="1:17" x14ac:dyDescent="0.25">
      <c r="A49" s="13" t="s">
        <v>145</v>
      </c>
      <c r="B49" s="14">
        <v>45862</v>
      </c>
      <c r="C49" s="13" t="s">
        <v>91</v>
      </c>
      <c r="D49" s="13" t="s">
        <v>92</v>
      </c>
      <c r="E49" s="13" t="s">
        <v>42</v>
      </c>
      <c r="F49" s="13" t="s">
        <v>79</v>
      </c>
      <c r="G49" s="13" t="s">
        <v>32</v>
      </c>
      <c r="H49" s="13" t="s">
        <v>104</v>
      </c>
      <c r="I49" s="13" t="s">
        <v>34</v>
      </c>
      <c r="J49" s="13">
        <v>2</v>
      </c>
      <c r="K49" s="21">
        <v>1318</v>
      </c>
      <c r="L49" s="21">
        <v>2636</v>
      </c>
      <c r="M49" s="23">
        <v>0</v>
      </c>
      <c r="N49" s="21">
        <v>0</v>
      </c>
      <c r="O49" s="21">
        <v>2636</v>
      </c>
      <c r="P49" s="13">
        <v>4.3</v>
      </c>
      <c r="Q49" s="13" t="s">
        <v>26</v>
      </c>
    </row>
    <row r="50" spans="1:17" x14ac:dyDescent="0.25">
      <c r="A50" s="13" t="s">
        <v>147</v>
      </c>
      <c r="B50" s="14">
        <v>45862</v>
      </c>
      <c r="C50" s="13" t="s">
        <v>40</v>
      </c>
      <c r="D50" s="13" t="s">
        <v>113</v>
      </c>
      <c r="E50" s="13" t="s">
        <v>53</v>
      </c>
      <c r="F50" s="13" t="s">
        <v>31</v>
      </c>
      <c r="G50" s="13" t="s">
        <v>32</v>
      </c>
      <c r="H50" s="13" t="s">
        <v>24</v>
      </c>
      <c r="I50" s="13" t="s">
        <v>98</v>
      </c>
      <c r="J50" s="13">
        <v>1</v>
      </c>
      <c r="K50" s="21">
        <v>1217</v>
      </c>
      <c r="L50" s="21">
        <v>1217</v>
      </c>
      <c r="M50" s="23">
        <v>0.25</v>
      </c>
      <c r="N50" s="21">
        <v>304</v>
      </c>
      <c r="O50" s="21">
        <v>913</v>
      </c>
      <c r="P50" s="13">
        <v>3.8</v>
      </c>
      <c r="Q50" s="13" t="s">
        <v>26</v>
      </c>
    </row>
    <row r="51" spans="1:17" x14ac:dyDescent="0.25">
      <c r="A51" s="13" t="s">
        <v>148</v>
      </c>
      <c r="B51" s="14">
        <v>45863</v>
      </c>
      <c r="C51" s="13" t="s">
        <v>19</v>
      </c>
      <c r="D51" s="13" t="s">
        <v>128</v>
      </c>
      <c r="E51" s="13" t="s">
        <v>42</v>
      </c>
      <c r="F51" s="13" t="s">
        <v>65</v>
      </c>
      <c r="G51" s="13" t="s">
        <v>23</v>
      </c>
      <c r="H51" s="13" t="s">
        <v>24</v>
      </c>
      <c r="I51" s="13" t="s">
        <v>25</v>
      </c>
      <c r="J51" s="13">
        <v>5</v>
      </c>
      <c r="K51" s="21">
        <v>958</v>
      </c>
      <c r="L51" s="21">
        <v>4790</v>
      </c>
      <c r="M51" s="23">
        <v>0.15</v>
      </c>
      <c r="N51" s="21">
        <v>718</v>
      </c>
      <c r="O51" s="21">
        <v>4072</v>
      </c>
      <c r="P51" s="13">
        <v>3.4</v>
      </c>
      <c r="Q51" s="13" t="s">
        <v>26</v>
      </c>
    </row>
    <row r="52" spans="1:17" x14ac:dyDescent="0.25">
      <c r="A52" s="13" t="s">
        <v>150</v>
      </c>
      <c r="B52" s="14">
        <v>45864</v>
      </c>
      <c r="C52" s="13" t="s">
        <v>19</v>
      </c>
      <c r="D52" s="13" t="s">
        <v>128</v>
      </c>
      <c r="E52" s="13" t="s">
        <v>82</v>
      </c>
      <c r="F52" s="13" t="s">
        <v>43</v>
      </c>
      <c r="G52" s="13" t="s">
        <v>44</v>
      </c>
      <c r="H52" s="13" t="s">
        <v>33</v>
      </c>
      <c r="I52" s="13" t="s">
        <v>98</v>
      </c>
      <c r="J52" s="13">
        <v>5</v>
      </c>
      <c r="K52" s="21">
        <v>226</v>
      </c>
      <c r="L52" s="21">
        <v>1130</v>
      </c>
      <c r="M52" s="23">
        <v>0.15</v>
      </c>
      <c r="N52" s="21">
        <v>170</v>
      </c>
      <c r="O52" s="21">
        <v>960</v>
      </c>
      <c r="P52" s="13">
        <v>3.7</v>
      </c>
      <c r="Q52" s="13" t="s">
        <v>26</v>
      </c>
    </row>
    <row r="53" spans="1:17" x14ac:dyDescent="0.25">
      <c r="A53" s="13" t="s">
        <v>152</v>
      </c>
      <c r="B53" s="14">
        <v>45865</v>
      </c>
      <c r="C53" s="13" t="s">
        <v>51</v>
      </c>
      <c r="D53" s="13" t="s">
        <v>97</v>
      </c>
      <c r="E53" s="13" t="s">
        <v>78</v>
      </c>
      <c r="F53" s="13" t="s">
        <v>31</v>
      </c>
      <c r="G53" s="13" t="s">
        <v>23</v>
      </c>
      <c r="H53" s="13" t="s">
        <v>33</v>
      </c>
      <c r="I53" s="13" t="s">
        <v>25</v>
      </c>
      <c r="J53" s="13">
        <v>3</v>
      </c>
      <c r="K53" s="21">
        <v>437</v>
      </c>
      <c r="L53" s="21">
        <v>1311</v>
      </c>
      <c r="M53" s="23">
        <v>0.15</v>
      </c>
      <c r="N53" s="21">
        <v>197</v>
      </c>
      <c r="O53" s="21">
        <v>1114</v>
      </c>
      <c r="P53" s="13">
        <v>4.0999999999999996</v>
      </c>
      <c r="Q53" s="13" t="s">
        <v>26</v>
      </c>
    </row>
    <row r="54" spans="1:17" x14ac:dyDescent="0.25">
      <c r="A54" s="13" t="s">
        <v>154</v>
      </c>
      <c r="B54" s="14">
        <v>45865</v>
      </c>
      <c r="C54" s="13" t="s">
        <v>40</v>
      </c>
      <c r="D54" s="13" t="s">
        <v>113</v>
      </c>
      <c r="E54" s="13" t="s">
        <v>155</v>
      </c>
      <c r="F54" s="13" t="s">
        <v>22</v>
      </c>
      <c r="G54" s="13" t="s">
        <v>23</v>
      </c>
      <c r="H54" s="13" t="s">
        <v>33</v>
      </c>
      <c r="I54" s="13" t="s">
        <v>45</v>
      </c>
      <c r="J54" s="13">
        <v>5</v>
      </c>
      <c r="K54" s="21">
        <v>438</v>
      </c>
      <c r="L54" s="21">
        <v>2190</v>
      </c>
      <c r="M54" s="23">
        <v>0.05</v>
      </c>
      <c r="N54" s="21">
        <v>110</v>
      </c>
      <c r="O54" s="21">
        <v>2080</v>
      </c>
      <c r="P54" s="13">
        <v>4.5</v>
      </c>
      <c r="Q54" s="13" t="s">
        <v>26</v>
      </c>
    </row>
    <row r="55" spans="1:17" x14ac:dyDescent="0.25">
      <c r="A55" s="13" t="s">
        <v>156</v>
      </c>
      <c r="B55" s="14">
        <v>45866</v>
      </c>
      <c r="C55" s="13" t="s">
        <v>63</v>
      </c>
      <c r="D55" s="13" t="s">
        <v>143</v>
      </c>
      <c r="E55" s="13" t="s">
        <v>71</v>
      </c>
      <c r="F55" s="13" t="s">
        <v>130</v>
      </c>
      <c r="G55" s="13" t="s">
        <v>32</v>
      </c>
      <c r="H55" s="13" t="s">
        <v>24</v>
      </c>
      <c r="I55" s="13" t="s">
        <v>45</v>
      </c>
      <c r="J55" s="13">
        <v>2</v>
      </c>
      <c r="K55" s="21">
        <v>2313</v>
      </c>
      <c r="L55" s="21">
        <v>4626</v>
      </c>
      <c r="M55" s="23">
        <v>0.25</v>
      </c>
      <c r="N55" s="21">
        <v>1156</v>
      </c>
      <c r="O55" s="21">
        <v>3470</v>
      </c>
      <c r="P55" s="13">
        <v>4.5</v>
      </c>
      <c r="Q55" s="13" t="s">
        <v>26</v>
      </c>
    </row>
    <row r="56" spans="1:17" x14ac:dyDescent="0.25">
      <c r="A56" s="13" t="s">
        <v>158</v>
      </c>
      <c r="B56" s="14">
        <v>45866</v>
      </c>
      <c r="C56" s="13" t="s">
        <v>28</v>
      </c>
      <c r="D56" s="13" t="s">
        <v>95</v>
      </c>
      <c r="E56" s="13" t="s">
        <v>78</v>
      </c>
      <c r="F56" s="13" t="s">
        <v>72</v>
      </c>
      <c r="G56" s="13" t="s">
        <v>23</v>
      </c>
      <c r="H56" s="13" t="s">
        <v>24</v>
      </c>
      <c r="I56" s="13" t="s">
        <v>84</v>
      </c>
      <c r="J56" s="13">
        <v>4</v>
      </c>
      <c r="K56" s="21">
        <v>864</v>
      </c>
      <c r="L56" s="21">
        <v>3456</v>
      </c>
      <c r="M56" s="23">
        <v>0.1</v>
      </c>
      <c r="N56" s="21">
        <v>346</v>
      </c>
      <c r="O56" s="21">
        <v>3110</v>
      </c>
      <c r="P56" s="13">
        <v>3.5</v>
      </c>
      <c r="Q56" s="13" t="s">
        <v>26</v>
      </c>
    </row>
    <row r="57" spans="1:17" x14ac:dyDescent="0.25">
      <c r="A57" s="13" t="s">
        <v>159</v>
      </c>
      <c r="B57" s="14">
        <v>45866</v>
      </c>
      <c r="C57" s="13" t="s">
        <v>91</v>
      </c>
      <c r="D57" s="13" t="s">
        <v>110</v>
      </c>
      <c r="E57" s="13" t="s">
        <v>21</v>
      </c>
      <c r="F57" s="13" t="s">
        <v>79</v>
      </c>
      <c r="G57" s="13" t="s">
        <v>32</v>
      </c>
      <c r="H57" s="13" t="s">
        <v>33</v>
      </c>
      <c r="I57" s="13" t="s">
        <v>45</v>
      </c>
      <c r="J57" s="13">
        <v>2</v>
      </c>
      <c r="K57" s="21">
        <v>1750</v>
      </c>
      <c r="L57" s="21">
        <v>3500</v>
      </c>
      <c r="M57" s="23">
        <v>0.3</v>
      </c>
      <c r="N57" s="21">
        <v>1050</v>
      </c>
      <c r="O57" s="21">
        <v>2450</v>
      </c>
      <c r="P57" s="13">
        <v>4.4000000000000004</v>
      </c>
      <c r="Q57" s="13" t="s">
        <v>26</v>
      </c>
    </row>
    <row r="58" spans="1:17" x14ac:dyDescent="0.25">
      <c r="A58" s="13" t="s">
        <v>160</v>
      </c>
      <c r="B58" s="14">
        <v>45869</v>
      </c>
      <c r="C58" s="13" t="s">
        <v>51</v>
      </c>
      <c r="D58" s="13" t="s">
        <v>52</v>
      </c>
      <c r="E58" s="13" t="s">
        <v>155</v>
      </c>
      <c r="F58" s="13" t="s">
        <v>119</v>
      </c>
      <c r="G58" s="13" t="s">
        <v>23</v>
      </c>
      <c r="H58" s="13" t="s">
        <v>33</v>
      </c>
      <c r="I58" s="13" t="s">
        <v>25</v>
      </c>
      <c r="J58" s="13">
        <v>1</v>
      </c>
      <c r="K58" s="21">
        <v>641</v>
      </c>
      <c r="L58" s="21">
        <v>641</v>
      </c>
      <c r="M58" s="23">
        <v>0</v>
      </c>
      <c r="N58" s="21">
        <v>0</v>
      </c>
      <c r="O58" s="21">
        <v>641</v>
      </c>
      <c r="P58" s="13">
        <v>4</v>
      </c>
      <c r="Q58" s="13" t="s">
        <v>26</v>
      </c>
    </row>
    <row r="59" spans="1:17" x14ac:dyDescent="0.25">
      <c r="A59" s="13" t="s">
        <v>162</v>
      </c>
      <c r="B59" s="14">
        <v>45869</v>
      </c>
      <c r="C59" s="13" t="s">
        <v>28</v>
      </c>
      <c r="D59" s="13" t="s">
        <v>163</v>
      </c>
      <c r="E59" s="13" t="s">
        <v>37</v>
      </c>
      <c r="F59" s="13" t="s">
        <v>31</v>
      </c>
      <c r="G59" s="13" t="s">
        <v>23</v>
      </c>
      <c r="H59" s="13" t="s">
        <v>33</v>
      </c>
      <c r="I59" s="13" t="s">
        <v>34</v>
      </c>
      <c r="J59" s="13">
        <v>3</v>
      </c>
      <c r="K59" s="21">
        <v>841</v>
      </c>
      <c r="L59" s="21">
        <v>2523</v>
      </c>
      <c r="M59" s="23">
        <v>0.2</v>
      </c>
      <c r="N59" s="21">
        <v>505</v>
      </c>
      <c r="O59" s="21">
        <v>2018</v>
      </c>
      <c r="P59" s="13">
        <v>4.5999999999999996</v>
      </c>
      <c r="Q59" s="13" t="s">
        <v>26</v>
      </c>
    </row>
    <row r="60" spans="1:17" x14ac:dyDescent="0.25">
      <c r="A60" s="13" t="s">
        <v>164</v>
      </c>
      <c r="B60" s="14">
        <v>45870</v>
      </c>
      <c r="C60" s="13" t="s">
        <v>91</v>
      </c>
      <c r="D60" s="13" t="s">
        <v>92</v>
      </c>
      <c r="E60" s="13" t="s">
        <v>82</v>
      </c>
      <c r="F60" s="13" t="s">
        <v>61</v>
      </c>
      <c r="G60" s="13" t="s">
        <v>23</v>
      </c>
      <c r="H60" s="13" t="s">
        <v>104</v>
      </c>
      <c r="I60" s="13" t="s">
        <v>34</v>
      </c>
      <c r="J60" s="13">
        <v>1</v>
      </c>
      <c r="K60" s="21">
        <v>1760</v>
      </c>
      <c r="L60" s="21">
        <v>1760</v>
      </c>
      <c r="M60" s="23">
        <v>0.05</v>
      </c>
      <c r="N60" s="21">
        <v>88</v>
      </c>
      <c r="O60" s="21">
        <v>1672</v>
      </c>
      <c r="P60" s="13">
        <v>3.3</v>
      </c>
      <c r="Q60" s="13" t="s">
        <v>26</v>
      </c>
    </row>
    <row r="61" spans="1:17" x14ac:dyDescent="0.25">
      <c r="A61" s="13" t="s">
        <v>166</v>
      </c>
      <c r="B61" s="14">
        <v>45870</v>
      </c>
      <c r="C61" s="13" t="s">
        <v>63</v>
      </c>
      <c r="D61" s="13" t="s">
        <v>143</v>
      </c>
      <c r="E61" s="13" t="s">
        <v>82</v>
      </c>
      <c r="F61" s="13" t="s">
        <v>65</v>
      </c>
      <c r="G61" s="13" t="s">
        <v>23</v>
      </c>
      <c r="H61" s="13" t="s">
        <v>33</v>
      </c>
      <c r="I61" s="13" t="s">
        <v>34</v>
      </c>
      <c r="J61" s="13">
        <v>4</v>
      </c>
      <c r="K61" s="21">
        <v>614</v>
      </c>
      <c r="L61" s="21">
        <v>2456</v>
      </c>
      <c r="M61" s="23">
        <v>0.3</v>
      </c>
      <c r="N61" s="21">
        <v>737</v>
      </c>
      <c r="O61" s="21">
        <v>1719</v>
      </c>
      <c r="P61" s="13">
        <v>4.4000000000000004</v>
      </c>
      <c r="Q61" s="13" t="s">
        <v>26</v>
      </c>
    </row>
    <row r="62" spans="1:17" x14ac:dyDescent="0.25">
      <c r="A62" s="13" t="s">
        <v>167</v>
      </c>
      <c r="B62" s="14">
        <v>45870</v>
      </c>
      <c r="C62" s="13" t="s">
        <v>28</v>
      </c>
      <c r="D62" s="13" t="s">
        <v>36</v>
      </c>
      <c r="E62" s="13" t="s">
        <v>53</v>
      </c>
      <c r="F62" s="13" t="s">
        <v>31</v>
      </c>
      <c r="G62" s="13" t="s">
        <v>32</v>
      </c>
      <c r="H62" s="13" t="s">
        <v>33</v>
      </c>
      <c r="I62" s="13" t="s">
        <v>25</v>
      </c>
      <c r="J62" s="13">
        <v>3</v>
      </c>
      <c r="K62" s="21">
        <v>1088</v>
      </c>
      <c r="L62" s="21">
        <v>3264</v>
      </c>
      <c r="M62" s="23">
        <v>0.15</v>
      </c>
      <c r="N62" s="21">
        <v>490</v>
      </c>
      <c r="O62" s="21">
        <v>2774</v>
      </c>
      <c r="P62" s="13">
        <v>4.9000000000000004</v>
      </c>
      <c r="Q62" s="13" t="s">
        <v>26</v>
      </c>
    </row>
    <row r="63" spans="1:17" x14ac:dyDescent="0.25">
      <c r="A63" s="13" t="s">
        <v>168</v>
      </c>
      <c r="B63" s="14">
        <v>45870</v>
      </c>
      <c r="C63" s="13" t="s">
        <v>63</v>
      </c>
      <c r="D63" s="13" t="s">
        <v>143</v>
      </c>
      <c r="E63" s="13" t="s">
        <v>42</v>
      </c>
      <c r="F63" s="13" t="s">
        <v>22</v>
      </c>
      <c r="G63" s="13" t="s">
        <v>23</v>
      </c>
      <c r="H63" s="13" t="s">
        <v>33</v>
      </c>
      <c r="I63" s="13" t="s">
        <v>98</v>
      </c>
      <c r="J63" s="13">
        <v>1</v>
      </c>
      <c r="K63" s="21">
        <v>961</v>
      </c>
      <c r="L63" s="21">
        <v>961</v>
      </c>
      <c r="M63" s="23">
        <v>0.25</v>
      </c>
      <c r="N63" s="21">
        <v>240</v>
      </c>
      <c r="O63" s="21">
        <v>721</v>
      </c>
      <c r="P63" s="13">
        <v>4</v>
      </c>
      <c r="Q63" s="13" t="s">
        <v>26</v>
      </c>
    </row>
    <row r="64" spans="1:17" x14ac:dyDescent="0.25">
      <c r="A64" s="13" t="s">
        <v>169</v>
      </c>
      <c r="B64" s="14">
        <v>45870</v>
      </c>
      <c r="C64" s="13" t="s">
        <v>40</v>
      </c>
      <c r="D64" s="13" t="s">
        <v>57</v>
      </c>
      <c r="E64" s="13" t="s">
        <v>30</v>
      </c>
      <c r="F64" s="13" t="s">
        <v>119</v>
      </c>
      <c r="G64" s="13" t="s">
        <v>32</v>
      </c>
      <c r="H64" s="13" t="s">
        <v>104</v>
      </c>
      <c r="I64" s="13" t="s">
        <v>45</v>
      </c>
      <c r="J64" s="13">
        <v>3</v>
      </c>
      <c r="K64" s="21">
        <v>1252</v>
      </c>
      <c r="L64" s="21">
        <v>3756</v>
      </c>
      <c r="M64" s="23">
        <v>0</v>
      </c>
      <c r="N64" s="21">
        <v>0</v>
      </c>
      <c r="O64" s="21">
        <v>3756</v>
      </c>
      <c r="P64" s="13">
        <v>4.7</v>
      </c>
      <c r="Q64" s="13" t="s">
        <v>26</v>
      </c>
    </row>
    <row r="65" spans="1:17" x14ac:dyDescent="0.25">
      <c r="A65" s="13" t="s">
        <v>170</v>
      </c>
      <c r="B65" s="14">
        <v>45871</v>
      </c>
      <c r="C65" s="13" t="s">
        <v>91</v>
      </c>
      <c r="D65" s="13" t="s">
        <v>110</v>
      </c>
      <c r="E65" s="13" t="s">
        <v>78</v>
      </c>
      <c r="F65" s="13" t="s">
        <v>61</v>
      </c>
      <c r="G65" s="13" t="s">
        <v>23</v>
      </c>
      <c r="H65" s="13" t="s">
        <v>24</v>
      </c>
      <c r="I65" s="13" t="s">
        <v>45</v>
      </c>
      <c r="J65" s="13">
        <v>5</v>
      </c>
      <c r="K65" s="21">
        <v>2411</v>
      </c>
      <c r="L65" s="21">
        <v>12055</v>
      </c>
      <c r="M65" s="23">
        <v>0</v>
      </c>
      <c r="N65" s="21">
        <v>0</v>
      </c>
      <c r="O65" s="21">
        <v>12055</v>
      </c>
      <c r="P65" s="13">
        <v>3.4</v>
      </c>
      <c r="Q65" s="13" t="s">
        <v>26</v>
      </c>
    </row>
    <row r="66" spans="1:17" x14ac:dyDescent="0.25">
      <c r="A66" s="13" t="s">
        <v>172</v>
      </c>
      <c r="B66" s="14">
        <v>45871</v>
      </c>
      <c r="C66" s="13" t="s">
        <v>63</v>
      </c>
      <c r="D66" s="13" t="s">
        <v>64</v>
      </c>
      <c r="E66" s="13" t="s">
        <v>53</v>
      </c>
      <c r="F66" s="13" t="s">
        <v>79</v>
      </c>
      <c r="G66" s="13" t="s">
        <v>23</v>
      </c>
      <c r="H66" s="13" t="s">
        <v>33</v>
      </c>
      <c r="I66" s="13" t="s">
        <v>34</v>
      </c>
      <c r="J66" s="13">
        <v>5</v>
      </c>
      <c r="K66" s="21">
        <v>622</v>
      </c>
      <c r="L66" s="21">
        <v>3110</v>
      </c>
      <c r="M66" s="23">
        <v>0.3</v>
      </c>
      <c r="N66" s="21">
        <v>933</v>
      </c>
      <c r="O66" s="21">
        <v>2177</v>
      </c>
      <c r="P66" s="13">
        <v>4.4000000000000004</v>
      </c>
      <c r="Q66" s="13" t="s">
        <v>26</v>
      </c>
    </row>
    <row r="67" spans="1:17" x14ac:dyDescent="0.25">
      <c r="A67" s="13" t="s">
        <v>173</v>
      </c>
      <c r="B67" s="14">
        <v>45871</v>
      </c>
      <c r="C67" s="13" t="s">
        <v>91</v>
      </c>
      <c r="D67" s="13" t="s">
        <v>92</v>
      </c>
      <c r="E67" s="13" t="s">
        <v>78</v>
      </c>
      <c r="F67" s="13" t="s">
        <v>61</v>
      </c>
      <c r="G67" s="13" t="s">
        <v>23</v>
      </c>
      <c r="H67" s="13" t="s">
        <v>24</v>
      </c>
      <c r="I67" s="13" t="s">
        <v>98</v>
      </c>
      <c r="J67" s="13">
        <v>1</v>
      </c>
      <c r="K67" s="21">
        <v>1629</v>
      </c>
      <c r="L67" s="21">
        <v>1629</v>
      </c>
      <c r="M67" s="23">
        <v>0.05</v>
      </c>
      <c r="N67" s="21">
        <v>81</v>
      </c>
      <c r="O67" s="21">
        <v>1548</v>
      </c>
      <c r="P67" s="13">
        <v>4.9000000000000004</v>
      </c>
      <c r="Q67" s="13" t="s">
        <v>26</v>
      </c>
    </row>
    <row r="68" spans="1:17" x14ac:dyDescent="0.25">
      <c r="A68" s="13" t="s">
        <v>174</v>
      </c>
      <c r="B68" s="14">
        <v>45871</v>
      </c>
      <c r="C68" s="13" t="s">
        <v>28</v>
      </c>
      <c r="D68" s="13" t="s">
        <v>77</v>
      </c>
      <c r="E68" s="13" t="s">
        <v>48</v>
      </c>
      <c r="F68" s="13" t="s">
        <v>22</v>
      </c>
      <c r="G68" s="13" t="s">
        <v>32</v>
      </c>
      <c r="H68" s="13" t="s">
        <v>33</v>
      </c>
      <c r="I68" s="13" t="s">
        <v>45</v>
      </c>
      <c r="J68" s="13">
        <v>1</v>
      </c>
      <c r="K68" s="21">
        <v>240</v>
      </c>
      <c r="L68" s="21">
        <v>240</v>
      </c>
      <c r="M68" s="23">
        <v>0</v>
      </c>
      <c r="N68" s="21">
        <v>0</v>
      </c>
      <c r="O68" s="21">
        <v>240</v>
      </c>
      <c r="P68" s="13">
        <v>3.8</v>
      </c>
      <c r="Q68" s="13" t="s">
        <v>26</v>
      </c>
    </row>
    <row r="69" spans="1:17" x14ac:dyDescent="0.25">
      <c r="A69" s="13" t="s">
        <v>175</v>
      </c>
      <c r="B69" s="14">
        <v>45872</v>
      </c>
      <c r="C69" s="13" t="s">
        <v>91</v>
      </c>
      <c r="D69" s="13" t="s">
        <v>125</v>
      </c>
      <c r="E69" s="13" t="s">
        <v>155</v>
      </c>
      <c r="F69" s="13" t="s">
        <v>31</v>
      </c>
      <c r="G69" s="13" t="s">
        <v>23</v>
      </c>
      <c r="H69" s="13" t="s">
        <v>33</v>
      </c>
      <c r="I69" s="13" t="s">
        <v>25</v>
      </c>
      <c r="J69" s="13">
        <v>3</v>
      </c>
      <c r="K69" s="21">
        <v>2026</v>
      </c>
      <c r="L69" s="21">
        <v>6078</v>
      </c>
      <c r="M69" s="23">
        <v>0.15</v>
      </c>
      <c r="N69" s="21">
        <v>912</v>
      </c>
      <c r="O69" s="21">
        <v>5166</v>
      </c>
      <c r="P69" s="13">
        <v>3.3</v>
      </c>
      <c r="Q69" s="13" t="s">
        <v>26</v>
      </c>
    </row>
    <row r="70" spans="1:17" x14ac:dyDescent="0.25">
      <c r="A70" s="13" t="s">
        <v>177</v>
      </c>
      <c r="B70" s="14">
        <v>45873</v>
      </c>
      <c r="C70" s="13" t="s">
        <v>28</v>
      </c>
      <c r="D70" s="13" t="s">
        <v>29</v>
      </c>
      <c r="E70" s="13" t="s">
        <v>53</v>
      </c>
      <c r="F70" s="13" t="s">
        <v>72</v>
      </c>
      <c r="G70" s="13" t="s">
        <v>32</v>
      </c>
      <c r="H70" s="13" t="s">
        <v>33</v>
      </c>
      <c r="I70" s="13" t="s">
        <v>98</v>
      </c>
      <c r="J70" s="13">
        <v>2</v>
      </c>
      <c r="K70" s="21">
        <v>986</v>
      </c>
      <c r="L70" s="21">
        <v>1972</v>
      </c>
      <c r="M70" s="23">
        <v>0.1</v>
      </c>
      <c r="N70" s="21">
        <v>197</v>
      </c>
      <c r="O70" s="21">
        <v>1775</v>
      </c>
      <c r="P70" s="13">
        <v>3.5</v>
      </c>
      <c r="Q70" s="13" t="s">
        <v>26</v>
      </c>
    </row>
    <row r="71" spans="1:17" x14ac:dyDescent="0.25">
      <c r="A71" s="13" t="s">
        <v>179</v>
      </c>
      <c r="B71" s="14">
        <v>45873</v>
      </c>
      <c r="C71" s="13" t="s">
        <v>40</v>
      </c>
      <c r="D71" s="13" t="s">
        <v>47</v>
      </c>
      <c r="E71" s="13" t="s">
        <v>42</v>
      </c>
      <c r="F71" s="13" t="s">
        <v>72</v>
      </c>
      <c r="G71" s="13" t="s">
        <v>32</v>
      </c>
      <c r="H71" s="13" t="s">
        <v>33</v>
      </c>
      <c r="I71" s="13" t="s">
        <v>25</v>
      </c>
      <c r="J71" s="13">
        <v>2</v>
      </c>
      <c r="K71" s="21">
        <v>1188</v>
      </c>
      <c r="L71" s="21">
        <v>2376</v>
      </c>
      <c r="M71" s="23">
        <v>0.15</v>
      </c>
      <c r="N71" s="21">
        <v>356</v>
      </c>
      <c r="O71" s="21">
        <v>2020</v>
      </c>
      <c r="P71" s="13">
        <v>4</v>
      </c>
      <c r="Q71" s="13" t="s">
        <v>26</v>
      </c>
    </row>
    <row r="72" spans="1:17" x14ac:dyDescent="0.25">
      <c r="A72" s="13" t="s">
        <v>180</v>
      </c>
      <c r="B72" s="14">
        <v>45873</v>
      </c>
      <c r="C72" s="13" t="s">
        <v>40</v>
      </c>
      <c r="D72" s="13" t="s">
        <v>113</v>
      </c>
      <c r="E72" s="13" t="s">
        <v>53</v>
      </c>
      <c r="F72" s="13" t="s">
        <v>130</v>
      </c>
      <c r="G72" s="13" t="s">
        <v>23</v>
      </c>
      <c r="H72" s="13" t="s">
        <v>24</v>
      </c>
      <c r="I72" s="13" t="s">
        <v>25</v>
      </c>
      <c r="J72" s="13">
        <v>4</v>
      </c>
      <c r="K72" s="21">
        <v>907</v>
      </c>
      <c r="L72" s="21">
        <v>3628</v>
      </c>
      <c r="M72" s="23">
        <v>0.25</v>
      </c>
      <c r="N72" s="21">
        <v>907</v>
      </c>
      <c r="O72" s="21">
        <v>2721</v>
      </c>
      <c r="P72" s="13">
        <v>4.5</v>
      </c>
      <c r="Q72" s="13" t="s">
        <v>26</v>
      </c>
    </row>
    <row r="73" spans="1:17" x14ac:dyDescent="0.25">
      <c r="A73" s="13" t="s">
        <v>181</v>
      </c>
      <c r="B73" s="14">
        <v>45874</v>
      </c>
      <c r="C73" s="13" t="s">
        <v>91</v>
      </c>
      <c r="D73" s="13" t="s">
        <v>92</v>
      </c>
      <c r="E73" s="13" t="s">
        <v>53</v>
      </c>
      <c r="F73" s="13" t="s">
        <v>83</v>
      </c>
      <c r="G73" s="13" t="s">
        <v>23</v>
      </c>
      <c r="H73" s="13" t="s">
        <v>24</v>
      </c>
      <c r="I73" s="13" t="s">
        <v>25</v>
      </c>
      <c r="J73" s="13">
        <v>2</v>
      </c>
      <c r="K73" s="21">
        <v>1806</v>
      </c>
      <c r="L73" s="21">
        <v>3612</v>
      </c>
      <c r="M73" s="23">
        <v>0.2</v>
      </c>
      <c r="N73" s="21">
        <v>722</v>
      </c>
      <c r="O73" s="21">
        <v>2890</v>
      </c>
      <c r="P73" s="13">
        <v>4.4000000000000004</v>
      </c>
      <c r="Q73" s="13" t="s">
        <v>26</v>
      </c>
    </row>
    <row r="74" spans="1:17" x14ac:dyDescent="0.25">
      <c r="A74" s="13" t="s">
        <v>183</v>
      </c>
      <c r="B74" s="14">
        <v>45876</v>
      </c>
      <c r="C74" s="13" t="s">
        <v>40</v>
      </c>
      <c r="D74" s="13" t="s">
        <v>57</v>
      </c>
      <c r="E74" s="13" t="s">
        <v>21</v>
      </c>
      <c r="F74" s="13" t="s">
        <v>79</v>
      </c>
      <c r="G74" s="13" t="s">
        <v>32</v>
      </c>
      <c r="H74" s="13" t="s">
        <v>24</v>
      </c>
      <c r="I74" s="13" t="s">
        <v>84</v>
      </c>
      <c r="J74" s="13">
        <v>5</v>
      </c>
      <c r="K74" s="21">
        <v>1438</v>
      </c>
      <c r="L74" s="21">
        <v>7190</v>
      </c>
      <c r="M74" s="23">
        <v>0</v>
      </c>
      <c r="N74" s="21">
        <v>0</v>
      </c>
      <c r="O74" s="21">
        <v>7190</v>
      </c>
      <c r="P74" s="13">
        <v>5</v>
      </c>
      <c r="Q74" s="13" t="s">
        <v>26</v>
      </c>
    </row>
    <row r="75" spans="1:17" x14ac:dyDescent="0.25">
      <c r="A75" s="13" t="s">
        <v>185</v>
      </c>
      <c r="B75" s="14">
        <v>45876</v>
      </c>
      <c r="C75" s="13" t="s">
        <v>40</v>
      </c>
      <c r="D75" s="13" t="s">
        <v>41</v>
      </c>
      <c r="E75" s="13" t="s">
        <v>101</v>
      </c>
      <c r="F75" s="13" t="s">
        <v>119</v>
      </c>
      <c r="G75" s="13" t="s">
        <v>32</v>
      </c>
      <c r="H75" s="13" t="s">
        <v>33</v>
      </c>
      <c r="I75" s="13" t="s">
        <v>98</v>
      </c>
      <c r="J75" s="13">
        <v>1</v>
      </c>
      <c r="K75" s="21">
        <v>703</v>
      </c>
      <c r="L75" s="21">
        <v>703</v>
      </c>
      <c r="M75" s="23">
        <v>0.1</v>
      </c>
      <c r="N75" s="21">
        <v>70</v>
      </c>
      <c r="O75" s="21">
        <v>633</v>
      </c>
      <c r="P75" s="13">
        <v>3.4</v>
      </c>
      <c r="Q75" s="13" t="s">
        <v>26</v>
      </c>
    </row>
    <row r="76" spans="1:17" x14ac:dyDescent="0.25">
      <c r="A76" s="13" t="s">
        <v>186</v>
      </c>
      <c r="B76" s="14">
        <v>45876</v>
      </c>
      <c r="C76" s="13" t="s">
        <v>51</v>
      </c>
      <c r="D76" s="13" t="s">
        <v>70</v>
      </c>
      <c r="E76" s="13" t="s">
        <v>42</v>
      </c>
      <c r="F76" s="13" t="s">
        <v>72</v>
      </c>
      <c r="G76" s="13" t="s">
        <v>23</v>
      </c>
      <c r="H76" s="13" t="s">
        <v>24</v>
      </c>
      <c r="I76" s="13" t="s">
        <v>84</v>
      </c>
      <c r="J76" s="13">
        <v>4</v>
      </c>
      <c r="K76" s="21">
        <v>355</v>
      </c>
      <c r="L76" s="21">
        <v>1420</v>
      </c>
      <c r="M76" s="23">
        <v>0</v>
      </c>
      <c r="N76" s="21">
        <v>0</v>
      </c>
      <c r="O76" s="21">
        <v>1420</v>
      </c>
      <c r="P76" s="13">
        <v>3.4</v>
      </c>
      <c r="Q76" s="13" t="s">
        <v>75</v>
      </c>
    </row>
    <row r="77" spans="1:17" x14ac:dyDescent="0.25">
      <c r="A77" s="13" t="s">
        <v>187</v>
      </c>
      <c r="B77" s="14">
        <v>45877</v>
      </c>
      <c r="C77" s="13" t="s">
        <v>91</v>
      </c>
      <c r="D77" s="13" t="s">
        <v>110</v>
      </c>
      <c r="E77" s="13" t="s">
        <v>155</v>
      </c>
      <c r="F77" s="13" t="s">
        <v>22</v>
      </c>
      <c r="G77" s="13" t="s">
        <v>44</v>
      </c>
      <c r="H77" s="13" t="s">
        <v>104</v>
      </c>
      <c r="I77" s="13" t="s">
        <v>34</v>
      </c>
      <c r="J77" s="13">
        <v>5</v>
      </c>
      <c r="K77" s="21">
        <v>2962</v>
      </c>
      <c r="L77" s="21">
        <v>14810</v>
      </c>
      <c r="M77" s="23">
        <v>0.15</v>
      </c>
      <c r="N77" s="21">
        <v>2222</v>
      </c>
      <c r="O77" s="21">
        <v>12588</v>
      </c>
      <c r="P77" s="13">
        <v>4.5</v>
      </c>
      <c r="Q77" s="13" t="s">
        <v>26</v>
      </c>
    </row>
    <row r="78" spans="1:17" x14ac:dyDescent="0.25">
      <c r="A78" s="13" t="s">
        <v>189</v>
      </c>
      <c r="B78" s="14">
        <v>45878</v>
      </c>
      <c r="C78" s="13" t="s">
        <v>40</v>
      </c>
      <c r="D78" s="13" t="s">
        <v>113</v>
      </c>
      <c r="E78" s="13" t="s">
        <v>60</v>
      </c>
      <c r="F78" s="13" t="s">
        <v>83</v>
      </c>
      <c r="G78" s="13" t="s">
        <v>44</v>
      </c>
      <c r="H78" s="13" t="s">
        <v>24</v>
      </c>
      <c r="I78" s="13" t="s">
        <v>84</v>
      </c>
      <c r="J78" s="13">
        <v>5</v>
      </c>
      <c r="K78" s="21">
        <v>761</v>
      </c>
      <c r="L78" s="21">
        <v>3805</v>
      </c>
      <c r="M78" s="23">
        <v>0.05</v>
      </c>
      <c r="N78" s="21">
        <v>190</v>
      </c>
      <c r="O78" s="21">
        <v>3615</v>
      </c>
      <c r="P78" s="13">
        <v>4.0999999999999996</v>
      </c>
      <c r="Q78" s="13" t="s">
        <v>26</v>
      </c>
    </row>
    <row r="79" spans="1:17" x14ac:dyDescent="0.25">
      <c r="A79" s="13" t="s">
        <v>191</v>
      </c>
      <c r="B79" s="14">
        <v>45878</v>
      </c>
      <c r="C79" s="13" t="s">
        <v>28</v>
      </c>
      <c r="D79" s="13" t="s">
        <v>36</v>
      </c>
      <c r="E79" s="13" t="s">
        <v>82</v>
      </c>
      <c r="F79" s="13" t="s">
        <v>22</v>
      </c>
      <c r="G79" s="13" t="s">
        <v>32</v>
      </c>
      <c r="H79" s="13" t="s">
        <v>33</v>
      </c>
      <c r="I79" s="13" t="s">
        <v>84</v>
      </c>
      <c r="J79" s="13">
        <v>3</v>
      </c>
      <c r="K79" s="21">
        <v>585</v>
      </c>
      <c r="L79" s="21">
        <v>1755</v>
      </c>
      <c r="M79" s="23">
        <v>0.3</v>
      </c>
      <c r="N79" s="21">
        <v>526</v>
      </c>
      <c r="O79" s="21">
        <v>1229</v>
      </c>
      <c r="P79" s="13">
        <v>4.4000000000000004</v>
      </c>
      <c r="Q79" s="13" t="s">
        <v>26</v>
      </c>
    </row>
    <row r="80" spans="1:17" x14ac:dyDescent="0.25">
      <c r="A80" s="13" t="s">
        <v>192</v>
      </c>
      <c r="B80" s="14">
        <v>45878</v>
      </c>
      <c r="C80" s="13" t="s">
        <v>63</v>
      </c>
      <c r="D80" s="13" t="s">
        <v>64</v>
      </c>
      <c r="E80" s="13" t="s">
        <v>30</v>
      </c>
      <c r="F80" s="13" t="s">
        <v>61</v>
      </c>
      <c r="G80" s="13" t="s">
        <v>23</v>
      </c>
      <c r="H80" s="13" t="s">
        <v>24</v>
      </c>
      <c r="I80" s="13" t="s">
        <v>45</v>
      </c>
      <c r="J80" s="13">
        <v>5</v>
      </c>
      <c r="K80" s="21">
        <v>749</v>
      </c>
      <c r="L80" s="21">
        <v>3745</v>
      </c>
      <c r="M80" s="23">
        <v>0.05</v>
      </c>
      <c r="N80" s="21">
        <v>187</v>
      </c>
      <c r="O80" s="21">
        <v>3558</v>
      </c>
      <c r="P80" s="13">
        <v>3.7</v>
      </c>
      <c r="Q80" s="13" t="s">
        <v>26</v>
      </c>
    </row>
    <row r="81" spans="1:17" x14ac:dyDescent="0.25">
      <c r="A81" s="13" t="s">
        <v>193</v>
      </c>
      <c r="B81" s="14">
        <v>45879</v>
      </c>
      <c r="C81" s="13" t="s">
        <v>28</v>
      </c>
      <c r="D81" s="13" t="s">
        <v>163</v>
      </c>
      <c r="E81" s="13" t="s">
        <v>82</v>
      </c>
      <c r="F81" s="13" t="s">
        <v>79</v>
      </c>
      <c r="G81" s="13" t="s">
        <v>23</v>
      </c>
      <c r="H81" s="13" t="s">
        <v>33</v>
      </c>
      <c r="I81" s="13" t="s">
        <v>45</v>
      </c>
      <c r="J81" s="13">
        <v>5</v>
      </c>
      <c r="K81" s="21">
        <v>219</v>
      </c>
      <c r="L81" s="21">
        <v>1095</v>
      </c>
      <c r="M81" s="23">
        <v>0.15</v>
      </c>
      <c r="N81" s="21">
        <v>164</v>
      </c>
      <c r="O81" s="21">
        <v>931</v>
      </c>
      <c r="P81" s="13">
        <v>3.4</v>
      </c>
      <c r="Q81" s="13" t="s">
        <v>26</v>
      </c>
    </row>
    <row r="82" spans="1:17" x14ac:dyDescent="0.25">
      <c r="A82" s="13" t="s">
        <v>195</v>
      </c>
      <c r="B82" s="14">
        <v>45880</v>
      </c>
      <c r="C82" s="13" t="s">
        <v>91</v>
      </c>
      <c r="D82" s="13" t="s">
        <v>92</v>
      </c>
      <c r="E82" s="13" t="s">
        <v>53</v>
      </c>
      <c r="F82" s="13" t="s">
        <v>22</v>
      </c>
      <c r="G82" s="13" t="s">
        <v>44</v>
      </c>
      <c r="H82" s="13" t="s">
        <v>104</v>
      </c>
      <c r="I82" s="13" t="s">
        <v>84</v>
      </c>
      <c r="J82" s="13">
        <v>4</v>
      </c>
      <c r="K82" s="21">
        <v>1131</v>
      </c>
      <c r="L82" s="21">
        <v>4524</v>
      </c>
      <c r="M82" s="23">
        <v>0.1</v>
      </c>
      <c r="N82" s="21">
        <v>452</v>
      </c>
      <c r="O82" s="21">
        <v>4072</v>
      </c>
      <c r="P82" s="13">
        <v>4.0999999999999996</v>
      </c>
      <c r="Q82" s="13" t="s">
        <v>26</v>
      </c>
    </row>
    <row r="83" spans="1:17" x14ac:dyDescent="0.25">
      <c r="A83" s="13" t="s">
        <v>197</v>
      </c>
      <c r="B83" s="14">
        <v>45880</v>
      </c>
      <c r="C83" s="13" t="s">
        <v>51</v>
      </c>
      <c r="D83" s="13" t="s">
        <v>52</v>
      </c>
      <c r="E83" s="13" t="s">
        <v>37</v>
      </c>
      <c r="F83" s="13" t="s">
        <v>130</v>
      </c>
      <c r="G83" s="13" t="s">
        <v>44</v>
      </c>
      <c r="H83" s="13" t="s">
        <v>33</v>
      </c>
      <c r="I83" s="13" t="s">
        <v>34</v>
      </c>
      <c r="J83" s="13">
        <v>2</v>
      </c>
      <c r="K83" s="21">
        <v>648</v>
      </c>
      <c r="L83" s="21">
        <v>1296</v>
      </c>
      <c r="M83" s="23">
        <v>0.15</v>
      </c>
      <c r="N83" s="21">
        <v>194</v>
      </c>
      <c r="O83" s="21">
        <v>1102</v>
      </c>
      <c r="P83" s="13">
        <v>4.3</v>
      </c>
      <c r="Q83" s="13" t="s">
        <v>26</v>
      </c>
    </row>
    <row r="84" spans="1:17" x14ac:dyDescent="0.25">
      <c r="A84" s="13" t="s">
        <v>198</v>
      </c>
      <c r="B84" s="14">
        <v>45880</v>
      </c>
      <c r="C84" s="13" t="s">
        <v>28</v>
      </c>
      <c r="D84" s="13" t="s">
        <v>77</v>
      </c>
      <c r="E84" s="13" t="s">
        <v>48</v>
      </c>
      <c r="F84" s="13" t="s">
        <v>72</v>
      </c>
      <c r="G84" s="13" t="s">
        <v>23</v>
      </c>
      <c r="H84" s="13" t="s">
        <v>104</v>
      </c>
      <c r="I84" s="13" t="s">
        <v>45</v>
      </c>
      <c r="J84" s="13">
        <v>2</v>
      </c>
      <c r="K84" s="21">
        <v>690</v>
      </c>
      <c r="L84" s="21">
        <v>1380</v>
      </c>
      <c r="M84" s="23">
        <v>0.1</v>
      </c>
      <c r="N84" s="21">
        <v>138</v>
      </c>
      <c r="O84" s="21">
        <v>1242</v>
      </c>
      <c r="P84" s="13">
        <v>4.4000000000000004</v>
      </c>
      <c r="Q84" s="13" t="s">
        <v>26</v>
      </c>
    </row>
    <row r="85" spans="1:17" x14ac:dyDescent="0.25">
      <c r="A85" s="13" t="s">
        <v>199</v>
      </c>
      <c r="B85" s="14">
        <v>45880</v>
      </c>
      <c r="C85" s="13" t="s">
        <v>91</v>
      </c>
      <c r="D85" s="13" t="s">
        <v>110</v>
      </c>
      <c r="E85" s="13" t="s">
        <v>101</v>
      </c>
      <c r="F85" s="13" t="s">
        <v>79</v>
      </c>
      <c r="G85" s="13" t="s">
        <v>32</v>
      </c>
      <c r="H85" s="13" t="s">
        <v>104</v>
      </c>
      <c r="I85" s="13" t="s">
        <v>84</v>
      </c>
      <c r="J85" s="13">
        <v>4</v>
      </c>
      <c r="K85" s="21">
        <v>2893</v>
      </c>
      <c r="L85" s="21">
        <v>11572</v>
      </c>
      <c r="M85" s="23">
        <v>0.05</v>
      </c>
      <c r="N85" s="21">
        <v>579</v>
      </c>
      <c r="O85" s="21">
        <v>10993</v>
      </c>
      <c r="P85" s="13">
        <v>3.6</v>
      </c>
      <c r="Q85" s="13" t="s">
        <v>26</v>
      </c>
    </row>
    <row r="86" spans="1:17" x14ac:dyDescent="0.25">
      <c r="A86" s="13" t="s">
        <v>200</v>
      </c>
      <c r="B86" s="14">
        <v>45880</v>
      </c>
      <c r="C86" s="13" t="s">
        <v>19</v>
      </c>
      <c r="D86" s="13" t="s">
        <v>128</v>
      </c>
      <c r="E86" s="13" t="s">
        <v>30</v>
      </c>
      <c r="F86" s="13" t="s">
        <v>79</v>
      </c>
      <c r="G86" s="13" t="s">
        <v>32</v>
      </c>
      <c r="H86" s="13" t="s">
        <v>33</v>
      </c>
      <c r="I86" s="13" t="s">
        <v>25</v>
      </c>
      <c r="J86" s="13">
        <v>5</v>
      </c>
      <c r="K86" s="21">
        <v>953</v>
      </c>
      <c r="L86" s="21">
        <v>4765</v>
      </c>
      <c r="M86" s="23">
        <v>0.25</v>
      </c>
      <c r="N86" s="21">
        <v>1191</v>
      </c>
      <c r="O86" s="21">
        <v>3574</v>
      </c>
      <c r="P86" s="13">
        <v>3.9</v>
      </c>
      <c r="Q86" s="13" t="s">
        <v>26</v>
      </c>
    </row>
    <row r="87" spans="1:17" x14ac:dyDescent="0.25">
      <c r="A87" s="13" t="s">
        <v>201</v>
      </c>
      <c r="B87" s="14">
        <v>45881</v>
      </c>
      <c r="C87" s="13" t="s">
        <v>91</v>
      </c>
      <c r="D87" s="13" t="s">
        <v>92</v>
      </c>
      <c r="E87" s="13" t="s">
        <v>48</v>
      </c>
      <c r="F87" s="13" t="s">
        <v>22</v>
      </c>
      <c r="G87" s="13" t="s">
        <v>23</v>
      </c>
      <c r="H87" s="13" t="s">
        <v>24</v>
      </c>
      <c r="I87" s="13" t="s">
        <v>25</v>
      </c>
      <c r="J87" s="13">
        <v>3</v>
      </c>
      <c r="K87" s="21">
        <v>697</v>
      </c>
      <c r="L87" s="21">
        <v>2091</v>
      </c>
      <c r="M87" s="23">
        <v>0.05</v>
      </c>
      <c r="N87" s="21">
        <v>105</v>
      </c>
      <c r="O87" s="21">
        <v>1986</v>
      </c>
      <c r="P87" s="13">
        <v>5</v>
      </c>
      <c r="Q87" s="13" t="s">
        <v>26</v>
      </c>
    </row>
    <row r="88" spans="1:17" x14ac:dyDescent="0.25">
      <c r="A88" s="13" t="s">
        <v>203</v>
      </c>
      <c r="B88" s="14">
        <v>45882</v>
      </c>
      <c r="C88" s="13" t="s">
        <v>19</v>
      </c>
      <c r="D88" s="13" t="s">
        <v>20</v>
      </c>
      <c r="E88" s="13" t="s">
        <v>71</v>
      </c>
      <c r="F88" s="13" t="s">
        <v>31</v>
      </c>
      <c r="G88" s="13" t="s">
        <v>32</v>
      </c>
      <c r="H88" s="13" t="s">
        <v>24</v>
      </c>
      <c r="I88" s="13" t="s">
        <v>98</v>
      </c>
      <c r="J88" s="13">
        <v>3</v>
      </c>
      <c r="K88" s="21">
        <v>345</v>
      </c>
      <c r="L88" s="21">
        <v>1035</v>
      </c>
      <c r="M88" s="23">
        <v>0</v>
      </c>
      <c r="N88" s="21">
        <v>0</v>
      </c>
      <c r="O88" s="21">
        <v>1035</v>
      </c>
      <c r="P88" s="13">
        <v>4</v>
      </c>
      <c r="Q88" s="13" t="s">
        <v>26</v>
      </c>
    </row>
    <row r="89" spans="1:17" x14ac:dyDescent="0.25">
      <c r="A89" s="13" t="s">
        <v>205</v>
      </c>
      <c r="B89" s="14">
        <v>45882</v>
      </c>
      <c r="C89" s="13" t="s">
        <v>63</v>
      </c>
      <c r="D89" s="13" t="s">
        <v>143</v>
      </c>
      <c r="E89" s="13" t="s">
        <v>82</v>
      </c>
      <c r="F89" s="13" t="s">
        <v>31</v>
      </c>
      <c r="G89" s="13" t="s">
        <v>32</v>
      </c>
      <c r="H89" s="13" t="s">
        <v>33</v>
      </c>
      <c r="I89" s="13" t="s">
        <v>45</v>
      </c>
      <c r="J89" s="13">
        <v>5</v>
      </c>
      <c r="K89" s="21">
        <v>2353</v>
      </c>
      <c r="L89" s="21">
        <v>11765</v>
      </c>
      <c r="M89" s="23">
        <v>0.2</v>
      </c>
      <c r="N89" s="21">
        <v>2353</v>
      </c>
      <c r="O89" s="21">
        <v>9412</v>
      </c>
      <c r="P89" s="13">
        <v>3.5</v>
      </c>
      <c r="Q89" s="13" t="s">
        <v>26</v>
      </c>
    </row>
    <row r="90" spans="1:17" x14ac:dyDescent="0.25">
      <c r="A90" s="13" t="s">
        <v>206</v>
      </c>
      <c r="B90" s="14">
        <v>45882</v>
      </c>
      <c r="C90" s="13" t="s">
        <v>40</v>
      </c>
      <c r="D90" s="13" t="s">
        <v>41</v>
      </c>
      <c r="E90" s="13" t="s">
        <v>78</v>
      </c>
      <c r="F90" s="13" t="s">
        <v>119</v>
      </c>
      <c r="G90" s="13" t="s">
        <v>23</v>
      </c>
      <c r="H90" s="13" t="s">
        <v>104</v>
      </c>
      <c r="I90" s="13" t="s">
        <v>84</v>
      </c>
      <c r="J90" s="13">
        <v>4</v>
      </c>
      <c r="K90" s="21">
        <v>373</v>
      </c>
      <c r="L90" s="21">
        <v>1492</v>
      </c>
      <c r="M90" s="23">
        <v>0.3</v>
      </c>
      <c r="N90" s="21">
        <v>448</v>
      </c>
      <c r="O90" s="21">
        <v>1044</v>
      </c>
      <c r="P90" s="13">
        <v>3.3</v>
      </c>
      <c r="Q90" s="13" t="s">
        <v>75</v>
      </c>
    </row>
    <row r="91" spans="1:17" x14ac:dyDescent="0.25">
      <c r="A91" s="13" t="s">
        <v>207</v>
      </c>
      <c r="B91" s="14">
        <v>45883</v>
      </c>
      <c r="C91" s="13" t="s">
        <v>63</v>
      </c>
      <c r="D91" s="13" t="s">
        <v>64</v>
      </c>
      <c r="E91" s="13" t="s">
        <v>42</v>
      </c>
      <c r="F91" s="13" t="s">
        <v>65</v>
      </c>
      <c r="G91" s="13" t="s">
        <v>32</v>
      </c>
      <c r="H91" s="13" t="s">
        <v>24</v>
      </c>
      <c r="I91" s="13" t="s">
        <v>45</v>
      </c>
      <c r="J91" s="13">
        <v>1</v>
      </c>
      <c r="K91" s="21">
        <v>644</v>
      </c>
      <c r="L91" s="21">
        <v>644</v>
      </c>
      <c r="M91" s="23">
        <v>0.05</v>
      </c>
      <c r="N91" s="21">
        <v>32</v>
      </c>
      <c r="O91" s="21">
        <v>612</v>
      </c>
      <c r="P91" s="13">
        <v>4.5</v>
      </c>
      <c r="Q91" s="13" t="s">
        <v>26</v>
      </c>
    </row>
    <row r="92" spans="1:17" x14ac:dyDescent="0.25">
      <c r="A92" s="13" t="s">
        <v>209</v>
      </c>
      <c r="B92" s="14">
        <v>45884</v>
      </c>
      <c r="C92" s="13" t="s">
        <v>91</v>
      </c>
      <c r="D92" s="13" t="s">
        <v>92</v>
      </c>
      <c r="E92" s="13" t="s">
        <v>101</v>
      </c>
      <c r="F92" s="13" t="s">
        <v>43</v>
      </c>
      <c r="G92" s="13" t="s">
        <v>32</v>
      </c>
      <c r="H92" s="13" t="s">
        <v>24</v>
      </c>
      <c r="I92" s="13" t="s">
        <v>98</v>
      </c>
      <c r="J92" s="13">
        <v>4</v>
      </c>
      <c r="K92" s="21">
        <v>1809</v>
      </c>
      <c r="L92" s="21">
        <v>7236</v>
      </c>
      <c r="M92" s="23">
        <v>0.15</v>
      </c>
      <c r="N92" s="21">
        <v>1085</v>
      </c>
      <c r="O92" s="21">
        <v>6151</v>
      </c>
      <c r="P92" s="13">
        <v>4.8</v>
      </c>
      <c r="Q92" s="13" t="s">
        <v>26</v>
      </c>
    </row>
    <row r="93" spans="1:17" x14ac:dyDescent="0.25">
      <c r="A93" s="13" t="s">
        <v>211</v>
      </c>
      <c r="B93" s="14">
        <v>45884</v>
      </c>
      <c r="C93" s="13" t="s">
        <v>51</v>
      </c>
      <c r="D93" s="13" t="s">
        <v>52</v>
      </c>
      <c r="E93" s="13" t="s">
        <v>60</v>
      </c>
      <c r="F93" s="13" t="s">
        <v>43</v>
      </c>
      <c r="G93" s="13" t="s">
        <v>32</v>
      </c>
      <c r="H93" s="13" t="s">
        <v>33</v>
      </c>
      <c r="I93" s="13" t="s">
        <v>98</v>
      </c>
      <c r="J93" s="13">
        <v>3</v>
      </c>
      <c r="K93" s="21">
        <v>720</v>
      </c>
      <c r="L93" s="21">
        <v>2160</v>
      </c>
      <c r="M93" s="23">
        <v>0.05</v>
      </c>
      <c r="N93" s="21">
        <v>108</v>
      </c>
      <c r="O93" s="21">
        <v>2052</v>
      </c>
      <c r="P93" s="13">
        <v>4.3</v>
      </c>
      <c r="Q93" s="13" t="s">
        <v>75</v>
      </c>
    </row>
    <row r="94" spans="1:17" x14ac:dyDescent="0.25">
      <c r="A94" s="13" t="s">
        <v>212</v>
      </c>
      <c r="B94" s="14">
        <v>45885</v>
      </c>
      <c r="C94" s="13" t="s">
        <v>28</v>
      </c>
      <c r="D94" s="13" t="s">
        <v>29</v>
      </c>
      <c r="E94" s="13" t="s">
        <v>21</v>
      </c>
      <c r="F94" s="13" t="s">
        <v>130</v>
      </c>
      <c r="G94" s="13" t="s">
        <v>32</v>
      </c>
      <c r="H94" s="13" t="s">
        <v>24</v>
      </c>
      <c r="I94" s="13" t="s">
        <v>84</v>
      </c>
      <c r="J94" s="13">
        <v>4</v>
      </c>
      <c r="K94" s="21">
        <v>855</v>
      </c>
      <c r="L94" s="21">
        <v>3420</v>
      </c>
      <c r="M94" s="23">
        <v>0.15</v>
      </c>
      <c r="N94" s="21">
        <v>513</v>
      </c>
      <c r="O94" s="21">
        <v>2907</v>
      </c>
      <c r="P94" s="13">
        <v>3.9</v>
      </c>
      <c r="Q94" s="13" t="s">
        <v>75</v>
      </c>
    </row>
    <row r="95" spans="1:17" x14ac:dyDescent="0.25">
      <c r="A95" s="13" t="s">
        <v>214</v>
      </c>
      <c r="B95" s="14">
        <v>45885</v>
      </c>
      <c r="C95" s="13" t="s">
        <v>28</v>
      </c>
      <c r="D95" s="13" t="s">
        <v>163</v>
      </c>
      <c r="E95" s="13" t="s">
        <v>82</v>
      </c>
      <c r="F95" s="13" t="s">
        <v>31</v>
      </c>
      <c r="G95" s="13" t="s">
        <v>32</v>
      </c>
      <c r="H95" s="13" t="s">
        <v>33</v>
      </c>
      <c r="I95" s="13" t="s">
        <v>84</v>
      </c>
      <c r="J95" s="13">
        <v>2</v>
      </c>
      <c r="K95" s="21">
        <v>757</v>
      </c>
      <c r="L95" s="21">
        <v>1514</v>
      </c>
      <c r="M95" s="23">
        <v>0.15</v>
      </c>
      <c r="N95" s="21">
        <v>227</v>
      </c>
      <c r="O95" s="21">
        <v>1287</v>
      </c>
      <c r="P95" s="13">
        <v>4.5</v>
      </c>
      <c r="Q95" s="13" t="s">
        <v>26</v>
      </c>
    </row>
    <row r="96" spans="1:17" x14ac:dyDescent="0.25">
      <c r="A96" s="13" t="s">
        <v>215</v>
      </c>
      <c r="B96" s="14">
        <v>45885</v>
      </c>
      <c r="C96" s="13" t="s">
        <v>19</v>
      </c>
      <c r="D96" s="13" t="s">
        <v>128</v>
      </c>
      <c r="E96" s="13" t="s">
        <v>155</v>
      </c>
      <c r="F96" s="13" t="s">
        <v>43</v>
      </c>
      <c r="G96" s="13" t="s">
        <v>44</v>
      </c>
      <c r="H96" s="13" t="s">
        <v>33</v>
      </c>
      <c r="I96" s="13" t="s">
        <v>25</v>
      </c>
      <c r="J96" s="13">
        <v>4</v>
      </c>
      <c r="K96" s="21">
        <v>290</v>
      </c>
      <c r="L96" s="21">
        <v>1160</v>
      </c>
      <c r="M96" s="23">
        <v>0.1</v>
      </c>
      <c r="N96" s="21">
        <v>116</v>
      </c>
      <c r="O96" s="21">
        <v>1044</v>
      </c>
      <c r="P96" s="13">
        <v>4.8</v>
      </c>
      <c r="Q96" s="13" t="s">
        <v>26</v>
      </c>
    </row>
    <row r="97" spans="1:17" x14ac:dyDescent="0.25">
      <c r="A97" s="13" t="s">
        <v>216</v>
      </c>
      <c r="B97" s="14">
        <v>45885</v>
      </c>
      <c r="C97" s="13" t="s">
        <v>63</v>
      </c>
      <c r="D97" s="13" t="s">
        <v>143</v>
      </c>
      <c r="E97" s="13" t="s">
        <v>37</v>
      </c>
      <c r="F97" s="13" t="s">
        <v>31</v>
      </c>
      <c r="G97" s="13" t="s">
        <v>32</v>
      </c>
      <c r="H97" s="13" t="s">
        <v>104</v>
      </c>
      <c r="I97" s="13" t="s">
        <v>98</v>
      </c>
      <c r="J97" s="13">
        <v>3</v>
      </c>
      <c r="K97" s="21">
        <v>1139</v>
      </c>
      <c r="L97" s="21">
        <v>3417</v>
      </c>
      <c r="M97" s="23">
        <v>0.3</v>
      </c>
      <c r="N97" s="21">
        <v>1025</v>
      </c>
      <c r="O97" s="21">
        <v>2392</v>
      </c>
      <c r="P97" s="13">
        <v>4.0999999999999996</v>
      </c>
      <c r="Q97" s="13" t="s">
        <v>26</v>
      </c>
    </row>
    <row r="98" spans="1:17" x14ac:dyDescent="0.25">
      <c r="A98" s="13" t="s">
        <v>217</v>
      </c>
      <c r="B98" s="14">
        <v>45885</v>
      </c>
      <c r="C98" s="13" t="s">
        <v>91</v>
      </c>
      <c r="D98" s="13" t="s">
        <v>92</v>
      </c>
      <c r="E98" s="13" t="s">
        <v>60</v>
      </c>
      <c r="F98" s="13" t="s">
        <v>22</v>
      </c>
      <c r="G98" s="13" t="s">
        <v>23</v>
      </c>
      <c r="H98" s="13" t="s">
        <v>24</v>
      </c>
      <c r="I98" s="13" t="s">
        <v>45</v>
      </c>
      <c r="J98" s="13">
        <v>3</v>
      </c>
      <c r="K98" s="21">
        <v>965</v>
      </c>
      <c r="L98" s="21">
        <v>2895</v>
      </c>
      <c r="M98" s="23">
        <v>0</v>
      </c>
      <c r="N98" s="21">
        <v>0</v>
      </c>
      <c r="O98" s="21">
        <v>2895</v>
      </c>
      <c r="P98" s="13">
        <v>3.7</v>
      </c>
      <c r="Q98" s="13" t="s">
        <v>26</v>
      </c>
    </row>
    <row r="99" spans="1:17" x14ac:dyDescent="0.25">
      <c r="A99" s="13" t="s">
        <v>218</v>
      </c>
      <c r="B99" s="14">
        <v>45886</v>
      </c>
      <c r="C99" s="13" t="s">
        <v>91</v>
      </c>
      <c r="D99" s="13" t="s">
        <v>92</v>
      </c>
      <c r="E99" s="13" t="s">
        <v>60</v>
      </c>
      <c r="F99" s="13" t="s">
        <v>119</v>
      </c>
      <c r="G99" s="13" t="s">
        <v>32</v>
      </c>
      <c r="H99" s="13" t="s">
        <v>24</v>
      </c>
      <c r="I99" s="13" t="s">
        <v>45</v>
      </c>
      <c r="J99" s="13">
        <v>4</v>
      </c>
      <c r="K99" s="21">
        <v>2905</v>
      </c>
      <c r="L99" s="21">
        <v>11620</v>
      </c>
      <c r="M99" s="23">
        <v>0.1</v>
      </c>
      <c r="N99" s="21">
        <v>1162</v>
      </c>
      <c r="O99" s="21">
        <v>10458</v>
      </c>
      <c r="P99" s="13">
        <v>4.7</v>
      </c>
      <c r="Q99" s="13" t="s">
        <v>26</v>
      </c>
    </row>
    <row r="100" spans="1:17" x14ac:dyDescent="0.25">
      <c r="A100" s="13" t="s">
        <v>220</v>
      </c>
      <c r="B100" s="14">
        <v>45887</v>
      </c>
      <c r="C100" s="13" t="s">
        <v>63</v>
      </c>
      <c r="D100" s="13" t="s">
        <v>64</v>
      </c>
      <c r="E100" s="13" t="s">
        <v>53</v>
      </c>
      <c r="F100" s="13" t="s">
        <v>43</v>
      </c>
      <c r="G100" s="13" t="s">
        <v>32</v>
      </c>
      <c r="H100" s="13" t="s">
        <v>24</v>
      </c>
      <c r="I100" s="13" t="s">
        <v>34</v>
      </c>
      <c r="J100" s="13">
        <v>4</v>
      </c>
      <c r="K100" s="21">
        <v>711</v>
      </c>
      <c r="L100" s="21">
        <v>2844</v>
      </c>
      <c r="M100" s="23">
        <v>0.3</v>
      </c>
      <c r="N100" s="21">
        <v>853</v>
      </c>
      <c r="O100" s="21">
        <v>1991</v>
      </c>
      <c r="P100" s="13">
        <v>4.2</v>
      </c>
      <c r="Q100" s="13" t="s">
        <v>75</v>
      </c>
    </row>
    <row r="101" spans="1:17" x14ac:dyDescent="0.25">
      <c r="A101" s="13" t="s">
        <v>222</v>
      </c>
      <c r="B101" s="14">
        <v>45887</v>
      </c>
      <c r="C101" s="13" t="s">
        <v>63</v>
      </c>
      <c r="D101" s="13" t="s">
        <v>64</v>
      </c>
      <c r="E101" s="13" t="s">
        <v>53</v>
      </c>
      <c r="F101" s="13" t="s">
        <v>79</v>
      </c>
      <c r="G101" s="13" t="s">
        <v>32</v>
      </c>
      <c r="H101" s="13" t="s">
        <v>24</v>
      </c>
      <c r="I101" s="13" t="s">
        <v>98</v>
      </c>
      <c r="J101" s="13">
        <v>4</v>
      </c>
      <c r="K101" s="21">
        <v>564</v>
      </c>
      <c r="L101" s="21">
        <v>2256</v>
      </c>
      <c r="M101" s="23">
        <v>0</v>
      </c>
      <c r="N101" s="21">
        <v>0</v>
      </c>
      <c r="O101" s="21">
        <v>2256</v>
      </c>
      <c r="P101" s="13">
        <v>4.9000000000000004</v>
      </c>
      <c r="Q101" s="13" t="s">
        <v>26</v>
      </c>
    </row>
    <row r="102" spans="1:17" x14ac:dyDescent="0.25">
      <c r="A102" s="13" t="s">
        <v>223</v>
      </c>
      <c r="B102" s="14">
        <v>45887</v>
      </c>
      <c r="C102" s="13" t="s">
        <v>91</v>
      </c>
      <c r="D102" s="13" t="s">
        <v>125</v>
      </c>
      <c r="E102" s="13" t="s">
        <v>155</v>
      </c>
      <c r="F102" s="13" t="s">
        <v>119</v>
      </c>
      <c r="G102" s="13" t="s">
        <v>23</v>
      </c>
      <c r="H102" s="13" t="s">
        <v>33</v>
      </c>
      <c r="I102" s="13" t="s">
        <v>34</v>
      </c>
      <c r="J102" s="13">
        <v>2</v>
      </c>
      <c r="K102" s="21">
        <v>2216</v>
      </c>
      <c r="L102" s="21">
        <v>4432</v>
      </c>
      <c r="M102" s="23">
        <v>0.15</v>
      </c>
      <c r="N102" s="21">
        <v>665</v>
      </c>
      <c r="O102" s="21">
        <v>3767</v>
      </c>
      <c r="P102" s="13">
        <v>3.3</v>
      </c>
      <c r="Q102" s="13" t="s">
        <v>26</v>
      </c>
    </row>
    <row r="103" spans="1:17" x14ac:dyDescent="0.25">
      <c r="A103" s="13" t="s">
        <v>224</v>
      </c>
      <c r="B103" s="14">
        <v>45888</v>
      </c>
      <c r="C103" s="13" t="s">
        <v>63</v>
      </c>
      <c r="D103" s="13" t="s">
        <v>134</v>
      </c>
      <c r="E103" s="13" t="s">
        <v>42</v>
      </c>
      <c r="F103" s="13" t="s">
        <v>31</v>
      </c>
      <c r="G103" s="13" t="s">
        <v>32</v>
      </c>
      <c r="H103" s="13" t="s">
        <v>24</v>
      </c>
      <c r="I103" s="13" t="s">
        <v>98</v>
      </c>
      <c r="J103" s="13">
        <v>1</v>
      </c>
      <c r="K103" s="21">
        <v>2112</v>
      </c>
      <c r="L103" s="21">
        <v>2112</v>
      </c>
      <c r="M103" s="23">
        <v>0.1</v>
      </c>
      <c r="N103" s="21">
        <v>211</v>
      </c>
      <c r="O103" s="21">
        <v>1901</v>
      </c>
      <c r="P103" s="13">
        <v>4.2</v>
      </c>
      <c r="Q103" s="13" t="s">
        <v>26</v>
      </c>
    </row>
    <row r="104" spans="1:17" x14ac:dyDescent="0.25">
      <c r="A104" s="13" t="s">
        <v>226</v>
      </c>
      <c r="B104" s="14">
        <v>45889</v>
      </c>
      <c r="C104" s="13" t="s">
        <v>51</v>
      </c>
      <c r="D104" s="13" t="s">
        <v>70</v>
      </c>
      <c r="E104" s="13" t="s">
        <v>155</v>
      </c>
      <c r="F104" s="13" t="s">
        <v>31</v>
      </c>
      <c r="G104" s="13" t="s">
        <v>32</v>
      </c>
      <c r="H104" s="13" t="s">
        <v>24</v>
      </c>
      <c r="I104" s="13" t="s">
        <v>84</v>
      </c>
      <c r="J104" s="13">
        <v>1</v>
      </c>
      <c r="K104" s="21">
        <v>701</v>
      </c>
      <c r="L104" s="21">
        <v>701</v>
      </c>
      <c r="M104" s="23">
        <v>0.15</v>
      </c>
      <c r="N104" s="21">
        <v>105</v>
      </c>
      <c r="O104" s="21">
        <v>596</v>
      </c>
      <c r="P104" s="13">
        <v>4.9000000000000004</v>
      </c>
      <c r="Q104" s="13" t="s">
        <v>26</v>
      </c>
    </row>
    <row r="105" spans="1:17" x14ac:dyDescent="0.25">
      <c r="A105" s="13" t="s">
        <v>228</v>
      </c>
      <c r="B105" s="14">
        <v>45889</v>
      </c>
      <c r="C105" s="13" t="s">
        <v>91</v>
      </c>
      <c r="D105" s="13" t="s">
        <v>92</v>
      </c>
      <c r="E105" s="13" t="s">
        <v>155</v>
      </c>
      <c r="F105" s="13" t="s">
        <v>119</v>
      </c>
      <c r="G105" s="13" t="s">
        <v>23</v>
      </c>
      <c r="H105" s="13" t="s">
        <v>33</v>
      </c>
      <c r="I105" s="13" t="s">
        <v>25</v>
      </c>
      <c r="J105" s="13">
        <v>2</v>
      </c>
      <c r="K105" s="21">
        <v>996</v>
      </c>
      <c r="L105" s="21">
        <v>1992</v>
      </c>
      <c r="M105" s="23">
        <v>0.15</v>
      </c>
      <c r="N105" s="21">
        <v>299</v>
      </c>
      <c r="O105" s="21">
        <v>1693</v>
      </c>
      <c r="P105" s="13">
        <v>4.2</v>
      </c>
      <c r="Q105" s="13" t="s">
        <v>26</v>
      </c>
    </row>
    <row r="106" spans="1:17" x14ac:dyDescent="0.25">
      <c r="A106" s="13" t="s">
        <v>229</v>
      </c>
      <c r="B106" s="14">
        <v>45889</v>
      </c>
      <c r="C106" s="13" t="s">
        <v>19</v>
      </c>
      <c r="D106" s="13" t="s">
        <v>230</v>
      </c>
      <c r="E106" s="13" t="s">
        <v>21</v>
      </c>
      <c r="F106" s="13" t="s">
        <v>61</v>
      </c>
      <c r="G106" s="13" t="s">
        <v>32</v>
      </c>
      <c r="H106" s="13" t="s">
        <v>24</v>
      </c>
      <c r="I106" s="13" t="s">
        <v>84</v>
      </c>
      <c r="J106" s="13">
        <v>3</v>
      </c>
      <c r="K106" s="21">
        <v>415</v>
      </c>
      <c r="L106" s="21">
        <v>1245</v>
      </c>
      <c r="M106" s="23">
        <v>0</v>
      </c>
      <c r="N106" s="21">
        <v>0</v>
      </c>
      <c r="O106" s="21">
        <v>1245</v>
      </c>
      <c r="P106" s="13">
        <v>4.2</v>
      </c>
      <c r="Q106" s="13" t="s">
        <v>26</v>
      </c>
    </row>
    <row r="107" spans="1:17" x14ac:dyDescent="0.25">
      <c r="A107" s="13" t="s">
        <v>231</v>
      </c>
      <c r="B107" s="14">
        <v>45890</v>
      </c>
      <c r="C107" s="13" t="s">
        <v>91</v>
      </c>
      <c r="D107" s="13" t="s">
        <v>92</v>
      </c>
      <c r="E107" s="13" t="s">
        <v>53</v>
      </c>
      <c r="F107" s="13" t="s">
        <v>119</v>
      </c>
      <c r="G107" s="13" t="s">
        <v>32</v>
      </c>
      <c r="H107" s="13" t="s">
        <v>33</v>
      </c>
      <c r="I107" s="13" t="s">
        <v>25</v>
      </c>
      <c r="J107" s="13">
        <v>4</v>
      </c>
      <c r="K107" s="21">
        <v>1792</v>
      </c>
      <c r="L107" s="21">
        <v>7168</v>
      </c>
      <c r="M107" s="23">
        <v>0.2</v>
      </c>
      <c r="N107" s="21">
        <v>1434</v>
      </c>
      <c r="O107" s="21">
        <v>5734</v>
      </c>
      <c r="P107" s="13">
        <v>3.5</v>
      </c>
      <c r="Q107" s="13" t="s">
        <v>26</v>
      </c>
    </row>
    <row r="108" spans="1:17" x14ac:dyDescent="0.25">
      <c r="A108" s="13" t="s">
        <v>233</v>
      </c>
      <c r="B108" s="14">
        <v>45890</v>
      </c>
      <c r="C108" s="13" t="s">
        <v>19</v>
      </c>
      <c r="D108" s="13" t="s">
        <v>121</v>
      </c>
      <c r="E108" s="13" t="s">
        <v>42</v>
      </c>
      <c r="F108" s="13" t="s">
        <v>43</v>
      </c>
      <c r="G108" s="13" t="s">
        <v>23</v>
      </c>
      <c r="H108" s="13" t="s">
        <v>33</v>
      </c>
      <c r="I108" s="13" t="s">
        <v>34</v>
      </c>
      <c r="J108" s="13">
        <v>2</v>
      </c>
      <c r="K108" s="21">
        <v>464</v>
      </c>
      <c r="L108" s="21">
        <v>928</v>
      </c>
      <c r="M108" s="23">
        <v>0.05</v>
      </c>
      <c r="N108" s="21">
        <v>46</v>
      </c>
      <c r="O108" s="21">
        <v>882</v>
      </c>
      <c r="P108" s="13">
        <v>4.4000000000000004</v>
      </c>
      <c r="Q108" s="13" t="s">
        <v>26</v>
      </c>
    </row>
    <row r="109" spans="1:17" x14ac:dyDescent="0.25">
      <c r="A109" s="13" t="s">
        <v>234</v>
      </c>
      <c r="B109" s="14">
        <v>45890</v>
      </c>
      <c r="C109" s="13" t="s">
        <v>51</v>
      </c>
      <c r="D109" s="13" t="s">
        <v>52</v>
      </c>
      <c r="E109" s="13" t="s">
        <v>82</v>
      </c>
      <c r="F109" s="13" t="s">
        <v>79</v>
      </c>
      <c r="G109" s="13" t="s">
        <v>23</v>
      </c>
      <c r="H109" s="13" t="s">
        <v>24</v>
      </c>
      <c r="I109" s="13" t="s">
        <v>45</v>
      </c>
      <c r="J109" s="13">
        <v>1</v>
      </c>
      <c r="K109" s="21">
        <v>153</v>
      </c>
      <c r="L109" s="21">
        <v>153</v>
      </c>
      <c r="M109" s="23">
        <v>0.05</v>
      </c>
      <c r="N109" s="21">
        <v>8</v>
      </c>
      <c r="O109" s="21">
        <v>145</v>
      </c>
      <c r="P109" s="13">
        <v>4.9000000000000004</v>
      </c>
      <c r="Q109" s="13" t="s">
        <v>26</v>
      </c>
    </row>
    <row r="110" spans="1:17" x14ac:dyDescent="0.25">
      <c r="A110" s="13" t="s">
        <v>235</v>
      </c>
      <c r="B110" s="14">
        <v>45891</v>
      </c>
      <c r="C110" s="13" t="s">
        <v>91</v>
      </c>
      <c r="D110" s="13" t="s">
        <v>92</v>
      </c>
      <c r="E110" s="13" t="s">
        <v>60</v>
      </c>
      <c r="F110" s="13" t="s">
        <v>130</v>
      </c>
      <c r="G110" s="13" t="s">
        <v>23</v>
      </c>
      <c r="H110" s="13" t="s">
        <v>33</v>
      </c>
      <c r="I110" s="13" t="s">
        <v>34</v>
      </c>
      <c r="J110" s="13">
        <v>4</v>
      </c>
      <c r="K110" s="21">
        <v>546</v>
      </c>
      <c r="L110" s="21">
        <v>2184</v>
      </c>
      <c r="M110" s="23">
        <v>0.15</v>
      </c>
      <c r="N110" s="21">
        <v>328</v>
      </c>
      <c r="O110" s="21">
        <v>1856</v>
      </c>
      <c r="P110" s="13">
        <v>3.5</v>
      </c>
      <c r="Q110" s="13" t="s">
        <v>26</v>
      </c>
    </row>
    <row r="111" spans="1:17" x14ac:dyDescent="0.25">
      <c r="A111" s="13" t="s">
        <v>237</v>
      </c>
      <c r="B111" s="14">
        <v>45891</v>
      </c>
      <c r="C111" s="13" t="s">
        <v>91</v>
      </c>
      <c r="D111" s="13" t="s">
        <v>125</v>
      </c>
      <c r="E111" s="13" t="s">
        <v>60</v>
      </c>
      <c r="F111" s="13" t="s">
        <v>31</v>
      </c>
      <c r="G111" s="13" t="s">
        <v>23</v>
      </c>
      <c r="H111" s="13" t="s">
        <v>33</v>
      </c>
      <c r="I111" s="13" t="s">
        <v>98</v>
      </c>
      <c r="J111" s="13">
        <v>5</v>
      </c>
      <c r="K111" s="21">
        <v>1780</v>
      </c>
      <c r="L111" s="21">
        <v>8900</v>
      </c>
      <c r="M111" s="23">
        <v>0</v>
      </c>
      <c r="N111" s="21">
        <v>0</v>
      </c>
      <c r="O111" s="21">
        <v>8900</v>
      </c>
      <c r="P111" s="13">
        <v>3.2</v>
      </c>
      <c r="Q111" s="13" t="s">
        <v>26</v>
      </c>
    </row>
    <row r="112" spans="1:17" x14ac:dyDescent="0.25">
      <c r="A112" s="13" t="s">
        <v>238</v>
      </c>
      <c r="B112" s="14">
        <v>45891</v>
      </c>
      <c r="C112" s="13" t="s">
        <v>28</v>
      </c>
      <c r="D112" s="13" t="s">
        <v>95</v>
      </c>
      <c r="E112" s="13" t="s">
        <v>21</v>
      </c>
      <c r="F112" s="13" t="s">
        <v>31</v>
      </c>
      <c r="G112" s="13" t="s">
        <v>23</v>
      </c>
      <c r="H112" s="13" t="s">
        <v>24</v>
      </c>
      <c r="I112" s="13" t="s">
        <v>84</v>
      </c>
      <c r="J112" s="13">
        <v>2</v>
      </c>
      <c r="K112" s="21">
        <v>417</v>
      </c>
      <c r="L112" s="21">
        <v>834</v>
      </c>
      <c r="M112" s="23">
        <v>0.15</v>
      </c>
      <c r="N112" s="21">
        <v>125</v>
      </c>
      <c r="O112" s="21">
        <v>709</v>
      </c>
      <c r="P112" s="13">
        <v>3.9</v>
      </c>
      <c r="Q112" s="13" t="s">
        <v>26</v>
      </c>
    </row>
    <row r="113" spans="1:17" x14ac:dyDescent="0.25">
      <c r="A113" s="13" t="s">
        <v>239</v>
      </c>
      <c r="B113" s="14">
        <v>45891</v>
      </c>
      <c r="C113" s="13" t="s">
        <v>28</v>
      </c>
      <c r="D113" s="13" t="s">
        <v>77</v>
      </c>
      <c r="E113" s="13" t="s">
        <v>78</v>
      </c>
      <c r="F113" s="13" t="s">
        <v>72</v>
      </c>
      <c r="G113" s="13" t="s">
        <v>23</v>
      </c>
      <c r="H113" s="13" t="s">
        <v>104</v>
      </c>
      <c r="I113" s="13" t="s">
        <v>84</v>
      </c>
      <c r="J113" s="13">
        <v>4</v>
      </c>
      <c r="K113" s="21">
        <v>1050</v>
      </c>
      <c r="L113" s="21">
        <v>4200</v>
      </c>
      <c r="M113" s="23">
        <v>0.3</v>
      </c>
      <c r="N113" s="21">
        <v>1260</v>
      </c>
      <c r="O113" s="21">
        <v>2940</v>
      </c>
      <c r="P113" s="13">
        <v>4.8</v>
      </c>
      <c r="Q113" s="13" t="s">
        <v>26</v>
      </c>
    </row>
    <row r="114" spans="1:17" x14ac:dyDescent="0.25">
      <c r="A114" s="13" t="s">
        <v>240</v>
      </c>
      <c r="B114" s="14">
        <v>45892</v>
      </c>
      <c r="C114" s="13" t="s">
        <v>19</v>
      </c>
      <c r="D114" s="13" t="s">
        <v>121</v>
      </c>
      <c r="E114" s="13" t="s">
        <v>82</v>
      </c>
      <c r="F114" s="13" t="s">
        <v>22</v>
      </c>
      <c r="G114" s="13" t="s">
        <v>23</v>
      </c>
      <c r="H114" s="13" t="s">
        <v>33</v>
      </c>
      <c r="I114" s="13" t="s">
        <v>98</v>
      </c>
      <c r="J114" s="13">
        <v>4</v>
      </c>
      <c r="K114" s="21">
        <v>172</v>
      </c>
      <c r="L114" s="21">
        <v>688</v>
      </c>
      <c r="M114" s="23">
        <v>0.05</v>
      </c>
      <c r="N114" s="21">
        <v>34</v>
      </c>
      <c r="O114" s="21">
        <v>654</v>
      </c>
      <c r="P114" s="13">
        <v>3.3</v>
      </c>
      <c r="Q114" s="13" t="s">
        <v>75</v>
      </c>
    </row>
    <row r="115" spans="1:17" x14ac:dyDescent="0.25">
      <c r="A115" s="13" t="s">
        <v>242</v>
      </c>
      <c r="B115" s="14">
        <v>45894</v>
      </c>
      <c r="C115" s="13" t="s">
        <v>51</v>
      </c>
      <c r="D115" s="13" t="s">
        <v>70</v>
      </c>
      <c r="E115" s="13" t="s">
        <v>37</v>
      </c>
      <c r="F115" s="13" t="s">
        <v>79</v>
      </c>
      <c r="G115" s="13" t="s">
        <v>23</v>
      </c>
      <c r="H115" s="13" t="s">
        <v>33</v>
      </c>
      <c r="I115" s="13" t="s">
        <v>34</v>
      </c>
      <c r="J115" s="13">
        <v>4</v>
      </c>
      <c r="K115" s="21">
        <v>543</v>
      </c>
      <c r="L115" s="21">
        <v>2172</v>
      </c>
      <c r="M115" s="23">
        <v>0.2</v>
      </c>
      <c r="N115" s="21">
        <v>434</v>
      </c>
      <c r="O115" s="21">
        <v>1738</v>
      </c>
      <c r="P115" s="13">
        <v>3.4</v>
      </c>
      <c r="Q115" s="13" t="s">
        <v>26</v>
      </c>
    </row>
    <row r="116" spans="1:17" x14ac:dyDescent="0.25">
      <c r="A116" s="13" t="s">
        <v>244</v>
      </c>
      <c r="B116" s="14">
        <v>45896</v>
      </c>
      <c r="C116" s="13" t="s">
        <v>51</v>
      </c>
      <c r="D116" s="13" t="s">
        <v>97</v>
      </c>
      <c r="E116" s="13" t="s">
        <v>48</v>
      </c>
      <c r="F116" s="13" t="s">
        <v>43</v>
      </c>
      <c r="G116" s="13" t="s">
        <v>23</v>
      </c>
      <c r="H116" s="13" t="s">
        <v>33</v>
      </c>
      <c r="I116" s="13" t="s">
        <v>98</v>
      </c>
      <c r="J116" s="13">
        <v>1</v>
      </c>
      <c r="K116" s="21">
        <v>750</v>
      </c>
      <c r="L116" s="21">
        <v>750</v>
      </c>
      <c r="M116" s="23">
        <v>0.2</v>
      </c>
      <c r="N116" s="21">
        <v>150</v>
      </c>
      <c r="O116" s="21">
        <v>600</v>
      </c>
      <c r="P116" s="13">
        <v>4.5999999999999996</v>
      </c>
      <c r="Q116" s="13" t="s">
        <v>26</v>
      </c>
    </row>
    <row r="117" spans="1:17" x14ac:dyDescent="0.25">
      <c r="A117" s="13" t="s">
        <v>246</v>
      </c>
      <c r="B117" s="14">
        <v>45896</v>
      </c>
      <c r="C117" s="13" t="s">
        <v>51</v>
      </c>
      <c r="D117" s="13" t="s">
        <v>52</v>
      </c>
      <c r="E117" s="13" t="s">
        <v>48</v>
      </c>
      <c r="F117" s="13" t="s">
        <v>119</v>
      </c>
      <c r="G117" s="13" t="s">
        <v>23</v>
      </c>
      <c r="H117" s="13" t="s">
        <v>24</v>
      </c>
      <c r="I117" s="13" t="s">
        <v>84</v>
      </c>
      <c r="J117" s="13">
        <v>4</v>
      </c>
      <c r="K117" s="21">
        <v>644</v>
      </c>
      <c r="L117" s="21">
        <v>2576</v>
      </c>
      <c r="M117" s="23">
        <v>0.25</v>
      </c>
      <c r="N117" s="21">
        <v>644</v>
      </c>
      <c r="O117" s="21">
        <v>1932</v>
      </c>
      <c r="P117" s="13">
        <v>3.7</v>
      </c>
      <c r="Q117" s="13" t="s">
        <v>26</v>
      </c>
    </row>
    <row r="118" spans="1:17" x14ac:dyDescent="0.25">
      <c r="A118" s="13" t="s">
        <v>247</v>
      </c>
      <c r="B118" s="14">
        <v>45896</v>
      </c>
      <c r="C118" s="13" t="s">
        <v>40</v>
      </c>
      <c r="D118" s="13" t="s">
        <v>47</v>
      </c>
      <c r="E118" s="13" t="s">
        <v>60</v>
      </c>
      <c r="F118" s="13" t="s">
        <v>31</v>
      </c>
      <c r="G118" s="13" t="s">
        <v>23</v>
      </c>
      <c r="H118" s="13" t="s">
        <v>104</v>
      </c>
      <c r="I118" s="13" t="s">
        <v>98</v>
      </c>
      <c r="J118" s="13">
        <v>1</v>
      </c>
      <c r="K118" s="21">
        <v>651</v>
      </c>
      <c r="L118" s="21">
        <v>651</v>
      </c>
      <c r="M118" s="23">
        <v>0.25</v>
      </c>
      <c r="N118" s="21">
        <v>163</v>
      </c>
      <c r="O118" s="21">
        <v>488</v>
      </c>
      <c r="P118" s="13">
        <v>4.2</v>
      </c>
      <c r="Q118" s="13" t="s">
        <v>26</v>
      </c>
    </row>
    <row r="119" spans="1:17" x14ac:dyDescent="0.25">
      <c r="A119" s="13" t="s">
        <v>248</v>
      </c>
      <c r="B119" s="14">
        <v>45896</v>
      </c>
      <c r="C119" s="13" t="s">
        <v>19</v>
      </c>
      <c r="D119" s="13" t="s">
        <v>20</v>
      </c>
      <c r="E119" s="13" t="s">
        <v>37</v>
      </c>
      <c r="F119" s="13" t="s">
        <v>79</v>
      </c>
      <c r="G119" s="13" t="s">
        <v>23</v>
      </c>
      <c r="H119" s="13" t="s">
        <v>33</v>
      </c>
      <c r="I119" s="13" t="s">
        <v>84</v>
      </c>
      <c r="J119" s="13">
        <v>4</v>
      </c>
      <c r="K119" s="21">
        <v>463</v>
      </c>
      <c r="L119" s="21">
        <v>1852</v>
      </c>
      <c r="M119" s="23">
        <v>0.05</v>
      </c>
      <c r="N119" s="21">
        <v>93</v>
      </c>
      <c r="O119" s="21">
        <v>1759</v>
      </c>
      <c r="P119" s="13">
        <v>3.7</v>
      </c>
      <c r="Q119" s="13" t="s">
        <v>26</v>
      </c>
    </row>
    <row r="120" spans="1:17" x14ac:dyDescent="0.25">
      <c r="A120" s="13" t="s">
        <v>249</v>
      </c>
      <c r="B120" s="14">
        <v>45897</v>
      </c>
      <c r="C120" s="13" t="s">
        <v>28</v>
      </c>
      <c r="D120" s="13" t="s">
        <v>95</v>
      </c>
      <c r="E120" s="13" t="s">
        <v>78</v>
      </c>
      <c r="F120" s="13" t="s">
        <v>61</v>
      </c>
      <c r="G120" s="13" t="s">
        <v>32</v>
      </c>
      <c r="H120" s="13" t="s">
        <v>24</v>
      </c>
      <c r="I120" s="13" t="s">
        <v>45</v>
      </c>
      <c r="J120" s="13">
        <v>5</v>
      </c>
      <c r="K120" s="21">
        <v>872</v>
      </c>
      <c r="L120" s="21">
        <v>4360</v>
      </c>
      <c r="M120" s="23">
        <v>0.05</v>
      </c>
      <c r="N120" s="21">
        <v>218</v>
      </c>
      <c r="O120" s="21">
        <v>4142</v>
      </c>
      <c r="P120" s="13">
        <v>3.9</v>
      </c>
      <c r="Q120" s="13" t="s">
        <v>26</v>
      </c>
    </row>
    <row r="121" spans="1:17" x14ac:dyDescent="0.25">
      <c r="A121" s="13" t="s">
        <v>251</v>
      </c>
      <c r="B121" s="14">
        <v>45897</v>
      </c>
      <c r="C121" s="13" t="s">
        <v>91</v>
      </c>
      <c r="D121" s="13" t="s">
        <v>125</v>
      </c>
      <c r="E121" s="13" t="s">
        <v>78</v>
      </c>
      <c r="F121" s="13" t="s">
        <v>72</v>
      </c>
      <c r="G121" s="13" t="s">
        <v>23</v>
      </c>
      <c r="H121" s="13" t="s">
        <v>24</v>
      </c>
      <c r="I121" s="13" t="s">
        <v>84</v>
      </c>
      <c r="J121" s="13">
        <v>3</v>
      </c>
      <c r="K121" s="21">
        <v>2420</v>
      </c>
      <c r="L121" s="21">
        <v>7260</v>
      </c>
      <c r="M121" s="23">
        <v>0.05</v>
      </c>
      <c r="N121" s="21">
        <v>363</v>
      </c>
      <c r="O121" s="21">
        <v>6897</v>
      </c>
      <c r="P121" s="13">
        <v>3.8</v>
      </c>
      <c r="Q121" s="13" t="s">
        <v>26</v>
      </c>
    </row>
    <row r="122" spans="1:17" x14ac:dyDescent="0.25">
      <c r="A122" s="13" t="s">
        <v>252</v>
      </c>
      <c r="B122" s="14">
        <v>45897</v>
      </c>
      <c r="C122" s="13" t="s">
        <v>19</v>
      </c>
      <c r="D122" s="13" t="s">
        <v>128</v>
      </c>
      <c r="E122" s="13" t="s">
        <v>71</v>
      </c>
      <c r="F122" s="13" t="s">
        <v>119</v>
      </c>
      <c r="G122" s="13" t="s">
        <v>23</v>
      </c>
      <c r="H122" s="13" t="s">
        <v>24</v>
      </c>
      <c r="I122" s="13" t="s">
        <v>98</v>
      </c>
      <c r="J122" s="13">
        <v>4</v>
      </c>
      <c r="K122" s="21">
        <v>597</v>
      </c>
      <c r="L122" s="21">
        <v>2388</v>
      </c>
      <c r="M122" s="23">
        <v>0.1</v>
      </c>
      <c r="N122" s="21">
        <v>239</v>
      </c>
      <c r="O122" s="21">
        <v>2149</v>
      </c>
      <c r="P122" s="13">
        <v>3.3</v>
      </c>
      <c r="Q122" s="13" t="s">
        <v>26</v>
      </c>
    </row>
    <row r="123" spans="1:17" x14ac:dyDescent="0.25">
      <c r="A123" s="13" t="s">
        <v>253</v>
      </c>
      <c r="B123" s="14">
        <v>45897</v>
      </c>
      <c r="C123" s="13" t="s">
        <v>63</v>
      </c>
      <c r="D123" s="13" t="s">
        <v>134</v>
      </c>
      <c r="E123" s="13" t="s">
        <v>48</v>
      </c>
      <c r="F123" s="13" t="s">
        <v>22</v>
      </c>
      <c r="G123" s="13" t="s">
        <v>23</v>
      </c>
      <c r="H123" s="13" t="s">
        <v>24</v>
      </c>
      <c r="I123" s="13" t="s">
        <v>34</v>
      </c>
      <c r="J123" s="13">
        <v>2</v>
      </c>
      <c r="K123" s="21">
        <v>549</v>
      </c>
      <c r="L123" s="21">
        <v>1098</v>
      </c>
      <c r="M123" s="23">
        <v>0.05</v>
      </c>
      <c r="N123" s="21">
        <v>55</v>
      </c>
      <c r="O123" s="21">
        <v>1043</v>
      </c>
      <c r="P123" s="13">
        <v>4.5999999999999996</v>
      </c>
      <c r="Q123" s="13" t="s">
        <v>26</v>
      </c>
    </row>
    <row r="124" spans="1:17" x14ac:dyDescent="0.25">
      <c r="A124" s="13" t="s">
        <v>254</v>
      </c>
      <c r="B124" s="14">
        <v>45898</v>
      </c>
      <c r="C124" s="13" t="s">
        <v>40</v>
      </c>
      <c r="D124" s="13" t="s">
        <v>68</v>
      </c>
      <c r="E124" s="13" t="s">
        <v>21</v>
      </c>
      <c r="F124" s="13" t="s">
        <v>43</v>
      </c>
      <c r="G124" s="13" t="s">
        <v>23</v>
      </c>
      <c r="H124" s="13" t="s">
        <v>33</v>
      </c>
      <c r="I124" s="13" t="s">
        <v>34</v>
      </c>
      <c r="J124" s="13">
        <v>4</v>
      </c>
      <c r="K124" s="21">
        <v>570</v>
      </c>
      <c r="L124" s="21">
        <v>2280</v>
      </c>
      <c r="M124" s="23">
        <v>0.15</v>
      </c>
      <c r="N124" s="21">
        <v>342</v>
      </c>
      <c r="O124" s="21">
        <v>1938</v>
      </c>
      <c r="P124" s="13">
        <v>3.7</v>
      </c>
      <c r="Q124" s="13" t="s">
        <v>26</v>
      </c>
    </row>
    <row r="125" spans="1:17" x14ac:dyDescent="0.25">
      <c r="A125" s="13" t="s">
        <v>256</v>
      </c>
      <c r="B125" s="14">
        <v>45898</v>
      </c>
      <c r="C125" s="13" t="s">
        <v>91</v>
      </c>
      <c r="D125" s="13" t="s">
        <v>110</v>
      </c>
      <c r="E125" s="13" t="s">
        <v>60</v>
      </c>
      <c r="F125" s="13" t="s">
        <v>119</v>
      </c>
      <c r="G125" s="13" t="s">
        <v>23</v>
      </c>
      <c r="H125" s="13" t="s">
        <v>24</v>
      </c>
      <c r="I125" s="13" t="s">
        <v>34</v>
      </c>
      <c r="J125" s="13">
        <v>3</v>
      </c>
      <c r="K125" s="21">
        <v>2815</v>
      </c>
      <c r="L125" s="21">
        <v>8445</v>
      </c>
      <c r="M125" s="23">
        <v>0.1</v>
      </c>
      <c r="N125" s="21">
        <v>844</v>
      </c>
      <c r="O125" s="21">
        <v>7601</v>
      </c>
      <c r="P125" s="13">
        <v>4.8</v>
      </c>
      <c r="Q125" s="13" t="s">
        <v>26</v>
      </c>
    </row>
    <row r="126" spans="1:17" x14ac:dyDescent="0.25">
      <c r="A126" s="13" t="s">
        <v>257</v>
      </c>
      <c r="B126" s="14">
        <v>45898</v>
      </c>
      <c r="C126" s="13" t="s">
        <v>51</v>
      </c>
      <c r="D126" s="13" t="s">
        <v>97</v>
      </c>
      <c r="E126" s="13" t="s">
        <v>155</v>
      </c>
      <c r="F126" s="13" t="s">
        <v>83</v>
      </c>
      <c r="G126" s="13" t="s">
        <v>32</v>
      </c>
      <c r="H126" s="13" t="s">
        <v>24</v>
      </c>
      <c r="I126" s="13" t="s">
        <v>25</v>
      </c>
      <c r="J126" s="13">
        <v>2</v>
      </c>
      <c r="K126" s="21">
        <v>179</v>
      </c>
      <c r="L126" s="21">
        <v>358</v>
      </c>
      <c r="M126" s="23">
        <v>0.1</v>
      </c>
      <c r="N126" s="21">
        <v>36</v>
      </c>
      <c r="O126" s="21">
        <v>322</v>
      </c>
      <c r="P126" s="13">
        <v>3.9</v>
      </c>
      <c r="Q126" s="13" t="s">
        <v>26</v>
      </c>
    </row>
    <row r="127" spans="1:17" x14ac:dyDescent="0.25">
      <c r="A127" s="13" t="s">
        <v>258</v>
      </c>
      <c r="B127" s="14">
        <v>45899</v>
      </c>
      <c r="C127" s="13" t="s">
        <v>19</v>
      </c>
      <c r="D127" s="13" t="s">
        <v>128</v>
      </c>
      <c r="E127" s="13" t="s">
        <v>53</v>
      </c>
      <c r="F127" s="13" t="s">
        <v>130</v>
      </c>
      <c r="G127" s="13" t="s">
        <v>32</v>
      </c>
      <c r="H127" s="13" t="s">
        <v>33</v>
      </c>
      <c r="I127" s="13" t="s">
        <v>45</v>
      </c>
      <c r="J127" s="13">
        <v>4</v>
      </c>
      <c r="K127" s="21">
        <v>250</v>
      </c>
      <c r="L127" s="21">
        <v>1000</v>
      </c>
      <c r="M127" s="23">
        <v>0.25</v>
      </c>
      <c r="N127" s="21">
        <v>250</v>
      </c>
      <c r="O127" s="21">
        <v>750</v>
      </c>
      <c r="P127" s="13">
        <v>3.6</v>
      </c>
      <c r="Q127" s="13" t="s">
        <v>75</v>
      </c>
    </row>
    <row r="128" spans="1:17" x14ac:dyDescent="0.25">
      <c r="A128" s="13" t="s">
        <v>260</v>
      </c>
      <c r="B128" s="14">
        <v>45900</v>
      </c>
      <c r="C128" s="13" t="s">
        <v>63</v>
      </c>
      <c r="D128" s="13" t="s">
        <v>134</v>
      </c>
      <c r="E128" s="13" t="s">
        <v>21</v>
      </c>
      <c r="F128" s="13" t="s">
        <v>22</v>
      </c>
      <c r="G128" s="13" t="s">
        <v>23</v>
      </c>
      <c r="H128" s="13" t="s">
        <v>33</v>
      </c>
      <c r="I128" s="13" t="s">
        <v>25</v>
      </c>
      <c r="J128" s="13">
        <v>2</v>
      </c>
      <c r="K128" s="21">
        <v>1196</v>
      </c>
      <c r="L128" s="21">
        <v>2392</v>
      </c>
      <c r="M128" s="23">
        <v>0</v>
      </c>
      <c r="N128" s="21">
        <v>0</v>
      </c>
      <c r="O128" s="21">
        <v>2392</v>
      </c>
      <c r="P128" s="13">
        <v>3.8</v>
      </c>
      <c r="Q128" s="13" t="s">
        <v>26</v>
      </c>
    </row>
    <row r="129" spans="1:17" x14ac:dyDescent="0.25">
      <c r="A129" s="13" t="s">
        <v>262</v>
      </c>
      <c r="B129" s="14">
        <v>45900</v>
      </c>
      <c r="C129" s="13" t="s">
        <v>91</v>
      </c>
      <c r="D129" s="13" t="s">
        <v>92</v>
      </c>
      <c r="E129" s="13" t="s">
        <v>37</v>
      </c>
      <c r="F129" s="13" t="s">
        <v>22</v>
      </c>
      <c r="G129" s="13" t="s">
        <v>23</v>
      </c>
      <c r="H129" s="13" t="s">
        <v>24</v>
      </c>
      <c r="I129" s="13" t="s">
        <v>84</v>
      </c>
      <c r="J129" s="13">
        <v>2</v>
      </c>
      <c r="K129" s="21">
        <v>2573</v>
      </c>
      <c r="L129" s="21">
        <v>5146</v>
      </c>
      <c r="M129" s="23">
        <v>0.3</v>
      </c>
      <c r="N129" s="21">
        <v>1544</v>
      </c>
      <c r="O129" s="21">
        <v>3602</v>
      </c>
      <c r="P129" s="13">
        <v>4.8</v>
      </c>
      <c r="Q129" s="13" t="s">
        <v>26</v>
      </c>
    </row>
    <row r="130" spans="1:17" x14ac:dyDescent="0.25">
      <c r="A130" s="13" t="s">
        <v>263</v>
      </c>
      <c r="B130" s="14">
        <v>45901</v>
      </c>
      <c r="C130" s="13" t="s">
        <v>19</v>
      </c>
      <c r="D130" s="13" t="s">
        <v>230</v>
      </c>
      <c r="E130" s="13" t="s">
        <v>42</v>
      </c>
      <c r="F130" s="13" t="s">
        <v>31</v>
      </c>
      <c r="G130" s="13" t="s">
        <v>32</v>
      </c>
      <c r="H130" s="13" t="s">
        <v>33</v>
      </c>
      <c r="I130" s="13" t="s">
        <v>45</v>
      </c>
      <c r="J130" s="13">
        <v>1</v>
      </c>
      <c r="K130" s="21">
        <v>838</v>
      </c>
      <c r="L130" s="21">
        <v>838</v>
      </c>
      <c r="M130" s="23">
        <v>0.3</v>
      </c>
      <c r="N130" s="21">
        <v>251</v>
      </c>
      <c r="O130" s="21">
        <v>587</v>
      </c>
      <c r="P130" s="13">
        <v>5</v>
      </c>
      <c r="Q130" s="13" t="s">
        <v>26</v>
      </c>
    </row>
    <row r="131" spans="1:17" x14ac:dyDescent="0.25">
      <c r="A131" s="13" t="s">
        <v>265</v>
      </c>
      <c r="B131" s="14">
        <v>45902</v>
      </c>
      <c r="C131" s="13" t="s">
        <v>40</v>
      </c>
      <c r="D131" s="13" t="s">
        <v>57</v>
      </c>
      <c r="E131" s="13" t="s">
        <v>71</v>
      </c>
      <c r="F131" s="13" t="s">
        <v>43</v>
      </c>
      <c r="G131" s="13" t="s">
        <v>23</v>
      </c>
      <c r="H131" s="13" t="s">
        <v>24</v>
      </c>
      <c r="I131" s="13" t="s">
        <v>98</v>
      </c>
      <c r="J131" s="13">
        <v>3</v>
      </c>
      <c r="K131" s="21">
        <v>992</v>
      </c>
      <c r="L131" s="21">
        <v>2976</v>
      </c>
      <c r="M131" s="23">
        <v>0.25</v>
      </c>
      <c r="N131" s="21">
        <v>744</v>
      </c>
      <c r="O131" s="21">
        <v>2232</v>
      </c>
      <c r="P131" s="13">
        <v>3.3</v>
      </c>
      <c r="Q131" s="13" t="s">
        <v>26</v>
      </c>
    </row>
    <row r="132" spans="1:17" x14ac:dyDescent="0.25">
      <c r="A132" s="13" t="s">
        <v>267</v>
      </c>
      <c r="B132" s="14">
        <v>45902</v>
      </c>
      <c r="C132" s="13" t="s">
        <v>51</v>
      </c>
      <c r="D132" s="13" t="s">
        <v>70</v>
      </c>
      <c r="E132" s="13" t="s">
        <v>21</v>
      </c>
      <c r="F132" s="13" t="s">
        <v>61</v>
      </c>
      <c r="G132" s="13" t="s">
        <v>32</v>
      </c>
      <c r="H132" s="13" t="s">
        <v>33</v>
      </c>
      <c r="I132" s="13" t="s">
        <v>34</v>
      </c>
      <c r="J132" s="13">
        <v>5</v>
      </c>
      <c r="K132" s="21">
        <v>500</v>
      </c>
      <c r="L132" s="21">
        <v>2500</v>
      </c>
      <c r="M132" s="23">
        <v>0.15</v>
      </c>
      <c r="N132" s="21">
        <v>375</v>
      </c>
      <c r="O132" s="21">
        <v>2125</v>
      </c>
      <c r="P132" s="13">
        <v>3.3</v>
      </c>
      <c r="Q132" s="13" t="s">
        <v>26</v>
      </c>
    </row>
    <row r="133" spans="1:17" x14ac:dyDescent="0.25">
      <c r="A133" s="13" t="s">
        <v>268</v>
      </c>
      <c r="B133" s="14">
        <v>45902</v>
      </c>
      <c r="C133" s="13" t="s">
        <v>51</v>
      </c>
      <c r="D133" s="13" t="s">
        <v>70</v>
      </c>
      <c r="E133" s="13" t="s">
        <v>30</v>
      </c>
      <c r="F133" s="13" t="s">
        <v>65</v>
      </c>
      <c r="G133" s="13" t="s">
        <v>23</v>
      </c>
      <c r="H133" s="13" t="s">
        <v>33</v>
      </c>
      <c r="I133" s="13" t="s">
        <v>34</v>
      </c>
      <c r="J133" s="13">
        <v>4</v>
      </c>
      <c r="K133" s="21">
        <v>602</v>
      </c>
      <c r="L133" s="21">
        <v>2408</v>
      </c>
      <c r="M133" s="23">
        <v>0.2</v>
      </c>
      <c r="N133" s="21">
        <v>482</v>
      </c>
      <c r="O133" s="21">
        <v>1926</v>
      </c>
      <c r="P133" s="13">
        <v>3.4</v>
      </c>
      <c r="Q133" s="13" t="s">
        <v>26</v>
      </c>
    </row>
    <row r="134" spans="1:17" x14ac:dyDescent="0.25">
      <c r="A134" s="13" t="s">
        <v>269</v>
      </c>
      <c r="B134" s="14">
        <v>45903</v>
      </c>
      <c r="C134" s="13" t="s">
        <v>28</v>
      </c>
      <c r="D134" s="13" t="s">
        <v>163</v>
      </c>
      <c r="E134" s="13" t="s">
        <v>42</v>
      </c>
      <c r="F134" s="13" t="s">
        <v>130</v>
      </c>
      <c r="G134" s="13" t="s">
        <v>23</v>
      </c>
      <c r="H134" s="13" t="s">
        <v>104</v>
      </c>
      <c r="I134" s="13" t="s">
        <v>45</v>
      </c>
      <c r="J134" s="13">
        <v>2</v>
      </c>
      <c r="K134" s="21">
        <v>1296</v>
      </c>
      <c r="L134" s="21">
        <v>2592</v>
      </c>
      <c r="M134" s="23">
        <v>0.25</v>
      </c>
      <c r="N134" s="21">
        <v>648</v>
      </c>
      <c r="O134" s="21">
        <v>1944</v>
      </c>
      <c r="P134" s="13">
        <v>3.5</v>
      </c>
      <c r="Q134" s="13" t="s">
        <v>26</v>
      </c>
    </row>
    <row r="135" spans="1:17" x14ac:dyDescent="0.25">
      <c r="A135" s="13" t="s">
        <v>271</v>
      </c>
      <c r="B135" s="14">
        <v>45903</v>
      </c>
      <c r="C135" s="13" t="s">
        <v>91</v>
      </c>
      <c r="D135" s="13" t="s">
        <v>110</v>
      </c>
      <c r="E135" s="13" t="s">
        <v>71</v>
      </c>
      <c r="F135" s="13" t="s">
        <v>31</v>
      </c>
      <c r="G135" s="13" t="s">
        <v>32</v>
      </c>
      <c r="H135" s="13" t="s">
        <v>104</v>
      </c>
      <c r="I135" s="13" t="s">
        <v>84</v>
      </c>
      <c r="J135" s="13">
        <v>3</v>
      </c>
      <c r="K135" s="21">
        <v>1818</v>
      </c>
      <c r="L135" s="21">
        <v>5454</v>
      </c>
      <c r="M135" s="23">
        <v>0.2</v>
      </c>
      <c r="N135" s="21">
        <v>1091</v>
      </c>
      <c r="O135" s="21">
        <v>4363</v>
      </c>
      <c r="P135" s="13">
        <v>4</v>
      </c>
      <c r="Q135" s="13" t="s">
        <v>26</v>
      </c>
    </row>
    <row r="136" spans="1:17" x14ac:dyDescent="0.25">
      <c r="A136" s="13" t="s">
        <v>272</v>
      </c>
      <c r="B136" s="14">
        <v>45904</v>
      </c>
      <c r="C136" s="13" t="s">
        <v>63</v>
      </c>
      <c r="D136" s="13" t="s">
        <v>64</v>
      </c>
      <c r="E136" s="13" t="s">
        <v>60</v>
      </c>
      <c r="F136" s="13" t="s">
        <v>31</v>
      </c>
      <c r="G136" s="13" t="s">
        <v>32</v>
      </c>
      <c r="H136" s="13" t="s">
        <v>104</v>
      </c>
      <c r="I136" s="13" t="s">
        <v>98</v>
      </c>
      <c r="J136" s="13">
        <v>4</v>
      </c>
      <c r="K136" s="21">
        <v>2186</v>
      </c>
      <c r="L136" s="21">
        <v>8744</v>
      </c>
      <c r="M136" s="23">
        <v>0.3</v>
      </c>
      <c r="N136" s="21">
        <v>2623</v>
      </c>
      <c r="O136" s="21">
        <v>6121</v>
      </c>
      <c r="P136" s="13">
        <v>4.9000000000000004</v>
      </c>
      <c r="Q136" s="13" t="s">
        <v>26</v>
      </c>
    </row>
    <row r="137" spans="1:17" x14ac:dyDescent="0.25">
      <c r="A137" s="13" t="s">
        <v>274</v>
      </c>
      <c r="B137" s="14">
        <v>45904</v>
      </c>
      <c r="C137" s="13" t="s">
        <v>63</v>
      </c>
      <c r="D137" s="13" t="s">
        <v>64</v>
      </c>
      <c r="E137" s="13" t="s">
        <v>82</v>
      </c>
      <c r="F137" s="13" t="s">
        <v>72</v>
      </c>
      <c r="G137" s="13" t="s">
        <v>23</v>
      </c>
      <c r="H137" s="13" t="s">
        <v>33</v>
      </c>
      <c r="I137" s="13" t="s">
        <v>34</v>
      </c>
      <c r="J137" s="13">
        <v>5</v>
      </c>
      <c r="K137" s="21">
        <v>2250</v>
      </c>
      <c r="L137" s="21">
        <v>11250</v>
      </c>
      <c r="M137" s="23">
        <v>0.15</v>
      </c>
      <c r="N137" s="21">
        <v>1688</v>
      </c>
      <c r="O137" s="21">
        <v>9562</v>
      </c>
      <c r="P137" s="13">
        <v>5</v>
      </c>
      <c r="Q137" s="13" t="s">
        <v>26</v>
      </c>
    </row>
    <row r="138" spans="1:17" x14ac:dyDescent="0.25">
      <c r="A138" s="13" t="s">
        <v>275</v>
      </c>
      <c r="B138" s="14">
        <v>45905</v>
      </c>
      <c r="C138" s="13" t="s">
        <v>19</v>
      </c>
      <c r="D138" s="13" t="s">
        <v>230</v>
      </c>
      <c r="E138" s="13" t="s">
        <v>37</v>
      </c>
      <c r="F138" s="13" t="s">
        <v>130</v>
      </c>
      <c r="G138" s="13" t="s">
        <v>23</v>
      </c>
      <c r="H138" s="13" t="s">
        <v>33</v>
      </c>
      <c r="I138" s="13" t="s">
        <v>25</v>
      </c>
      <c r="J138" s="13">
        <v>4</v>
      </c>
      <c r="K138" s="21">
        <v>195</v>
      </c>
      <c r="L138" s="21">
        <v>780</v>
      </c>
      <c r="M138" s="23">
        <v>0.15</v>
      </c>
      <c r="N138" s="21">
        <v>117</v>
      </c>
      <c r="O138" s="21">
        <v>663</v>
      </c>
      <c r="P138" s="13">
        <v>3.9</v>
      </c>
      <c r="Q138" s="13" t="s">
        <v>26</v>
      </c>
    </row>
    <row r="139" spans="1:17" x14ac:dyDescent="0.25">
      <c r="A139" s="13" t="s">
        <v>277</v>
      </c>
      <c r="B139" s="14">
        <v>45906</v>
      </c>
      <c r="C139" s="13" t="s">
        <v>63</v>
      </c>
      <c r="D139" s="13" t="s">
        <v>143</v>
      </c>
      <c r="E139" s="13" t="s">
        <v>53</v>
      </c>
      <c r="F139" s="13" t="s">
        <v>79</v>
      </c>
      <c r="G139" s="13" t="s">
        <v>23</v>
      </c>
      <c r="H139" s="13" t="s">
        <v>24</v>
      </c>
      <c r="I139" s="13" t="s">
        <v>98</v>
      </c>
      <c r="J139" s="13">
        <v>2</v>
      </c>
      <c r="K139" s="21">
        <v>1913</v>
      </c>
      <c r="L139" s="21">
        <v>3826</v>
      </c>
      <c r="M139" s="23">
        <v>0</v>
      </c>
      <c r="N139" s="21">
        <v>0</v>
      </c>
      <c r="O139" s="21">
        <v>3826</v>
      </c>
      <c r="P139" s="13">
        <v>3.9</v>
      </c>
      <c r="Q139" s="13" t="s">
        <v>26</v>
      </c>
    </row>
    <row r="140" spans="1:17" x14ac:dyDescent="0.25">
      <c r="A140" s="13" t="s">
        <v>279</v>
      </c>
      <c r="B140" s="14">
        <v>45906</v>
      </c>
      <c r="C140" s="13" t="s">
        <v>63</v>
      </c>
      <c r="D140" s="13" t="s">
        <v>134</v>
      </c>
      <c r="E140" s="13" t="s">
        <v>78</v>
      </c>
      <c r="F140" s="13" t="s">
        <v>83</v>
      </c>
      <c r="G140" s="13" t="s">
        <v>23</v>
      </c>
      <c r="H140" s="13" t="s">
        <v>33</v>
      </c>
      <c r="I140" s="13" t="s">
        <v>25</v>
      </c>
      <c r="J140" s="13">
        <v>4</v>
      </c>
      <c r="K140" s="21">
        <v>1444</v>
      </c>
      <c r="L140" s="21">
        <v>5776</v>
      </c>
      <c r="M140" s="23">
        <v>0.15</v>
      </c>
      <c r="N140" s="21">
        <v>866</v>
      </c>
      <c r="O140" s="21">
        <v>4910</v>
      </c>
      <c r="P140" s="13">
        <v>4.2</v>
      </c>
      <c r="Q140" s="13" t="s">
        <v>26</v>
      </c>
    </row>
    <row r="141" spans="1:17" x14ac:dyDescent="0.25">
      <c r="A141" s="13" t="s">
        <v>280</v>
      </c>
      <c r="B141" s="14">
        <v>45906</v>
      </c>
      <c r="C141" s="13" t="s">
        <v>28</v>
      </c>
      <c r="D141" s="13" t="s">
        <v>29</v>
      </c>
      <c r="E141" s="13" t="s">
        <v>60</v>
      </c>
      <c r="F141" s="13" t="s">
        <v>119</v>
      </c>
      <c r="G141" s="13" t="s">
        <v>32</v>
      </c>
      <c r="H141" s="13" t="s">
        <v>104</v>
      </c>
      <c r="I141" s="13" t="s">
        <v>34</v>
      </c>
      <c r="J141" s="13">
        <v>3</v>
      </c>
      <c r="K141" s="21">
        <v>373</v>
      </c>
      <c r="L141" s="21">
        <v>1119</v>
      </c>
      <c r="M141" s="23">
        <v>0.3</v>
      </c>
      <c r="N141" s="21">
        <v>336</v>
      </c>
      <c r="O141" s="21">
        <v>783</v>
      </c>
      <c r="P141" s="13">
        <v>4.2</v>
      </c>
      <c r="Q141" s="13" t="s">
        <v>26</v>
      </c>
    </row>
    <row r="142" spans="1:17" x14ac:dyDescent="0.25">
      <c r="A142" s="13" t="s">
        <v>281</v>
      </c>
      <c r="B142" s="14">
        <v>45907</v>
      </c>
      <c r="C142" s="13" t="s">
        <v>51</v>
      </c>
      <c r="D142" s="13" t="s">
        <v>52</v>
      </c>
      <c r="E142" s="13" t="s">
        <v>42</v>
      </c>
      <c r="F142" s="13" t="s">
        <v>61</v>
      </c>
      <c r="G142" s="13" t="s">
        <v>23</v>
      </c>
      <c r="H142" s="13" t="s">
        <v>33</v>
      </c>
      <c r="I142" s="13" t="s">
        <v>98</v>
      </c>
      <c r="J142" s="13">
        <v>3</v>
      </c>
      <c r="K142" s="21">
        <v>419</v>
      </c>
      <c r="L142" s="21">
        <v>1257</v>
      </c>
      <c r="M142" s="23">
        <v>0.2</v>
      </c>
      <c r="N142" s="21">
        <v>251</v>
      </c>
      <c r="O142" s="21">
        <v>1006</v>
      </c>
      <c r="P142" s="13">
        <v>4.8</v>
      </c>
      <c r="Q142" s="13" t="s">
        <v>26</v>
      </c>
    </row>
    <row r="143" spans="1:17" x14ac:dyDescent="0.25">
      <c r="A143" s="13" t="s">
        <v>283</v>
      </c>
      <c r="B143" s="14">
        <v>45907</v>
      </c>
      <c r="C143" s="13" t="s">
        <v>51</v>
      </c>
      <c r="D143" s="13" t="s">
        <v>97</v>
      </c>
      <c r="E143" s="13" t="s">
        <v>60</v>
      </c>
      <c r="F143" s="13" t="s">
        <v>61</v>
      </c>
      <c r="G143" s="13" t="s">
        <v>23</v>
      </c>
      <c r="H143" s="13" t="s">
        <v>24</v>
      </c>
      <c r="I143" s="13" t="s">
        <v>34</v>
      </c>
      <c r="J143" s="13">
        <v>5</v>
      </c>
      <c r="K143" s="21">
        <v>156</v>
      </c>
      <c r="L143" s="21">
        <v>780</v>
      </c>
      <c r="M143" s="23">
        <v>0.05</v>
      </c>
      <c r="N143" s="21">
        <v>39</v>
      </c>
      <c r="O143" s="21">
        <v>741</v>
      </c>
      <c r="P143" s="13">
        <v>4.7</v>
      </c>
      <c r="Q143" s="13" t="s">
        <v>26</v>
      </c>
    </row>
    <row r="144" spans="1:17" x14ac:dyDescent="0.25">
      <c r="A144" s="13" t="s">
        <v>284</v>
      </c>
      <c r="B144" s="14">
        <v>45907</v>
      </c>
      <c r="C144" s="13" t="s">
        <v>19</v>
      </c>
      <c r="D144" s="13" t="s">
        <v>121</v>
      </c>
      <c r="E144" s="13" t="s">
        <v>48</v>
      </c>
      <c r="F144" s="13" t="s">
        <v>65</v>
      </c>
      <c r="G144" s="13" t="s">
        <v>23</v>
      </c>
      <c r="H144" s="13" t="s">
        <v>24</v>
      </c>
      <c r="I144" s="13" t="s">
        <v>25</v>
      </c>
      <c r="J144" s="13">
        <v>3</v>
      </c>
      <c r="K144" s="21">
        <v>658</v>
      </c>
      <c r="L144" s="21">
        <v>1974</v>
      </c>
      <c r="M144" s="23">
        <v>0.2</v>
      </c>
      <c r="N144" s="21">
        <v>395</v>
      </c>
      <c r="O144" s="21">
        <v>1579</v>
      </c>
      <c r="P144" s="13">
        <v>3.9</v>
      </c>
      <c r="Q144" s="13" t="s">
        <v>26</v>
      </c>
    </row>
    <row r="145" spans="1:17" x14ac:dyDescent="0.25">
      <c r="A145" s="13" t="s">
        <v>285</v>
      </c>
      <c r="B145" s="14">
        <v>45907</v>
      </c>
      <c r="C145" s="13" t="s">
        <v>19</v>
      </c>
      <c r="D145" s="13" t="s">
        <v>128</v>
      </c>
      <c r="E145" s="13" t="s">
        <v>155</v>
      </c>
      <c r="F145" s="13" t="s">
        <v>83</v>
      </c>
      <c r="G145" s="13" t="s">
        <v>23</v>
      </c>
      <c r="H145" s="13" t="s">
        <v>33</v>
      </c>
      <c r="I145" s="13" t="s">
        <v>25</v>
      </c>
      <c r="J145" s="13">
        <v>4</v>
      </c>
      <c r="K145" s="21">
        <v>631</v>
      </c>
      <c r="L145" s="21">
        <v>2524</v>
      </c>
      <c r="M145" s="23">
        <v>0.05</v>
      </c>
      <c r="N145" s="21">
        <v>126</v>
      </c>
      <c r="O145" s="21">
        <v>2398</v>
      </c>
      <c r="P145" s="13">
        <v>3.5</v>
      </c>
      <c r="Q145" s="13" t="s">
        <v>26</v>
      </c>
    </row>
    <row r="146" spans="1:17" x14ac:dyDescent="0.25">
      <c r="A146" s="13" t="s">
        <v>286</v>
      </c>
      <c r="B146" s="14">
        <v>45908</v>
      </c>
      <c r="C146" s="13" t="s">
        <v>51</v>
      </c>
      <c r="D146" s="13" t="s">
        <v>97</v>
      </c>
      <c r="E146" s="13" t="s">
        <v>155</v>
      </c>
      <c r="F146" s="13" t="s">
        <v>72</v>
      </c>
      <c r="G146" s="13" t="s">
        <v>23</v>
      </c>
      <c r="H146" s="13" t="s">
        <v>33</v>
      </c>
      <c r="I146" s="13" t="s">
        <v>45</v>
      </c>
      <c r="J146" s="13">
        <v>3</v>
      </c>
      <c r="K146" s="21">
        <v>756</v>
      </c>
      <c r="L146" s="21">
        <v>2268</v>
      </c>
      <c r="M146" s="23">
        <v>0.2</v>
      </c>
      <c r="N146" s="21">
        <v>454</v>
      </c>
      <c r="O146" s="21">
        <v>1814</v>
      </c>
      <c r="P146" s="13">
        <v>3.7</v>
      </c>
      <c r="Q146" s="13" t="s">
        <v>26</v>
      </c>
    </row>
    <row r="147" spans="1:17" x14ac:dyDescent="0.25">
      <c r="A147" s="13" t="s">
        <v>288</v>
      </c>
      <c r="B147" s="14">
        <v>45908</v>
      </c>
      <c r="C147" s="13" t="s">
        <v>91</v>
      </c>
      <c r="D147" s="13" t="s">
        <v>110</v>
      </c>
      <c r="E147" s="13" t="s">
        <v>30</v>
      </c>
      <c r="F147" s="13" t="s">
        <v>61</v>
      </c>
      <c r="G147" s="13" t="s">
        <v>23</v>
      </c>
      <c r="H147" s="13" t="s">
        <v>33</v>
      </c>
      <c r="I147" s="13" t="s">
        <v>98</v>
      </c>
      <c r="J147" s="13">
        <v>3</v>
      </c>
      <c r="K147" s="21">
        <v>1655</v>
      </c>
      <c r="L147" s="21">
        <v>4965</v>
      </c>
      <c r="M147" s="23">
        <v>0.3</v>
      </c>
      <c r="N147" s="21">
        <v>1490</v>
      </c>
      <c r="O147" s="21">
        <v>3475</v>
      </c>
      <c r="P147" s="13">
        <v>3.9</v>
      </c>
      <c r="Q147" s="13" t="s">
        <v>26</v>
      </c>
    </row>
    <row r="148" spans="1:17" x14ac:dyDescent="0.25">
      <c r="A148" s="13" t="s">
        <v>289</v>
      </c>
      <c r="B148" s="14">
        <v>45908</v>
      </c>
      <c r="C148" s="13" t="s">
        <v>28</v>
      </c>
      <c r="D148" s="13" t="s">
        <v>95</v>
      </c>
      <c r="E148" s="13" t="s">
        <v>42</v>
      </c>
      <c r="F148" s="13" t="s">
        <v>79</v>
      </c>
      <c r="G148" s="13" t="s">
        <v>23</v>
      </c>
      <c r="H148" s="13" t="s">
        <v>24</v>
      </c>
      <c r="I148" s="13" t="s">
        <v>45</v>
      </c>
      <c r="J148" s="13">
        <v>4</v>
      </c>
      <c r="K148" s="21">
        <v>544</v>
      </c>
      <c r="L148" s="21">
        <v>2176</v>
      </c>
      <c r="M148" s="23">
        <v>0</v>
      </c>
      <c r="N148" s="21">
        <v>0</v>
      </c>
      <c r="O148" s="21">
        <v>2176</v>
      </c>
      <c r="P148" s="13">
        <v>4.2</v>
      </c>
      <c r="Q148" s="13" t="s">
        <v>75</v>
      </c>
    </row>
    <row r="149" spans="1:17" x14ac:dyDescent="0.25">
      <c r="A149" s="13" t="s">
        <v>290</v>
      </c>
      <c r="B149" s="14">
        <v>45908</v>
      </c>
      <c r="C149" s="13" t="s">
        <v>19</v>
      </c>
      <c r="D149" s="13" t="s">
        <v>230</v>
      </c>
      <c r="E149" s="13" t="s">
        <v>82</v>
      </c>
      <c r="F149" s="13" t="s">
        <v>43</v>
      </c>
      <c r="G149" s="13" t="s">
        <v>23</v>
      </c>
      <c r="H149" s="13" t="s">
        <v>104</v>
      </c>
      <c r="I149" s="13" t="s">
        <v>45</v>
      </c>
      <c r="J149" s="13">
        <v>4</v>
      </c>
      <c r="K149" s="21">
        <v>468</v>
      </c>
      <c r="L149" s="21">
        <v>1872</v>
      </c>
      <c r="M149" s="23">
        <v>0.25</v>
      </c>
      <c r="N149" s="21">
        <v>468</v>
      </c>
      <c r="O149" s="21">
        <v>1404</v>
      </c>
      <c r="P149" s="13">
        <v>4.9000000000000004</v>
      </c>
      <c r="Q149" s="13" t="s">
        <v>26</v>
      </c>
    </row>
    <row r="150" spans="1:17" x14ac:dyDescent="0.25">
      <c r="A150" s="13" t="s">
        <v>291</v>
      </c>
      <c r="B150" s="14">
        <v>45909</v>
      </c>
      <c r="C150" s="13" t="s">
        <v>91</v>
      </c>
      <c r="D150" s="13" t="s">
        <v>110</v>
      </c>
      <c r="E150" s="13" t="s">
        <v>82</v>
      </c>
      <c r="F150" s="13" t="s">
        <v>83</v>
      </c>
      <c r="G150" s="13" t="s">
        <v>23</v>
      </c>
      <c r="H150" s="13" t="s">
        <v>104</v>
      </c>
      <c r="I150" s="13" t="s">
        <v>45</v>
      </c>
      <c r="J150" s="13">
        <v>2</v>
      </c>
      <c r="K150" s="21">
        <v>1290</v>
      </c>
      <c r="L150" s="21">
        <v>2580</v>
      </c>
      <c r="M150" s="23">
        <v>0.25</v>
      </c>
      <c r="N150" s="21">
        <v>645</v>
      </c>
      <c r="O150" s="21">
        <v>1935</v>
      </c>
      <c r="P150" s="13">
        <v>3.5</v>
      </c>
      <c r="Q150" s="13" t="s">
        <v>26</v>
      </c>
    </row>
    <row r="151" spans="1:17" x14ac:dyDescent="0.25">
      <c r="A151" s="13" t="s">
        <v>293</v>
      </c>
      <c r="B151" s="14">
        <v>45909</v>
      </c>
      <c r="C151" s="13" t="s">
        <v>40</v>
      </c>
      <c r="D151" s="13" t="s">
        <v>113</v>
      </c>
      <c r="E151" s="13" t="s">
        <v>30</v>
      </c>
      <c r="F151" s="13" t="s">
        <v>43</v>
      </c>
      <c r="G151" s="13" t="s">
        <v>32</v>
      </c>
      <c r="H151" s="13" t="s">
        <v>104</v>
      </c>
      <c r="I151" s="13" t="s">
        <v>34</v>
      </c>
      <c r="J151" s="13">
        <v>2</v>
      </c>
      <c r="K151" s="21">
        <v>665</v>
      </c>
      <c r="L151" s="21">
        <v>1330</v>
      </c>
      <c r="M151" s="23">
        <v>0.05</v>
      </c>
      <c r="N151" s="21">
        <v>66</v>
      </c>
      <c r="O151" s="21">
        <v>1264</v>
      </c>
      <c r="P151" s="13">
        <v>3.9</v>
      </c>
      <c r="Q151" s="13" t="s">
        <v>26</v>
      </c>
    </row>
    <row r="152" spans="1:17" x14ac:dyDescent="0.25">
      <c r="A152" s="13" t="s">
        <v>294</v>
      </c>
      <c r="B152" s="14">
        <v>45909</v>
      </c>
      <c r="C152" s="13" t="s">
        <v>63</v>
      </c>
      <c r="D152" s="13" t="s">
        <v>64</v>
      </c>
      <c r="E152" s="13" t="s">
        <v>82</v>
      </c>
      <c r="F152" s="13" t="s">
        <v>22</v>
      </c>
      <c r="G152" s="13" t="s">
        <v>32</v>
      </c>
      <c r="H152" s="13" t="s">
        <v>33</v>
      </c>
      <c r="I152" s="13" t="s">
        <v>45</v>
      </c>
      <c r="J152" s="13">
        <v>2</v>
      </c>
      <c r="K152" s="21">
        <v>2218</v>
      </c>
      <c r="L152" s="21">
        <v>4436</v>
      </c>
      <c r="M152" s="23">
        <v>0.1</v>
      </c>
      <c r="N152" s="21">
        <v>444</v>
      </c>
      <c r="O152" s="21">
        <v>3992</v>
      </c>
      <c r="P152" s="13">
        <v>3.4</v>
      </c>
      <c r="Q152" s="13" t="s">
        <v>26</v>
      </c>
    </row>
    <row r="153" spans="1:17" x14ac:dyDescent="0.25">
      <c r="A153" s="13" t="s">
        <v>295</v>
      </c>
      <c r="B153" s="14">
        <v>45909</v>
      </c>
      <c r="C153" s="13" t="s">
        <v>51</v>
      </c>
      <c r="D153" s="13" t="s">
        <v>70</v>
      </c>
      <c r="E153" s="13" t="s">
        <v>42</v>
      </c>
      <c r="F153" s="13" t="s">
        <v>43</v>
      </c>
      <c r="G153" s="13" t="s">
        <v>23</v>
      </c>
      <c r="H153" s="13" t="s">
        <v>33</v>
      </c>
      <c r="I153" s="13" t="s">
        <v>45</v>
      </c>
      <c r="J153" s="13">
        <v>5</v>
      </c>
      <c r="K153" s="21">
        <v>665</v>
      </c>
      <c r="L153" s="21">
        <v>3325</v>
      </c>
      <c r="M153" s="23">
        <v>0.1</v>
      </c>
      <c r="N153" s="21">
        <v>332</v>
      </c>
      <c r="O153" s="21">
        <v>2993</v>
      </c>
      <c r="P153" s="13">
        <v>4.9000000000000004</v>
      </c>
      <c r="Q153" s="13" t="s">
        <v>26</v>
      </c>
    </row>
    <row r="154" spans="1:17" x14ac:dyDescent="0.25">
      <c r="A154" s="13" t="s">
        <v>296</v>
      </c>
      <c r="B154" s="14">
        <v>45909</v>
      </c>
      <c r="C154" s="13" t="s">
        <v>40</v>
      </c>
      <c r="D154" s="13" t="s">
        <v>68</v>
      </c>
      <c r="E154" s="13" t="s">
        <v>82</v>
      </c>
      <c r="F154" s="13" t="s">
        <v>130</v>
      </c>
      <c r="G154" s="13" t="s">
        <v>23</v>
      </c>
      <c r="H154" s="13" t="s">
        <v>33</v>
      </c>
      <c r="I154" s="13" t="s">
        <v>84</v>
      </c>
      <c r="J154" s="13">
        <v>4</v>
      </c>
      <c r="K154" s="21">
        <v>837</v>
      </c>
      <c r="L154" s="21">
        <v>3348</v>
      </c>
      <c r="M154" s="23">
        <v>0</v>
      </c>
      <c r="N154" s="21">
        <v>0</v>
      </c>
      <c r="O154" s="21">
        <v>3348</v>
      </c>
      <c r="P154" s="13">
        <v>4.8</v>
      </c>
      <c r="Q154" s="13" t="s">
        <v>26</v>
      </c>
    </row>
    <row r="155" spans="1:17" x14ac:dyDescent="0.25">
      <c r="A155" s="13" t="s">
        <v>297</v>
      </c>
      <c r="B155" s="14">
        <v>45909</v>
      </c>
      <c r="C155" s="13" t="s">
        <v>91</v>
      </c>
      <c r="D155" s="13" t="s">
        <v>110</v>
      </c>
      <c r="E155" s="13" t="s">
        <v>42</v>
      </c>
      <c r="F155" s="13" t="s">
        <v>31</v>
      </c>
      <c r="G155" s="13" t="s">
        <v>23</v>
      </c>
      <c r="H155" s="13" t="s">
        <v>33</v>
      </c>
      <c r="I155" s="13" t="s">
        <v>25</v>
      </c>
      <c r="J155" s="13">
        <v>5</v>
      </c>
      <c r="K155" s="21">
        <v>2426</v>
      </c>
      <c r="L155" s="21">
        <v>12130</v>
      </c>
      <c r="M155" s="23">
        <v>0.3</v>
      </c>
      <c r="N155" s="21">
        <v>3639</v>
      </c>
      <c r="O155" s="21">
        <v>8491</v>
      </c>
      <c r="P155" s="13">
        <v>4.5</v>
      </c>
      <c r="Q155" s="13" t="s">
        <v>26</v>
      </c>
    </row>
    <row r="156" spans="1:17" x14ac:dyDescent="0.25">
      <c r="A156" s="13" t="s">
        <v>298</v>
      </c>
      <c r="B156" s="14">
        <v>45910</v>
      </c>
      <c r="C156" s="13" t="s">
        <v>51</v>
      </c>
      <c r="D156" s="13" t="s">
        <v>52</v>
      </c>
      <c r="E156" s="13" t="s">
        <v>71</v>
      </c>
      <c r="F156" s="13" t="s">
        <v>61</v>
      </c>
      <c r="G156" s="13" t="s">
        <v>23</v>
      </c>
      <c r="H156" s="13" t="s">
        <v>24</v>
      </c>
      <c r="I156" s="13" t="s">
        <v>34</v>
      </c>
      <c r="J156" s="13">
        <v>2</v>
      </c>
      <c r="K156" s="21">
        <v>247</v>
      </c>
      <c r="L156" s="21">
        <v>494</v>
      </c>
      <c r="M156" s="23">
        <v>0.05</v>
      </c>
      <c r="N156" s="21">
        <v>25</v>
      </c>
      <c r="O156" s="21">
        <v>469</v>
      </c>
      <c r="P156" s="13">
        <v>3.9</v>
      </c>
      <c r="Q156" s="13" t="s">
        <v>26</v>
      </c>
    </row>
    <row r="157" spans="1:17" x14ac:dyDescent="0.25">
      <c r="A157" s="13" t="s">
        <v>300</v>
      </c>
      <c r="B157" s="14">
        <v>45910</v>
      </c>
      <c r="C157" s="13" t="s">
        <v>28</v>
      </c>
      <c r="D157" s="13" t="s">
        <v>29</v>
      </c>
      <c r="E157" s="13" t="s">
        <v>71</v>
      </c>
      <c r="F157" s="13" t="s">
        <v>119</v>
      </c>
      <c r="G157" s="13" t="s">
        <v>44</v>
      </c>
      <c r="H157" s="13" t="s">
        <v>24</v>
      </c>
      <c r="I157" s="13" t="s">
        <v>45</v>
      </c>
      <c r="J157" s="13">
        <v>5</v>
      </c>
      <c r="K157" s="21">
        <v>1012</v>
      </c>
      <c r="L157" s="21">
        <v>5060</v>
      </c>
      <c r="M157" s="23">
        <v>0.1</v>
      </c>
      <c r="N157" s="21">
        <v>506</v>
      </c>
      <c r="O157" s="21">
        <v>4554</v>
      </c>
      <c r="P157" s="13">
        <v>4.3</v>
      </c>
      <c r="Q157" s="13" t="s">
        <v>26</v>
      </c>
    </row>
    <row r="158" spans="1:17" x14ac:dyDescent="0.25">
      <c r="A158" s="13" t="s">
        <v>301</v>
      </c>
      <c r="B158" s="14">
        <v>45910</v>
      </c>
      <c r="C158" s="13" t="s">
        <v>91</v>
      </c>
      <c r="D158" s="13" t="s">
        <v>110</v>
      </c>
      <c r="E158" s="13" t="s">
        <v>60</v>
      </c>
      <c r="F158" s="13" t="s">
        <v>83</v>
      </c>
      <c r="G158" s="13" t="s">
        <v>32</v>
      </c>
      <c r="H158" s="13" t="s">
        <v>33</v>
      </c>
      <c r="I158" s="13" t="s">
        <v>98</v>
      </c>
      <c r="J158" s="13">
        <v>4</v>
      </c>
      <c r="K158" s="21">
        <v>2744</v>
      </c>
      <c r="L158" s="21">
        <v>10976</v>
      </c>
      <c r="M158" s="23">
        <v>0.15</v>
      </c>
      <c r="N158" s="21">
        <v>1646</v>
      </c>
      <c r="O158" s="21">
        <v>9330</v>
      </c>
      <c r="P158" s="13">
        <v>3.9</v>
      </c>
      <c r="Q158" s="13" t="s">
        <v>75</v>
      </c>
    </row>
    <row r="159" spans="1:17" x14ac:dyDescent="0.25">
      <c r="A159" s="13" t="s">
        <v>302</v>
      </c>
      <c r="B159" s="14">
        <v>45910</v>
      </c>
      <c r="C159" s="13" t="s">
        <v>63</v>
      </c>
      <c r="D159" s="13" t="s">
        <v>143</v>
      </c>
      <c r="E159" s="13" t="s">
        <v>155</v>
      </c>
      <c r="F159" s="13" t="s">
        <v>130</v>
      </c>
      <c r="G159" s="13" t="s">
        <v>32</v>
      </c>
      <c r="H159" s="13" t="s">
        <v>104</v>
      </c>
      <c r="I159" s="13" t="s">
        <v>34</v>
      </c>
      <c r="J159" s="13">
        <v>2</v>
      </c>
      <c r="K159" s="21">
        <v>1173</v>
      </c>
      <c r="L159" s="21">
        <v>2346</v>
      </c>
      <c r="M159" s="23">
        <v>0.2</v>
      </c>
      <c r="N159" s="21">
        <v>469</v>
      </c>
      <c r="O159" s="21">
        <v>1877</v>
      </c>
      <c r="P159" s="13">
        <v>4.4000000000000004</v>
      </c>
      <c r="Q159" s="13" t="s">
        <v>26</v>
      </c>
    </row>
    <row r="160" spans="1:17" x14ac:dyDescent="0.25">
      <c r="A160" s="13" t="s">
        <v>303</v>
      </c>
      <c r="B160" s="14">
        <v>45910</v>
      </c>
      <c r="C160" s="13" t="s">
        <v>63</v>
      </c>
      <c r="D160" s="13" t="s">
        <v>64</v>
      </c>
      <c r="E160" s="13" t="s">
        <v>30</v>
      </c>
      <c r="F160" s="13" t="s">
        <v>43</v>
      </c>
      <c r="G160" s="13" t="s">
        <v>23</v>
      </c>
      <c r="H160" s="13" t="s">
        <v>24</v>
      </c>
      <c r="I160" s="13" t="s">
        <v>34</v>
      </c>
      <c r="J160" s="13">
        <v>5</v>
      </c>
      <c r="K160" s="21">
        <v>1622</v>
      </c>
      <c r="L160" s="21">
        <v>8110</v>
      </c>
      <c r="M160" s="23">
        <v>0.3</v>
      </c>
      <c r="N160" s="21">
        <v>2433</v>
      </c>
      <c r="O160" s="21">
        <v>5677</v>
      </c>
      <c r="P160" s="13">
        <v>4.5999999999999996</v>
      </c>
      <c r="Q160" s="13" t="s">
        <v>26</v>
      </c>
    </row>
    <row r="161" spans="1:17" x14ac:dyDescent="0.25">
      <c r="A161" s="13" t="s">
        <v>304</v>
      </c>
      <c r="B161" s="14">
        <v>45911</v>
      </c>
      <c r="C161" s="13" t="s">
        <v>63</v>
      </c>
      <c r="D161" s="13" t="s">
        <v>143</v>
      </c>
      <c r="E161" s="13" t="s">
        <v>21</v>
      </c>
      <c r="F161" s="13" t="s">
        <v>79</v>
      </c>
      <c r="G161" s="13" t="s">
        <v>32</v>
      </c>
      <c r="H161" s="13" t="s">
        <v>33</v>
      </c>
      <c r="I161" s="13" t="s">
        <v>45</v>
      </c>
      <c r="J161" s="13">
        <v>4</v>
      </c>
      <c r="K161" s="21">
        <v>558</v>
      </c>
      <c r="L161" s="21">
        <v>2232</v>
      </c>
      <c r="M161" s="23">
        <v>0.3</v>
      </c>
      <c r="N161" s="21">
        <v>670</v>
      </c>
      <c r="O161" s="21">
        <v>1562</v>
      </c>
      <c r="P161" s="13">
        <v>4.8</v>
      </c>
      <c r="Q161" s="13" t="s">
        <v>26</v>
      </c>
    </row>
    <row r="162" spans="1:17" x14ac:dyDescent="0.25">
      <c r="A162" s="13" t="s">
        <v>306</v>
      </c>
      <c r="B162" s="14">
        <v>45911</v>
      </c>
      <c r="C162" s="13" t="s">
        <v>40</v>
      </c>
      <c r="D162" s="13" t="s">
        <v>113</v>
      </c>
      <c r="E162" s="13" t="s">
        <v>155</v>
      </c>
      <c r="F162" s="13" t="s">
        <v>119</v>
      </c>
      <c r="G162" s="13" t="s">
        <v>23</v>
      </c>
      <c r="H162" s="13" t="s">
        <v>33</v>
      </c>
      <c r="I162" s="13" t="s">
        <v>84</v>
      </c>
      <c r="J162" s="13">
        <v>5</v>
      </c>
      <c r="K162" s="21">
        <v>879</v>
      </c>
      <c r="L162" s="21">
        <v>4395</v>
      </c>
      <c r="M162" s="23">
        <v>0.15</v>
      </c>
      <c r="N162" s="21">
        <v>659</v>
      </c>
      <c r="O162" s="21">
        <v>3736</v>
      </c>
      <c r="P162" s="13">
        <v>3.4</v>
      </c>
      <c r="Q162" s="13" t="s">
        <v>26</v>
      </c>
    </row>
    <row r="163" spans="1:17" x14ac:dyDescent="0.25">
      <c r="A163" s="13" t="s">
        <v>307</v>
      </c>
      <c r="B163" s="14">
        <v>45912</v>
      </c>
      <c r="C163" s="13" t="s">
        <v>63</v>
      </c>
      <c r="D163" s="13" t="s">
        <v>134</v>
      </c>
      <c r="E163" s="13" t="s">
        <v>37</v>
      </c>
      <c r="F163" s="13" t="s">
        <v>79</v>
      </c>
      <c r="G163" s="13" t="s">
        <v>32</v>
      </c>
      <c r="H163" s="13" t="s">
        <v>33</v>
      </c>
      <c r="I163" s="13" t="s">
        <v>84</v>
      </c>
      <c r="J163" s="13">
        <v>1</v>
      </c>
      <c r="K163" s="21">
        <v>895</v>
      </c>
      <c r="L163" s="21">
        <v>895</v>
      </c>
      <c r="M163" s="23">
        <v>0.25</v>
      </c>
      <c r="N163" s="21">
        <v>224</v>
      </c>
      <c r="O163" s="21">
        <v>671</v>
      </c>
      <c r="P163" s="13">
        <v>3.9</v>
      </c>
      <c r="Q163" s="13" t="s">
        <v>26</v>
      </c>
    </row>
    <row r="164" spans="1:17" x14ac:dyDescent="0.25">
      <c r="A164" s="13" t="s">
        <v>309</v>
      </c>
      <c r="B164" s="14">
        <v>45912</v>
      </c>
      <c r="C164" s="13" t="s">
        <v>91</v>
      </c>
      <c r="D164" s="13" t="s">
        <v>110</v>
      </c>
      <c r="E164" s="13" t="s">
        <v>155</v>
      </c>
      <c r="F164" s="13" t="s">
        <v>43</v>
      </c>
      <c r="G164" s="13" t="s">
        <v>32</v>
      </c>
      <c r="H164" s="13" t="s">
        <v>104</v>
      </c>
      <c r="I164" s="13" t="s">
        <v>25</v>
      </c>
      <c r="J164" s="13">
        <v>4</v>
      </c>
      <c r="K164" s="21">
        <v>2453</v>
      </c>
      <c r="L164" s="21">
        <v>9812</v>
      </c>
      <c r="M164" s="23">
        <v>0.1</v>
      </c>
      <c r="N164" s="21">
        <v>981</v>
      </c>
      <c r="O164" s="21">
        <v>8831</v>
      </c>
      <c r="P164" s="13">
        <v>3.8</v>
      </c>
      <c r="Q164" s="13" t="s">
        <v>26</v>
      </c>
    </row>
    <row r="165" spans="1:17" x14ac:dyDescent="0.25">
      <c r="A165" s="13" t="s">
        <v>310</v>
      </c>
      <c r="B165" s="14">
        <v>45913</v>
      </c>
      <c r="C165" s="13" t="s">
        <v>28</v>
      </c>
      <c r="D165" s="13" t="s">
        <v>29</v>
      </c>
      <c r="E165" s="13" t="s">
        <v>37</v>
      </c>
      <c r="F165" s="13" t="s">
        <v>119</v>
      </c>
      <c r="G165" s="13" t="s">
        <v>23</v>
      </c>
      <c r="H165" s="13" t="s">
        <v>33</v>
      </c>
      <c r="I165" s="13" t="s">
        <v>34</v>
      </c>
      <c r="J165" s="13">
        <v>2</v>
      </c>
      <c r="K165" s="21">
        <v>257</v>
      </c>
      <c r="L165" s="21">
        <v>514</v>
      </c>
      <c r="M165" s="23">
        <v>0.1</v>
      </c>
      <c r="N165" s="21">
        <v>51</v>
      </c>
      <c r="O165" s="21">
        <v>463</v>
      </c>
      <c r="P165" s="13">
        <v>4</v>
      </c>
      <c r="Q165" s="13" t="s">
        <v>26</v>
      </c>
    </row>
    <row r="166" spans="1:17" x14ac:dyDescent="0.25">
      <c r="A166" s="13" t="s">
        <v>312</v>
      </c>
      <c r="B166" s="14">
        <v>45913</v>
      </c>
      <c r="C166" s="13" t="s">
        <v>91</v>
      </c>
      <c r="D166" s="13" t="s">
        <v>125</v>
      </c>
      <c r="E166" s="13" t="s">
        <v>42</v>
      </c>
      <c r="F166" s="13" t="s">
        <v>31</v>
      </c>
      <c r="G166" s="13" t="s">
        <v>23</v>
      </c>
      <c r="H166" s="13" t="s">
        <v>24</v>
      </c>
      <c r="I166" s="13" t="s">
        <v>45</v>
      </c>
      <c r="J166" s="13">
        <v>4</v>
      </c>
      <c r="K166" s="21">
        <v>835</v>
      </c>
      <c r="L166" s="21">
        <v>3340</v>
      </c>
      <c r="M166" s="23">
        <v>0.3</v>
      </c>
      <c r="N166" s="21">
        <v>1002</v>
      </c>
      <c r="O166" s="21">
        <v>2338</v>
      </c>
      <c r="P166" s="13">
        <v>4.3</v>
      </c>
      <c r="Q166" s="13" t="s">
        <v>26</v>
      </c>
    </row>
    <row r="167" spans="1:17" x14ac:dyDescent="0.25">
      <c r="A167" s="13" t="s">
        <v>313</v>
      </c>
      <c r="B167" s="14">
        <v>45913</v>
      </c>
      <c r="C167" s="13" t="s">
        <v>63</v>
      </c>
      <c r="D167" s="13" t="s">
        <v>134</v>
      </c>
      <c r="E167" s="13" t="s">
        <v>78</v>
      </c>
      <c r="F167" s="13" t="s">
        <v>61</v>
      </c>
      <c r="G167" s="13" t="s">
        <v>44</v>
      </c>
      <c r="H167" s="13" t="s">
        <v>33</v>
      </c>
      <c r="I167" s="13" t="s">
        <v>25</v>
      </c>
      <c r="J167" s="13">
        <v>3</v>
      </c>
      <c r="K167" s="21">
        <v>865</v>
      </c>
      <c r="L167" s="21">
        <v>2595</v>
      </c>
      <c r="M167" s="23">
        <v>0</v>
      </c>
      <c r="N167" s="21">
        <v>0</v>
      </c>
      <c r="O167" s="21">
        <v>2595</v>
      </c>
      <c r="P167" s="13">
        <v>4.3</v>
      </c>
      <c r="Q167" s="13" t="s">
        <v>26</v>
      </c>
    </row>
    <row r="168" spans="1:17" x14ac:dyDescent="0.25">
      <c r="A168" s="13" t="s">
        <v>314</v>
      </c>
      <c r="B168" s="14">
        <v>45914</v>
      </c>
      <c r="C168" s="13" t="s">
        <v>63</v>
      </c>
      <c r="D168" s="13" t="s">
        <v>143</v>
      </c>
      <c r="E168" s="13" t="s">
        <v>101</v>
      </c>
      <c r="F168" s="13" t="s">
        <v>119</v>
      </c>
      <c r="G168" s="13" t="s">
        <v>23</v>
      </c>
      <c r="H168" s="13" t="s">
        <v>104</v>
      </c>
      <c r="I168" s="13" t="s">
        <v>98</v>
      </c>
      <c r="J168" s="13">
        <v>3</v>
      </c>
      <c r="K168" s="21">
        <v>654</v>
      </c>
      <c r="L168" s="21">
        <v>1962</v>
      </c>
      <c r="M168" s="23">
        <v>0</v>
      </c>
      <c r="N168" s="21">
        <v>0</v>
      </c>
      <c r="O168" s="21">
        <v>1962</v>
      </c>
      <c r="P168" s="13">
        <v>3.9</v>
      </c>
      <c r="Q168" s="13" t="s">
        <v>26</v>
      </c>
    </row>
    <row r="169" spans="1:17" x14ac:dyDescent="0.25">
      <c r="A169" s="13" t="s">
        <v>316</v>
      </c>
      <c r="B169" s="14">
        <v>45914</v>
      </c>
      <c r="C169" s="13" t="s">
        <v>40</v>
      </c>
      <c r="D169" s="13" t="s">
        <v>68</v>
      </c>
      <c r="E169" s="13" t="s">
        <v>53</v>
      </c>
      <c r="F169" s="13" t="s">
        <v>72</v>
      </c>
      <c r="G169" s="13" t="s">
        <v>23</v>
      </c>
      <c r="H169" s="13" t="s">
        <v>33</v>
      </c>
      <c r="I169" s="13" t="s">
        <v>98</v>
      </c>
      <c r="J169" s="13">
        <v>5</v>
      </c>
      <c r="K169" s="21">
        <v>1154</v>
      </c>
      <c r="L169" s="21">
        <v>5770</v>
      </c>
      <c r="M169" s="23">
        <v>0.15</v>
      </c>
      <c r="N169" s="21">
        <v>866</v>
      </c>
      <c r="O169" s="21">
        <v>4904</v>
      </c>
      <c r="P169" s="13">
        <v>5</v>
      </c>
      <c r="Q169" s="13" t="s">
        <v>26</v>
      </c>
    </row>
    <row r="170" spans="1:17" x14ac:dyDescent="0.25">
      <c r="A170" s="13" t="s">
        <v>317</v>
      </c>
      <c r="B170" s="14">
        <v>45914</v>
      </c>
      <c r="C170" s="13" t="s">
        <v>28</v>
      </c>
      <c r="D170" s="13" t="s">
        <v>95</v>
      </c>
      <c r="E170" s="13" t="s">
        <v>82</v>
      </c>
      <c r="F170" s="13" t="s">
        <v>130</v>
      </c>
      <c r="G170" s="13" t="s">
        <v>32</v>
      </c>
      <c r="H170" s="13" t="s">
        <v>24</v>
      </c>
      <c r="I170" s="13" t="s">
        <v>25</v>
      </c>
      <c r="J170" s="13">
        <v>5</v>
      </c>
      <c r="K170" s="21">
        <v>1121</v>
      </c>
      <c r="L170" s="21">
        <v>5605</v>
      </c>
      <c r="M170" s="23">
        <v>0.1</v>
      </c>
      <c r="N170" s="21">
        <v>560</v>
      </c>
      <c r="O170" s="21">
        <v>5045</v>
      </c>
      <c r="P170" s="13">
        <v>3.8</v>
      </c>
      <c r="Q170" s="13" t="s">
        <v>26</v>
      </c>
    </row>
    <row r="171" spans="1:17" x14ac:dyDescent="0.25">
      <c r="A171" s="13" t="s">
        <v>318</v>
      </c>
      <c r="B171" s="14">
        <v>45915</v>
      </c>
      <c r="C171" s="13" t="s">
        <v>63</v>
      </c>
      <c r="D171" s="13" t="s">
        <v>143</v>
      </c>
      <c r="E171" s="13" t="s">
        <v>42</v>
      </c>
      <c r="F171" s="13" t="s">
        <v>22</v>
      </c>
      <c r="G171" s="13" t="s">
        <v>32</v>
      </c>
      <c r="H171" s="13" t="s">
        <v>104</v>
      </c>
      <c r="I171" s="13" t="s">
        <v>98</v>
      </c>
      <c r="J171" s="13">
        <v>4</v>
      </c>
      <c r="K171" s="21">
        <v>1786</v>
      </c>
      <c r="L171" s="21">
        <v>7144</v>
      </c>
      <c r="M171" s="23">
        <v>0.25</v>
      </c>
      <c r="N171" s="21">
        <v>1786</v>
      </c>
      <c r="O171" s="21">
        <v>5358</v>
      </c>
      <c r="P171" s="13">
        <v>3.5</v>
      </c>
      <c r="Q171" s="13" t="s">
        <v>26</v>
      </c>
    </row>
    <row r="172" spans="1:17" x14ac:dyDescent="0.25">
      <c r="A172" s="13" t="s">
        <v>320</v>
      </c>
      <c r="B172" s="14">
        <v>45916</v>
      </c>
      <c r="C172" s="13" t="s">
        <v>63</v>
      </c>
      <c r="D172" s="13" t="s">
        <v>64</v>
      </c>
      <c r="E172" s="13" t="s">
        <v>42</v>
      </c>
      <c r="F172" s="13" t="s">
        <v>130</v>
      </c>
      <c r="G172" s="13" t="s">
        <v>44</v>
      </c>
      <c r="H172" s="13" t="s">
        <v>24</v>
      </c>
      <c r="I172" s="13" t="s">
        <v>98</v>
      </c>
      <c r="J172" s="13">
        <v>3</v>
      </c>
      <c r="K172" s="21">
        <v>1734</v>
      </c>
      <c r="L172" s="21">
        <v>5202</v>
      </c>
      <c r="M172" s="23">
        <v>0.25</v>
      </c>
      <c r="N172" s="21">
        <v>1300</v>
      </c>
      <c r="O172" s="21">
        <v>3902</v>
      </c>
      <c r="P172" s="13">
        <v>4.8</v>
      </c>
      <c r="Q172" s="13" t="s">
        <v>75</v>
      </c>
    </row>
    <row r="173" spans="1:17" x14ac:dyDescent="0.25">
      <c r="A173" s="13" t="s">
        <v>322</v>
      </c>
      <c r="B173" s="14">
        <v>45916</v>
      </c>
      <c r="C173" s="13" t="s">
        <v>40</v>
      </c>
      <c r="D173" s="13" t="s">
        <v>57</v>
      </c>
      <c r="E173" s="13" t="s">
        <v>60</v>
      </c>
      <c r="F173" s="13" t="s">
        <v>119</v>
      </c>
      <c r="G173" s="13" t="s">
        <v>44</v>
      </c>
      <c r="H173" s="13" t="s">
        <v>33</v>
      </c>
      <c r="I173" s="13" t="s">
        <v>98</v>
      </c>
      <c r="J173" s="13">
        <v>4</v>
      </c>
      <c r="K173" s="21">
        <v>873</v>
      </c>
      <c r="L173" s="21">
        <v>3492</v>
      </c>
      <c r="M173" s="23">
        <v>0.15</v>
      </c>
      <c r="N173" s="21">
        <v>524</v>
      </c>
      <c r="O173" s="21">
        <v>2968</v>
      </c>
      <c r="P173" s="13">
        <v>4.7</v>
      </c>
      <c r="Q173" s="13" t="s">
        <v>26</v>
      </c>
    </row>
    <row r="174" spans="1:17" x14ac:dyDescent="0.25">
      <c r="A174" s="13" t="s">
        <v>323</v>
      </c>
      <c r="B174" s="14">
        <v>45916</v>
      </c>
      <c r="C174" s="13" t="s">
        <v>91</v>
      </c>
      <c r="D174" s="13" t="s">
        <v>92</v>
      </c>
      <c r="E174" s="13" t="s">
        <v>30</v>
      </c>
      <c r="F174" s="13" t="s">
        <v>61</v>
      </c>
      <c r="G174" s="13" t="s">
        <v>44</v>
      </c>
      <c r="H174" s="13" t="s">
        <v>24</v>
      </c>
      <c r="I174" s="13" t="s">
        <v>98</v>
      </c>
      <c r="J174" s="13">
        <v>3</v>
      </c>
      <c r="K174" s="21">
        <v>2673</v>
      </c>
      <c r="L174" s="21">
        <v>8019</v>
      </c>
      <c r="M174" s="23">
        <v>0.3</v>
      </c>
      <c r="N174" s="21">
        <v>2406</v>
      </c>
      <c r="O174" s="21">
        <v>5613</v>
      </c>
      <c r="P174" s="13">
        <v>4.7</v>
      </c>
      <c r="Q174" s="13" t="s">
        <v>26</v>
      </c>
    </row>
    <row r="175" spans="1:17" x14ac:dyDescent="0.25">
      <c r="A175" s="13" t="s">
        <v>324</v>
      </c>
      <c r="B175" s="14">
        <v>45917</v>
      </c>
      <c r="C175" s="13" t="s">
        <v>51</v>
      </c>
      <c r="D175" s="13" t="s">
        <v>52</v>
      </c>
      <c r="E175" s="13" t="s">
        <v>53</v>
      </c>
      <c r="F175" s="13" t="s">
        <v>61</v>
      </c>
      <c r="G175" s="13" t="s">
        <v>44</v>
      </c>
      <c r="H175" s="13" t="s">
        <v>24</v>
      </c>
      <c r="I175" s="13" t="s">
        <v>25</v>
      </c>
      <c r="J175" s="13">
        <v>5</v>
      </c>
      <c r="K175" s="21">
        <v>239</v>
      </c>
      <c r="L175" s="21">
        <v>1195</v>
      </c>
      <c r="M175" s="23">
        <v>0.1</v>
      </c>
      <c r="N175" s="21">
        <v>120</v>
      </c>
      <c r="O175" s="21">
        <v>1075</v>
      </c>
      <c r="P175" s="13">
        <v>3.9</v>
      </c>
      <c r="Q175" s="13" t="s">
        <v>26</v>
      </c>
    </row>
    <row r="176" spans="1:17" x14ac:dyDescent="0.25">
      <c r="A176" s="13" t="s">
        <v>326</v>
      </c>
      <c r="B176" s="14">
        <v>45917</v>
      </c>
      <c r="C176" s="13" t="s">
        <v>91</v>
      </c>
      <c r="D176" s="13" t="s">
        <v>125</v>
      </c>
      <c r="E176" s="13" t="s">
        <v>48</v>
      </c>
      <c r="F176" s="13" t="s">
        <v>65</v>
      </c>
      <c r="G176" s="13" t="s">
        <v>44</v>
      </c>
      <c r="H176" s="13" t="s">
        <v>33</v>
      </c>
      <c r="I176" s="13" t="s">
        <v>84</v>
      </c>
      <c r="J176" s="13">
        <v>1</v>
      </c>
      <c r="K176" s="21">
        <v>678</v>
      </c>
      <c r="L176" s="21">
        <v>678</v>
      </c>
      <c r="M176" s="23">
        <v>0</v>
      </c>
      <c r="N176" s="21">
        <v>0</v>
      </c>
      <c r="O176" s="21">
        <v>678</v>
      </c>
      <c r="P176" s="13">
        <v>3.5</v>
      </c>
      <c r="Q176" s="13" t="s">
        <v>26</v>
      </c>
    </row>
    <row r="177" spans="1:17" x14ac:dyDescent="0.25">
      <c r="A177" s="13" t="s">
        <v>327</v>
      </c>
      <c r="B177" s="14">
        <v>45918</v>
      </c>
      <c r="C177" s="13" t="s">
        <v>28</v>
      </c>
      <c r="D177" s="13" t="s">
        <v>77</v>
      </c>
      <c r="E177" s="13" t="s">
        <v>101</v>
      </c>
      <c r="F177" s="13" t="s">
        <v>130</v>
      </c>
      <c r="G177" s="13" t="s">
        <v>44</v>
      </c>
      <c r="H177" s="13" t="s">
        <v>33</v>
      </c>
      <c r="I177" s="13" t="s">
        <v>98</v>
      </c>
      <c r="J177" s="13">
        <v>3</v>
      </c>
      <c r="K177" s="21">
        <v>911</v>
      </c>
      <c r="L177" s="21">
        <v>2733</v>
      </c>
      <c r="M177" s="23">
        <v>0.1</v>
      </c>
      <c r="N177" s="21">
        <v>273</v>
      </c>
      <c r="O177" s="21">
        <v>2460</v>
      </c>
      <c r="P177" s="13">
        <v>4.0999999999999996</v>
      </c>
      <c r="Q177" s="13" t="s">
        <v>26</v>
      </c>
    </row>
    <row r="178" spans="1:17" x14ac:dyDescent="0.25">
      <c r="A178" s="13" t="s">
        <v>329</v>
      </c>
      <c r="B178" s="14">
        <v>45918</v>
      </c>
      <c r="C178" s="13" t="s">
        <v>51</v>
      </c>
      <c r="D178" s="13" t="s">
        <v>70</v>
      </c>
      <c r="E178" s="13" t="s">
        <v>53</v>
      </c>
      <c r="F178" s="13" t="s">
        <v>43</v>
      </c>
      <c r="G178" s="13" t="s">
        <v>32</v>
      </c>
      <c r="H178" s="13" t="s">
        <v>33</v>
      </c>
      <c r="I178" s="13" t="s">
        <v>98</v>
      </c>
      <c r="J178" s="13">
        <v>4</v>
      </c>
      <c r="K178" s="21">
        <v>759</v>
      </c>
      <c r="L178" s="21">
        <v>3036</v>
      </c>
      <c r="M178" s="23">
        <v>0.1</v>
      </c>
      <c r="N178" s="21">
        <v>304</v>
      </c>
      <c r="O178" s="21">
        <v>2732</v>
      </c>
      <c r="P178" s="13">
        <v>3.3</v>
      </c>
      <c r="Q178" s="13" t="s">
        <v>26</v>
      </c>
    </row>
    <row r="179" spans="1:17" x14ac:dyDescent="0.25">
      <c r="A179" s="13" t="s">
        <v>330</v>
      </c>
      <c r="B179" s="14">
        <v>45919</v>
      </c>
      <c r="C179" s="13" t="s">
        <v>91</v>
      </c>
      <c r="D179" s="13" t="s">
        <v>125</v>
      </c>
      <c r="E179" s="13" t="s">
        <v>71</v>
      </c>
      <c r="F179" s="13" t="s">
        <v>22</v>
      </c>
      <c r="G179" s="13" t="s">
        <v>23</v>
      </c>
      <c r="H179" s="13" t="s">
        <v>24</v>
      </c>
      <c r="I179" s="13" t="s">
        <v>98</v>
      </c>
      <c r="J179" s="13">
        <v>4</v>
      </c>
      <c r="K179" s="21">
        <v>2041</v>
      </c>
      <c r="L179" s="21">
        <v>8164</v>
      </c>
      <c r="M179" s="23">
        <v>0.1</v>
      </c>
      <c r="N179" s="21">
        <v>816</v>
      </c>
      <c r="O179" s="21">
        <v>7348</v>
      </c>
      <c r="P179" s="13">
        <v>4.5999999999999996</v>
      </c>
      <c r="Q179" s="13" t="s">
        <v>26</v>
      </c>
    </row>
    <row r="180" spans="1:17" x14ac:dyDescent="0.25">
      <c r="A180" s="13" t="s">
        <v>332</v>
      </c>
      <c r="B180" s="14">
        <v>45919</v>
      </c>
      <c r="C180" s="13" t="s">
        <v>40</v>
      </c>
      <c r="D180" s="13" t="s">
        <v>113</v>
      </c>
      <c r="E180" s="13" t="s">
        <v>30</v>
      </c>
      <c r="F180" s="13" t="s">
        <v>22</v>
      </c>
      <c r="G180" s="13" t="s">
        <v>32</v>
      </c>
      <c r="H180" s="13" t="s">
        <v>104</v>
      </c>
      <c r="I180" s="13" t="s">
        <v>84</v>
      </c>
      <c r="J180" s="13">
        <v>1</v>
      </c>
      <c r="K180" s="21">
        <v>1201</v>
      </c>
      <c r="L180" s="21">
        <v>1201</v>
      </c>
      <c r="M180" s="23">
        <v>0.1</v>
      </c>
      <c r="N180" s="21">
        <v>120</v>
      </c>
      <c r="O180" s="21">
        <v>1081</v>
      </c>
      <c r="P180" s="13">
        <v>3.6</v>
      </c>
      <c r="Q180" s="13" t="s">
        <v>75</v>
      </c>
    </row>
    <row r="181" spans="1:17" x14ac:dyDescent="0.25">
      <c r="A181" s="13" t="s">
        <v>333</v>
      </c>
      <c r="B181" s="14">
        <v>45920</v>
      </c>
      <c r="C181" s="13" t="s">
        <v>51</v>
      </c>
      <c r="D181" s="13" t="s">
        <v>52</v>
      </c>
      <c r="E181" s="13" t="s">
        <v>71</v>
      </c>
      <c r="F181" s="13" t="s">
        <v>119</v>
      </c>
      <c r="G181" s="13" t="s">
        <v>32</v>
      </c>
      <c r="H181" s="13" t="s">
        <v>104</v>
      </c>
      <c r="I181" s="13" t="s">
        <v>84</v>
      </c>
      <c r="J181" s="13">
        <v>4</v>
      </c>
      <c r="K181" s="21">
        <v>558</v>
      </c>
      <c r="L181" s="21">
        <v>2232</v>
      </c>
      <c r="M181" s="23">
        <v>0.05</v>
      </c>
      <c r="N181" s="21">
        <v>112</v>
      </c>
      <c r="O181" s="21">
        <v>2120</v>
      </c>
      <c r="P181" s="13">
        <v>4.4000000000000004</v>
      </c>
      <c r="Q181" s="13" t="s">
        <v>26</v>
      </c>
    </row>
    <row r="182" spans="1:17" x14ac:dyDescent="0.25">
      <c r="A182" s="13" t="s">
        <v>335</v>
      </c>
      <c r="B182" s="14">
        <v>45920</v>
      </c>
      <c r="C182" s="13" t="s">
        <v>19</v>
      </c>
      <c r="D182" s="13" t="s">
        <v>20</v>
      </c>
      <c r="E182" s="13" t="s">
        <v>30</v>
      </c>
      <c r="F182" s="13" t="s">
        <v>130</v>
      </c>
      <c r="G182" s="13" t="s">
        <v>23</v>
      </c>
      <c r="H182" s="13" t="s">
        <v>33</v>
      </c>
      <c r="I182" s="13" t="s">
        <v>98</v>
      </c>
      <c r="J182" s="13">
        <v>3</v>
      </c>
      <c r="K182" s="21">
        <v>354</v>
      </c>
      <c r="L182" s="21">
        <v>1062</v>
      </c>
      <c r="M182" s="23">
        <v>0.3</v>
      </c>
      <c r="N182" s="21">
        <v>319</v>
      </c>
      <c r="O182" s="21">
        <v>743</v>
      </c>
      <c r="P182" s="13">
        <v>3.7</v>
      </c>
      <c r="Q182" s="13" t="s">
        <v>26</v>
      </c>
    </row>
    <row r="183" spans="1:17" x14ac:dyDescent="0.25">
      <c r="A183" s="13" t="s">
        <v>336</v>
      </c>
      <c r="B183" s="14">
        <v>45920</v>
      </c>
      <c r="C183" s="13" t="s">
        <v>91</v>
      </c>
      <c r="D183" s="13" t="s">
        <v>125</v>
      </c>
      <c r="E183" s="13" t="s">
        <v>82</v>
      </c>
      <c r="F183" s="13" t="s">
        <v>130</v>
      </c>
      <c r="G183" s="13" t="s">
        <v>23</v>
      </c>
      <c r="H183" s="13" t="s">
        <v>24</v>
      </c>
      <c r="I183" s="13" t="s">
        <v>84</v>
      </c>
      <c r="J183" s="13">
        <v>4</v>
      </c>
      <c r="K183" s="21">
        <v>1127</v>
      </c>
      <c r="L183" s="21">
        <v>4508</v>
      </c>
      <c r="M183" s="23">
        <v>0.2</v>
      </c>
      <c r="N183" s="21">
        <v>902</v>
      </c>
      <c r="O183" s="21">
        <v>3606</v>
      </c>
      <c r="P183" s="13">
        <v>4.5999999999999996</v>
      </c>
      <c r="Q183" s="13" t="s">
        <v>26</v>
      </c>
    </row>
    <row r="184" spans="1:17" x14ac:dyDescent="0.25">
      <c r="A184" s="13" t="s">
        <v>337</v>
      </c>
      <c r="B184" s="14">
        <v>45921</v>
      </c>
      <c r="C184" s="13" t="s">
        <v>28</v>
      </c>
      <c r="D184" s="13" t="s">
        <v>29</v>
      </c>
      <c r="E184" s="13" t="s">
        <v>53</v>
      </c>
      <c r="F184" s="13" t="s">
        <v>31</v>
      </c>
      <c r="G184" s="13" t="s">
        <v>32</v>
      </c>
      <c r="H184" s="13" t="s">
        <v>24</v>
      </c>
      <c r="I184" s="13" t="s">
        <v>98</v>
      </c>
      <c r="J184" s="13">
        <v>2</v>
      </c>
      <c r="K184" s="21">
        <v>261</v>
      </c>
      <c r="L184" s="21">
        <v>522</v>
      </c>
      <c r="M184" s="23">
        <v>0.1</v>
      </c>
      <c r="N184" s="21">
        <v>52</v>
      </c>
      <c r="O184" s="21">
        <v>470</v>
      </c>
      <c r="P184" s="13">
        <v>4.9000000000000004</v>
      </c>
      <c r="Q184" s="13" t="s">
        <v>26</v>
      </c>
    </row>
    <row r="185" spans="1:17" x14ac:dyDescent="0.25">
      <c r="A185" s="13" t="s">
        <v>339</v>
      </c>
      <c r="B185" s="14">
        <v>45921</v>
      </c>
      <c r="C185" s="13" t="s">
        <v>63</v>
      </c>
      <c r="D185" s="13" t="s">
        <v>143</v>
      </c>
      <c r="E185" s="13" t="s">
        <v>60</v>
      </c>
      <c r="F185" s="13" t="s">
        <v>72</v>
      </c>
      <c r="G185" s="13" t="s">
        <v>23</v>
      </c>
      <c r="H185" s="13" t="s">
        <v>24</v>
      </c>
      <c r="I185" s="13" t="s">
        <v>45</v>
      </c>
      <c r="J185" s="13">
        <v>3</v>
      </c>
      <c r="K185" s="21">
        <v>2491</v>
      </c>
      <c r="L185" s="21">
        <v>7473</v>
      </c>
      <c r="M185" s="23">
        <v>0.1</v>
      </c>
      <c r="N185" s="21">
        <v>747</v>
      </c>
      <c r="O185" s="21">
        <v>6726</v>
      </c>
      <c r="P185" s="13">
        <v>4.9000000000000004</v>
      </c>
      <c r="Q185" s="13" t="s">
        <v>26</v>
      </c>
    </row>
    <row r="186" spans="1:17" x14ac:dyDescent="0.25">
      <c r="A186" s="13" t="s">
        <v>340</v>
      </c>
      <c r="B186" s="14">
        <v>45921</v>
      </c>
      <c r="C186" s="13" t="s">
        <v>40</v>
      </c>
      <c r="D186" s="13" t="s">
        <v>57</v>
      </c>
      <c r="E186" s="13" t="s">
        <v>82</v>
      </c>
      <c r="F186" s="13" t="s">
        <v>65</v>
      </c>
      <c r="G186" s="13" t="s">
        <v>32</v>
      </c>
      <c r="H186" s="13" t="s">
        <v>33</v>
      </c>
      <c r="I186" s="13" t="s">
        <v>98</v>
      </c>
      <c r="J186" s="13">
        <v>5</v>
      </c>
      <c r="K186" s="21">
        <v>1244</v>
      </c>
      <c r="L186" s="21">
        <v>6220</v>
      </c>
      <c r="M186" s="23">
        <v>0.05</v>
      </c>
      <c r="N186" s="21">
        <v>311</v>
      </c>
      <c r="O186" s="21">
        <v>5909</v>
      </c>
      <c r="P186" s="13">
        <v>4.9000000000000004</v>
      </c>
      <c r="Q186" s="13" t="s">
        <v>26</v>
      </c>
    </row>
    <row r="187" spans="1:17" x14ac:dyDescent="0.25">
      <c r="A187" s="13" t="s">
        <v>341</v>
      </c>
      <c r="B187" s="14">
        <v>45923</v>
      </c>
      <c r="C187" s="13" t="s">
        <v>19</v>
      </c>
      <c r="D187" s="13" t="s">
        <v>20</v>
      </c>
      <c r="E187" s="13" t="s">
        <v>48</v>
      </c>
      <c r="F187" s="13" t="s">
        <v>119</v>
      </c>
      <c r="G187" s="13" t="s">
        <v>32</v>
      </c>
      <c r="H187" s="13" t="s">
        <v>33</v>
      </c>
      <c r="I187" s="13" t="s">
        <v>84</v>
      </c>
      <c r="J187" s="13">
        <v>5</v>
      </c>
      <c r="K187" s="21">
        <v>874</v>
      </c>
      <c r="L187" s="21">
        <v>4370</v>
      </c>
      <c r="M187" s="23">
        <v>0.25</v>
      </c>
      <c r="N187" s="21">
        <v>1092</v>
      </c>
      <c r="O187" s="21">
        <v>3278</v>
      </c>
      <c r="P187" s="13">
        <v>4.3</v>
      </c>
      <c r="Q187" s="13" t="s">
        <v>26</v>
      </c>
    </row>
    <row r="188" spans="1:17" x14ac:dyDescent="0.25">
      <c r="A188" s="13" t="s">
        <v>343</v>
      </c>
      <c r="B188" s="14">
        <v>45924</v>
      </c>
      <c r="C188" s="13" t="s">
        <v>51</v>
      </c>
      <c r="D188" s="13" t="s">
        <v>52</v>
      </c>
      <c r="E188" s="13" t="s">
        <v>78</v>
      </c>
      <c r="F188" s="13" t="s">
        <v>22</v>
      </c>
      <c r="G188" s="13" t="s">
        <v>23</v>
      </c>
      <c r="H188" s="13" t="s">
        <v>33</v>
      </c>
      <c r="I188" s="13" t="s">
        <v>84</v>
      </c>
      <c r="J188" s="13">
        <v>2</v>
      </c>
      <c r="K188" s="21">
        <v>711</v>
      </c>
      <c r="L188" s="21">
        <v>1422</v>
      </c>
      <c r="M188" s="23">
        <v>0.15</v>
      </c>
      <c r="N188" s="21">
        <v>213</v>
      </c>
      <c r="O188" s="21">
        <v>1209</v>
      </c>
      <c r="P188" s="13">
        <v>4.7</v>
      </c>
      <c r="Q188" s="13" t="s">
        <v>26</v>
      </c>
    </row>
    <row r="189" spans="1:17" x14ac:dyDescent="0.25">
      <c r="A189" s="13" t="s">
        <v>345</v>
      </c>
      <c r="B189" s="14">
        <v>45924</v>
      </c>
      <c r="C189" s="13" t="s">
        <v>91</v>
      </c>
      <c r="D189" s="13" t="s">
        <v>125</v>
      </c>
      <c r="E189" s="13" t="s">
        <v>30</v>
      </c>
      <c r="F189" s="13" t="s">
        <v>72</v>
      </c>
      <c r="G189" s="13" t="s">
        <v>23</v>
      </c>
      <c r="H189" s="13" t="s">
        <v>33</v>
      </c>
      <c r="I189" s="13" t="s">
        <v>84</v>
      </c>
      <c r="J189" s="13">
        <v>1</v>
      </c>
      <c r="K189" s="21">
        <v>1539</v>
      </c>
      <c r="L189" s="21">
        <v>1539</v>
      </c>
      <c r="M189" s="23">
        <v>0.2</v>
      </c>
      <c r="N189" s="21">
        <v>308</v>
      </c>
      <c r="O189" s="21">
        <v>1231</v>
      </c>
      <c r="P189" s="13">
        <v>4.0999999999999996</v>
      </c>
      <c r="Q189" s="13" t="s">
        <v>26</v>
      </c>
    </row>
    <row r="190" spans="1:17" x14ac:dyDescent="0.25">
      <c r="A190" s="13" t="s">
        <v>346</v>
      </c>
      <c r="B190" s="14">
        <v>45924</v>
      </c>
      <c r="C190" s="13" t="s">
        <v>63</v>
      </c>
      <c r="D190" s="13" t="s">
        <v>134</v>
      </c>
      <c r="E190" s="13" t="s">
        <v>71</v>
      </c>
      <c r="F190" s="13" t="s">
        <v>61</v>
      </c>
      <c r="G190" s="13" t="s">
        <v>23</v>
      </c>
      <c r="H190" s="13" t="s">
        <v>24</v>
      </c>
      <c r="I190" s="13" t="s">
        <v>45</v>
      </c>
      <c r="J190" s="13">
        <v>5</v>
      </c>
      <c r="K190" s="21">
        <v>512</v>
      </c>
      <c r="L190" s="21">
        <v>2560</v>
      </c>
      <c r="M190" s="23">
        <v>0.1</v>
      </c>
      <c r="N190" s="21">
        <v>256</v>
      </c>
      <c r="O190" s="21">
        <v>2304</v>
      </c>
      <c r="P190" s="13">
        <v>4.9000000000000004</v>
      </c>
      <c r="Q190" s="13" t="s">
        <v>26</v>
      </c>
    </row>
    <row r="191" spans="1:17" x14ac:dyDescent="0.25">
      <c r="A191" s="13" t="s">
        <v>347</v>
      </c>
      <c r="B191" s="14">
        <v>45924</v>
      </c>
      <c r="C191" s="13" t="s">
        <v>19</v>
      </c>
      <c r="D191" s="13" t="s">
        <v>230</v>
      </c>
      <c r="E191" s="13" t="s">
        <v>48</v>
      </c>
      <c r="F191" s="13" t="s">
        <v>31</v>
      </c>
      <c r="G191" s="13" t="s">
        <v>32</v>
      </c>
      <c r="H191" s="13" t="s">
        <v>24</v>
      </c>
      <c r="I191" s="13" t="s">
        <v>84</v>
      </c>
      <c r="J191" s="13">
        <v>3</v>
      </c>
      <c r="K191" s="21">
        <v>948</v>
      </c>
      <c r="L191" s="21">
        <v>2844</v>
      </c>
      <c r="M191" s="23">
        <v>0.25</v>
      </c>
      <c r="N191" s="21">
        <v>711</v>
      </c>
      <c r="O191" s="21">
        <v>2133</v>
      </c>
      <c r="P191" s="13">
        <v>4.5</v>
      </c>
      <c r="Q191" s="13" t="s">
        <v>26</v>
      </c>
    </row>
    <row r="192" spans="1:17" x14ac:dyDescent="0.25">
      <c r="A192" s="13" t="s">
        <v>348</v>
      </c>
      <c r="B192" s="14">
        <v>45924</v>
      </c>
      <c r="C192" s="13" t="s">
        <v>19</v>
      </c>
      <c r="D192" s="13" t="s">
        <v>20</v>
      </c>
      <c r="E192" s="13" t="s">
        <v>60</v>
      </c>
      <c r="F192" s="13" t="s">
        <v>130</v>
      </c>
      <c r="G192" s="13" t="s">
        <v>32</v>
      </c>
      <c r="H192" s="13" t="s">
        <v>33</v>
      </c>
      <c r="I192" s="13" t="s">
        <v>34</v>
      </c>
      <c r="J192" s="13">
        <v>5</v>
      </c>
      <c r="K192" s="21">
        <v>370</v>
      </c>
      <c r="L192" s="21">
        <v>1850</v>
      </c>
      <c r="M192" s="23">
        <v>0.25</v>
      </c>
      <c r="N192" s="21">
        <v>462</v>
      </c>
      <c r="O192" s="21">
        <v>1388</v>
      </c>
      <c r="P192" s="13">
        <v>4.0999999999999996</v>
      </c>
      <c r="Q192" s="13" t="s">
        <v>26</v>
      </c>
    </row>
    <row r="193" spans="1:17" x14ac:dyDescent="0.25">
      <c r="A193" s="13" t="s">
        <v>349</v>
      </c>
      <c r="B193" s="14">
        <v>45926</v>
      </c>
      <c r="C193" s="13" t="s">
        <v>40</v>
      </c>
      <c r="D193" s="13" t="s">
        <v>41</v>
      </c>
      <c r="E193" s="13" t="s">
        <v>53</v>
      </c>
      <c r="F193" s="13" t="s">
        <v>65</v>
      </c>
      <c r="G193" s="13" t="s">
        <v>44</v>
      </c>
      <c r="H193" s="13" t="s">
        <v>33</v>
      </c>
      <c r="I193" s="13" t="s">
        <v>45</v>
      </c>
      <c r="J193" s="13">
        <v>2</v>
      </c>
      <c r="K193" s="21">
        <v>697</v>
      </c>
      <c r="L193" s="21">
        <v>1394</v>
      </c>
      <c r="M193" s="23">
        <v>0.25</v>
      </c>
      <c r="N193" s="21">
        <v>348</v>
      </c>
      <c r="O193" s="21">
        <v>1046</v>
      </c>
      <c r="P193" s="13">
        <v>4.5999999999999996</v>
      </c>
      <c r="Q193" s="13" t="s">
        <v>26</v>
      </c>
    </row>
    <row r="194" spans="1:17" x14ac:dyDescent="0.25">
      <c r="A194" s="13" t="s">
        <v>351</v>
      </c>
      <c r="B194" s="14">
        <v>45926</v>
      </c>
      <c r="C194" s="13" t="s">
        <v>40</v>
      </c>
      <c r="D194" s="13" t="s">
        <v>57</v>
      </c>
      <c r="E194" s="13" t="s">
        <v>53</v>
      </c>
      <c r="F194" s="13" t="s">
        <v>79</v>
      </c>
      <c r="G194" s="13" t="s">
        <v>23</v>
      </c>
      <c r="H194" s="13" t="s">
        <v>33</v>
      </c>
      <c r="I194" s="13" t="s">
        <v>25</v>
      </c>
      <c r="J194" s="13">
        <v>4</v>
      </c>
      <c r="K194" s="21">
        <v>1013</v>
      </c>
      <c r="L194" s="21">
        <v>4052</v>
      </c>
      <c r="M194" s="23">
        <v>0.2</v>
      </c>
      <c r="N194" s="21">
        <v>810</v>
      </c>
      <c r="O194" s="21">
        <v>3242</v>
      </c>
      <c r="P194" s="13">
        <v>3.6</v>
      </c>
      <c r="Q194" s="13" t="s">
        <v>26</v>
      </c>
    </row>
    <row r="195" spans="1:17" x14ac:dyDescent="0.25">
      <c r="A195" s="13" t="s">
        <v>352</v>
      </c>
      <c r="B195" s="14">
        <v>45927</v>
      </c>
      <c r="C195" s="13" t="s">
        <v>51</v>
      </c>
      <c r="D195" s="13" t="s">
        <v>97</v>
      </c>
      <c r="E195" s="13" t="s">
        <v>101</v>
      </c>
      <c r="F195" s="13" t="s">
        <v>65</v>
      </c>
      <c r="G195" s="13" t="s">
        <v>23</v>
      </c>
      <c r="H195" s="13" t="s">
        <v>33</v>
      </c>
      <c r="I195" s="13" t="s">
        <v>84</v>
      </c>
      <c r="J195" s="13">
        <v>2</v>
      </c>
      <c r="K195" s="21">
        <v>706</v>
      </c>
      <c r="L195" s="21">
        <v>1412</v>
      </c>
      <c r="M195" s="23">
        <v>0.05</v>
      </c>
      <c r="N195" s="21">
        <v>71</v>
      </c>
      <c r="O195" s="21">
        <v>1341</v>
      </c>
      <c r="P195" s="13">
        <v>4.4000000000000004</v>
      </c>
      <c r="Q195" s="13" t="s">
        <v>26</v>
      </c>
    </row>
    <row r="196" spans="1:17" x14ac:dyDescent="0.25">
      <c r="A196" s="13" t="s">
        <v>354</v>
      </c>
      <c r="B196" s="14">
        <v>45927</v>
      </c>
      <c r="C196" s="13" t="s">
        <v>51</v>
      </c>
      <c r="D196" s="13" t="s">
        <v>70</v>
      </c>
      <c r="E196" s="13" t="s">
        <v>101</v>
      </c>
      <c r="F196" s="13" t="s">
        <v>61</v>
      </c>
      <c r="G196" s="13" t="s">
        <v>44</v>
      </c>
      <c r="H196" s="13" t="s">
        <v>24</v>
      </c>
      <c r="I196" s="13" t="s">
        <v>34</v>
      </c>
      <c r="J196" s="13">
        <v>3</v>
      </c>
      <c r="K196" s="21">
        <v>546</v>
      </c>
      <c r="L196" s="21">
        <v>1638</v>
      </c>
      <c r="M196" s="23">
        <v>0.05</v>
      </c>
      <c r="N196" s="21">
        <v>82</v>
      </c>
      <c r="O196" s="21">
        <v>1556</v>
      </c>
      <c r="P196" s="13">
        <v>4.9000000000000004</v>
      </c>
      <c r="Q196" s="13" t="s">
        <v>26</v>
      </c>
    </row>
    <row r="197" spans="1:17" x14ac:dyDescent="0.25">
      <c r="A197" s="13" t="s">
        <v>355</v>
      </c>
      <c r="B197" s="14">
        <v>45928</v>
      </c>
      <c r="C197" s="13" t="s">
        <v>91</v>
      </c>
      <c r="D197" s="13" t="s">
        <v>92</v>
      </c>
      <c r="E197" s="13" t="s">
        <v>155</v>
      </c>
      <c r="F197" s="13" t="s">
        <v>79</v>
      </c>
      <c r="G197" s="13" t="s">
        <v>32</v>
      </c>
      <c r="H197" s="13" t="s">
        <v>33</v>
      </c>
      <c r="I197" s="13" t="s">
        <v>25</v>
      </c>
      <c r="J197" s="13">
        <v>3</v>
      </c>
      <c r="K197" s="21">
        <v>1216</v>
      </c>
      <c r="L197" s="21">
        <v>3648</v>
      </c>
      <c r="M197" s="23">
        <v>0.15</v>
      </c>
      <c r="N197" s="21">
        <v>547</v>
      </c>
      <c r="O197" s="21">
        <v>3101</v>
      </c>
      <c r="P197" s="13">
        <v>4.5999999999999996</v>
      </c>
      <c r="Q197" s="13" t="s">
        <v>26</v>
      </c>
    </row>
    <row r="198" spans="1:17" x14ac:dyDescent="0.25">
      <c r="A198" s="13" t="s">
        <v>357</v>
      </c>
      <c r="B198" s="14">
        <v>45928</v>
      </c>
      <c r="C198" s="13" t="s">
        <v>51</v>
      </c>
      <c r="D198" s="13" t="s">
        <v>97</v>
      </c>
      <c r="E198" s="13" t="s">
        <v>42</v>
      </c>
      <c r="F198" s="13" t="s">
        <v>79</v>
      </c>
      <c r="G198" s="13" t="s">
        <v>32</v>
      </c>
      <c r="H198" s="13" t="s">
        <v>104</v>
      </c>
      <c r="I198" s="13" t="s">
        <v>45</v>
      </c>
      <c r="J198" s="13">
        <v>5</v>
      </c>
      <c r="K198" s="21">
        <v>362</v>
      </c>
      <c r="L198" s="21">
        <v>1810</v>
      </c>
      <c r="M198" s="23">
        <v>0.15</v>
      </c>
      <c r="N198" s="21">
        <v>272</v>
      </c>
      <c r="O198" s="21">
        <v>1538</v>
      </c>
      <c r="P198" s="13">
        <v>4.4000000000000004</v>
      </c>
      <c r="Q198" s="13" t="s">
        <v>26</v>
      </c>
    </row>
    <row r="199" spans="1:17" x14ac:dyDescent="0.25">
      <c r="A199" s="13" t="s">
        <v>358</v>
      </c>
      <c r="B199" s="14">
        <v>45929</v>
      </c>
      <c r="C199" s="13" t="s">
        <v>40</v>
      </c>
      <c r="D199" s="13" t="s">
        <v>41</v>
      </c>
      <c r="E199" s="13" t="s">
        <v>78</v>
      </c>
      <c r="F199" s="13" t="s">
        <v>65</v>
      </c>
      <c r="G199" s="13" t="s">
        <v>23</v>
      </c>
      <c r="H199" s="13" t="s">
        <v>33</v>
      </c>
      <c r="I199" s="13" t="s">
        <v>84</v>
      </c>
      <c r="J199" s="13">
        <v>1</v>
      </c>
      <c r="K199" s="21">
        <v>1105</v>
      </c>
      <c r="L199" s="21">
        <v>1105</v>
      </c>
      <c r="M199" s="23">
        <v>0</v>
      </c>
      <c r="N199" s="21">
        <v>0</v>
      </c>
      <c r="O199" s="21">
        <v>1105</v>
      </c>
      <c r="P199" s="13">
        <v>4.4000000000000004</v>
      </c>
      <c r="Q199" s="13" t="s">
        <v>26</v>
      </c>
    </row>
    <row r="200" spans="1:17" x14ac:dyDescent="0.25">
      <c r="A200" s="13" t="s">
        <v>360</v>
      </c>
      <c r="B200" s="14">
        <v>45929</v>
      </c>
      <c r="C200" s="13" t="s">
        <v>91</v>
      </c>
      <c r="D200" s="13" t="s">
        <v>92</v>
      </c>
      <c r="E200" s="13" t="s">
        <v>21</v>
      </c>
      <c r="F200" s="13" t="s">
        <v>61</v>
      </c>
      <c r="G200" s="13" t="s">
        <v>32</v>
      </c>
      <c r="H200" s="13" t="s">
        <v>24</v>
      </c>
      <c r="I200" s="13" t="s">
        <v>84</v>
      </c>
      <c r="J200" s="13">
        <v>3</v>
      </c>
      <c r="K200" s="21">
        <v>2371</v>
      </c>
      <c r="L200" s="21">
        <v>7113</v>
      </c>
      <c r="M200" s="23">
        <v>0.25</v>
      </c>
      <c r="N200" s="21">
        <v>1778</v>
      </c>
      <c r="O200" s="21">
        <v>5335</v>
      </c>
      <c r="P200" s="13">
        <v>3.4</v>
      </c>
      <c r="Q200" s="13" t="s">
        <v>26</v>
      </c>
    </row>
    <row r="201" spans="1:17" x14ac:dyDescent="0.25">
      <c r="A201" s="13" t="s">
        <v>361</v>
      </c>
      <c r="B201" s="14">
        <v>45930</v>
      </c>
      <c r="C201" s="13" t="s">
        <v>28</v>
      </c>
      <c r="D201" s="13" t="s">
        <v>77</v>
      </c>
      <c r="E201" s="13" t="s">
        <v>37</v>
      </c>
      <c r="F201" s="13" t="s">
        <v>119</v>
      </c>
      <c r="G201" s="13" t="s">
        <v>32</v>
      </c>
      <c r="H201" s="13" t="s">
        <v>33</v>
      </c>
      <c r="I201" s="13" t="s">
        <v>84</v>
      </c>
      <c r="J201" s="13">
        <v>3</v>
      </c>
      <c r="K201" s="21">
        <v>374</v>
      </c>
      <c r="L201" s="21">
        <v>1122</v>
      </c>
      <c r="M201" s="23">
        <v>0.25</v>
      </c>
      <c r="N201" s="21">
        <v>280</v>
      </c>
      <c r="O201" s="21">
        <v>842</v>
      </c>
      <c r="P201" s="13">
        <v>3.4</v>
      </c>
      <c r="Q201" s="13" t="s">
        <v>26</v>
      </c>
    </row>
    <row r="202" spans="1:17" x14ac:dyDescent="0.25">
      <c r="A202" s="13" t="s">
        <v>363</v>
      </c>
      <c r="B202" s="14">
        <v>45930</v>
      </c>
      <c r="C202" s="13" t="s">
        <v>28</v>
      </c>
      <c r="D202" s="13" t="s">
        <v>36</v>
      </c>
      <c r="E202" s="13" t="s">
        <v>78</v>
      </c>
      <c r="F202" s="13" t="s">
        <v>22</v>
      </c>
      <c r="G202" s="13" t="s">
        <v>23</v>
      </c>
      <c r="H202" s="13" t="s">
        <v>24</v>
      </c>
      <c r="I202" s="13" t="s">
        <v>84</v>
      </c>
      <c r="J202" s="13">
        <v>1</v>
      </c>
      <c r="K202" s="21">
        <v>1031</v>
      </c>
      <c r="L202" s="21">
        <v>1031</v>
      </c>
      <c r="M202" s="23">
        <v>0.1</v>
      </c>
      <c r="N202" s="21">
        <v>103</v>
      </c>
      <c r="O202" s="21">
        <v>928</v>
      </c>
      <c r="P202" s="13">
        <v>4</v>
      </c>
      <c r="Q202" s="13" t="s">
        <v>26</v>
      </c>
    </row>
    <row r="203" spans="1:17" x14ac:dyDescent="0.25">
      <c r="A203" s="13" t="s">
        <v>364</v>
      </c>
      <c r="B203" s="14">
        <v>45930</v>
      </c>
      <c r="C203" s="13" t="s">
        <v>19</v>
      </c>
      <c r="D203" s="13" t="s">
        <v>121</v>
      </c>
      <c r="E203" s="13" t="s">
        <v>71</v>
      </c>
      <c r="F203" s="13" t="s">
        <v>61</v>
      </c>
      <c r="G203" s="13" t="s">
        <v>23</v>
      </c>
      <c r="H203" s="13" t="s">
        <v>24</v>
      </c>
      <c r="I203" s="13" t="s">
        <v>98</v>
      </c>
      <c r="J203" s="13">
        <v>3</v>
      </c>
      <c r="K203" s="21">
        <v>304</v>
      </c>
      <c r="L203" s="21">
        <v>912</v>
      </c>
      <c r="M203" s="23">
        <v>0.25</v>
      </c>
      <c r="N203" s="21">
        <v>228</v>
      </c>
      <c r="O203" s="21">
        <v>684</v>
      </c>
      <c r="P203" s="13">
        <v>4.4000000000000004</v>
      </c>
      <c r="Q203" s="13" t="s">
        <v>26</v>
      </c>
    </row>
    <row r="204" spans="1:17" x14ac:dyDescent="0.25">
      <c r="A204" s="13" t="s">
        <v>365</v>
      </c>
      <c r="B204" s="14">
        <v>45930</v>
      </c>
      <c r="C204" s="13" t="s">
        <v>63</v>
      </c>
      <c r="D204" s="13" t="s">
        <v>143</v>
      </c>
      <c r="E204" s="13" t="s">
        <v>48</v>
      </c>
      <c r="F204" s="13" t="s">
        <v>61</v>
      </c>
      <c r="G204" s="13" t="s">
        <v>44</v>
      </c>
      <c r="H204" s="13" t="s">
        <v>33</v>
      </c>
      <c r="I204" s="13" t="s">
        <v>25</v>
      </c>
      <c r="J204" s="13">
        <v>1</v>
      </c>
      <c r="K204" s="21">
        <v>2005</v>
      </c>
      <c r="L204" s="21">
        <v>2005</v>
      </c>
      <c r="M204" s="23">
        <v>0.15</v>
      </c>
      <c r="N204" s="21">
        <v>301</v>
      </c>
      <c r="O204" s="21">
        <v>1704</v>
      </c>
      <c r="P204" s="13">
        <v>5</v>
      </c>
      <c r="Q204" s="13" t="s">
        <v>26</v>
      </c>
    </row>
    <row r="205" spans="1:17" x14ac:dyDescent="0.25">
      <c r="A205" s="13" t="s">
        <v>366</v>
      </c>
      <c r="B205" s="14">
        <v>45930</v>
      </c>
      <c r="C205" s="13" t="s">
        <v>19</v>
      </c>
      <c r="D205" s="13" t="s">
        <v>230</v>
      </c>
      <c r="E205" s="13" t="s">
        <v>37</v>
      </c>
      <c r="F205" s="13" t="s">
        <v>61</v>
      </c>
      <c r="G205" s="13" t="s">
        <v>32</v>
      </c>
      <c r="H205" s="13" t="s">
        <v>33</v>
      </c>
      <c r="I205" s="13" t="s">
        <v>84</v>
      </c>
      <c r="J205" s="13">
        <v>4</v>
      </c>
      <c r="K205" s="21">
        <v>226</v>
      </c>
      <c r="L205" s="21">
        <v>904</v>
      </c>
      <c r="M205" s="23">
        <v>0.1</v>
      </c>
      <c r="N205" s="21">
        <v>90</v>
      </c>
      <c r="O205" s="21">
        <v>814</v>
      </c>
      <c r="P205" s="13">
        <v>4.4000000000000004</v>
      </c>
      <c r="Q205" s="13" t="s">
        <v>26</v>
      </c>
    </row>
    <row r="206" spans="1:17" x14ac:dyDescent="0.25">
      <c r="A206" s="13" t="s">
        <v>367</v>
      </c>
      <c r="B206" s="14">
        <v>45932</v>
      </c>
      <c r="C206" s="13" t="s">
        <v>19</v>
      </c>
      <c r="D206" s="13" t="s">
        <v>20</v>
      </c>
      <c r="E206" s="13" t="s">
        <v>48</v>
      </c>
      <c r="F206" s="13" t="s">
        <v>119</v>
      </c>
      <c r="G206" s="13" t="s">
        <v>32</v>
      </c>
      <c r="H206" s="13" t="s">
        <v>104</v>
      </c>
      <c r="I206" s="13" t="s">
        <v>45</v>
      </c>
      <c r="J206" s="13">
        <v>4</v>
      </c>
      <c r="K206" s="21">
        <v>175</v>
      </c>
      <c r="L206" s="21">
        <v>700</v>
      </c>
      <c r="M206" s="23">
        <v>0.15</v>
      </c>
      <c r="N206" s="21">
        <v>105</v>
      </c>
      <c r="O206" s="21">
        <v>595</v>
      </c>
      <c r="P206" s="13">
        <v>3.4</v>
      </c>
      <c r="Q206" s="13" t="s">
        <v>26</v>
      </c>
    </row>
    <row r="207" spans="1:17" x14ac:dyDescent="0.25">
      <c r="A207" s="13" t="s">
        <v>369</v>
      </c>
      <c r="B207" s="14">
        <v>45933</v>
      </c>
      <c r="C207" s="13" t="s">
        <v>28</v>
      </c>
      <c r="D207" s="13" t="s">
        <v>95</v>
      </c>
      <c r="E207" s="13" t="s">
        <v>155</v>
      </c>
      <c r="F207" s="13" t="s">
        <v>65</v>
      </c>
      <c r="G207" s="13" t="s">
        <v>23</v>
      </c>
      <c r="H207" s="13" t="s">
        <v>33</v>
      </c>
      <c r="I207" s="13" t="s">
        <v>25</v>
      </c>
      <c r="J207" s="13">
        <v>4</v>
      </c>
      <c r="K207" s="21">
        <v>1214</v>
      </c>
      <c r="L207" s="21">
        <v>4856</v>
      </c>
      <c r="M207" s="23">
        <v>0.1</v>
      </c>
      <c r="N207" s="21">
        <v>486</v>
      </c>
      <c r="O207" s="21">
        <v>4370</v>
      </c>
      <c r="P207" s="13">
        <v>4.5999999999999996</v>
      </c>
      <c r="Q207" s="13" t="s">
        <v>26</v>
      </c>
    </row>
    <row r="208" spans="1:17" x14ac:dyDescent="0.25">
      <c r="A208" s="13" t="s">
        <v>371</v>
      </c>
      <c r="B208" s="14">
        <v>45934</v>
      </c>
      <c r="C208" s="13" t="s">
        <v>28</v>
      </c>
      <c r="D208" s="13" t="s">
        <v>29</v>
      </c>
      <c r="E208" s="13" t="s">
        <v>48</v>
      </c>
      <c r="F208" s="13" t="s">
        <v>72</v>
      </c>
      <c r="G208" s="13" t="s">
        <v>23</v>
      </c>
      <c r="H208" s="13" t="s">
        <v>24</v>
      </c>
      <c r="I208" s="13" t="s">
        <v>98</v>
      </c>
      <c r="J208" s="13">
        <v>5</v>
      </c>
      <c r="K208" s="21">
        <v>757</v>
      </c>
      <c r="L208" s="21">
        <v>3785</v>
      </c>
      <c r="M208" s="23">
        <v>0.2</v>
      </c>
      <c r="N208" s="21">
        <v>757</v>
      </c>
      <c r="O208" s="21">
        <v>3028</v>
      </c>
      <c r="P208" s="13">
        <v>4.2</v>
      </c>
      <c r="Q208" s="13" t="s">
        <v>26</v>
      </c>
    </row>
    <row r="209" spans="1:17" x14ac:dyDescent="0.25">
      <c r="A209" s="13" t="s">
        <v>373</v>
      </c>
      <c r="B209" s="14">
        <v>45934</v>
      </c>
      <c r="C209" s="13" t="s">
        <v>28</v>
      </c>
      <c r="D209" s="13" t="s">
        <v>95</v>
      </c>
      <c r="E209" s="13" t="s">
        <v>37</v>
      </c>
      <c r="F209" s="13" t="s">
        <v>61</v>
      </c>
      <c r="G209" s="13" t="s">
        <v>23</v>
      </c>
      <c r="H209" s="13" t="s">
        <v>104</v>
      </c>
      <c r="I209" s="13" t="s">
        <v>25</v>
      </c>
      <c r="J209" s="13">
        <v>3</v>
      </c>
      <c r="K209" s="21">
        <v>1051</v>
      </c>
      <c r="L209" s="21">
        <v>3153</v>
      </c>
      <c r="M209" s="23">
        <v>0.25</v>
      </c>
      <c r="N209" s="21">
        <v>788</v>
      </c>
      <c r="O209" s="21">
        <v>2365</v>
      </c>
      <c r="P209" s="13">
        <v>4</v>
      </c>
      <c r="Q209" s="13" t="s">
        <v>75</v>
      </c>
    </row>
    <row r="210" spans="1:17" x14ac:dyDescent="0.25">
      <c r="A210" s="13" t="s">
        <v>374</v>
      </c>
      <c r="B210" s="14">
        <v>45935</v>
      </c>
      <c r="C210" s="13" t="s">
        <v>51</v>
      </c>
      <c r="D210" s="13" t="s">
        <v>70</v>
      </c>
      <c r="E210" s="13" t="s">
        <v>30</v>
      </c>
      <c r="F210" s="13" t="s">
        <v>130</v>
      </c>
      <c r="G210" s="13" t="s">
        <v>44</v>
      </c>
      <c r="H210" s="13" t="s">
        <v>104</v>
      </c>
      <c r="I210" s="13" t="s">
        <v>34</v>
      </c>
      <c r="J210" s="13">
        <v>1</v>
      </c>
      <c r="K210" s="21">
        <v>561</v>
      </c>
      <c r="L210" s="21">
        <v>561</v>
      </c>
      <c r="M210" s="23">
        <v>0.3</v>
      </c>
      <c r="N210" s="21">
        <v>168</v>
      </c>
      <c r="O210" s="21">
        <v>393</v>
      </c>
      <c r="P210" s="13">
        <v>3.3</v>
      </c>
      <c r="Q210" s="13" t="s">
        <v>26</v>
      </c>
    </row>
    <row r="211" spans="1:17" x14ac:dyDescent="0.25">
      <c r="A211" s="13" t="s">
        <v>376</v>
      </c>
      <c r="B211" s="14">
        <v>45935</v>
      </c>
      <c r="C211" s="13" t="s">
        <v>19</v>
      </c>
      <c r="D211" s="13" t="s">
        <v>20</v>
      </c>
      <c r="E211" s="13" t="s">
        <v>48</v>
      </c>
      <c r="F211" s="13" t="s">
        <v>72</v>
      </c>
      <c r="G211" s="13" t="s">
        <v>23</v>
      </c>
      <c r="H211" s="13" t="s">
        <v>24</v>
      </c>
      <c r="I211" s="13" t="s">
        <v>45</v>
      </c>
      <c r="J211" s="13">
        <v>5</v>
      </c>
      <c r="K211" s="21">
        <v>534</v>
      </c>
      <c r="L211" s="21">
        <v>2670</v>
      </c>
      <c r="M211" s="23">
        <v>0.25</v>
      </c>
      <c r="N211" s="21">
        <v>668</v>
      </c>
      <c r="O211" s="21">
        <v>2002</v>
      </c>
      <c r="P211" s="13">
        <v>4.3</v>
      </c>
      <c r="Q211" s="13" t="s">
        <v>26</v>
      </c>
    </row>
    <row r="212" spans="1:17" x14ac:dyDescent="0.25">
      <c r="A212" s="13" t="s">
        <v>377</v>
      </c>
      <c r="B212" s="14">
        <v>45936</v>
      </c>
      <c r="C212" s="13" t="s">
        <v>40</v>
      </c>
      <c r="D212" s="13" t="s">
        <v>41</v>
      </c>
      <c r="E212" s="13" t="s">
        <v>48</v>
      </c>
      <c r="F212" s="13" t="s">
        <v>22</v>
      </c>
      <c r="G212" s="13" t="s">
        <v>32</v>
      </c>
      <c r="H212" s="13" t="s">
        <v>33</v>
      </c>
      <c r="I212" s="13" t="s">
        <v>84</v>
      </c>
      <c r="J212" s="13">
        <v>5</v>
      </c>
      <c r="K212" s="21">
        <v>639</v>
      </c>
      <c r="L212" s="21">
        <v>3195</v>
      </c>
      <c r="M212" s="23">
        <v>0.15</v>
      </c>
      <c r="N212" s="21">
        <v>479</v>
      </c>
      <c r="O212" s="21">
        <v>2716</v>
      </c>
      <c r="P212" s="13">
        <v>4.4000000000000004</v>
      </c>
      <c r="Q212" s="13" t="s">
        <v>26</v>
      </c>
    </row>
    <row r="213" spans="1:17" x14ac:dyDescent="0.25">
      <c r="A213" s="13" t="s">
        <v>379</v>
      </c>
      <c r="B213" s="14">
        <v>45936</v>
      </c>
      <c r="C213" s="13" t="s">
        <v>63</v>
      </c>
      <c r="D213" s="13" t="s">
        <v>143</v>
      </c>
      <c r="E213" s="13" t="s">
        <v>82</v>
      </c>
      <c r="F213" s="13" t="s">
        <v>65</v>
      </c>
      <c r="G213" s="13" t="s">
        <v>23</v>
      </c>
      <c r="H213" s="13" t="s">
        <v>24</v>
      </c>
      <c r="I213" s="13" t="s">
        <v>98</v>
      </c>
      <c r="J213" s="13">
        <v>1</v>
      </c>
      <c r="K213" s="21">
        <v>1970</v>
      </c>
      <c r="L213" s="21">
        <v>1970</v>
      </c>
      <c r="M213" s="23">
        <v>0</v>
      </c>
      <c r="N213" s="21">
        <v>0</v>
      </c>
      <c r="O213" s="21">
        <v>1970</v>
      </c>
      <c r="P213" s="13">
        <v>3.3</v>
      </c>
      <c r="Q213" s="13" t="s">
        <v>26</v>
      </c>
    </row>
    <row r="214" spans="1:17" x14ac:dyDescent="0.25">
      <c r="A214" s="13" t="s">
        <v>380</v>
      </c>
      <c r="B214" s="14">
        <v>45936</v>
      </c>
      <c r="C214" s="13" t="s">
        <v>91</v>
      </c>
      <c r="D214" s="13" t="s">
        <v>110</v>
      </c>
      <c r="E214" s="13" t="s">
        <v>21</v>
      </c>
      <c r="F214" s="13" t="s">
        <v>119</v>
      </c>
      <c r="G214" s="13" t="s">
        <v>23</v>
      </c>
      <c r="H214" s="13" t="s">
        <v>33</v>
      </c>
      <c r="I214" s="13" t="s">
        <v>98</v>
      </c>
      <c r="J214" s="13">
        <v>1</v>
      </c>
      <c r="K214" s="21">
        <v>2429</v>
      </c>
      <c r="L214" s="21">
        <v>2429</v>
      </c>
      <c r="M214" s="23">
        <v>0.15</v>
      </c>
      <c r="N214" s="21">
        <v>364</v>
      </c>
      <c r="O214" s="21">
        <v>2065</v>
      </c>
      <c r="P214" s="13">
        <v>4</v>
      </c>
      <c r="Q214" s="13" t="s">
        <v>26</v>
      </c>
    </row>
    <row r="215" spans="1:17" x14ac:dyDescent="0.25">
      <c r="A215" s="13" t="s">
        <v>381</v>
      </c>
      <c r="B215" s="14">
        <v>45940</v>
      </c>
      <c r="C215" s="13" t="s">
        <v>19</v>
      </c>
      <c r="D215" s="13" t="s">
        <v>20</v>
      </c>
      <c r="E215" s="13" t="s">
        <v>82</v>
      </c>
      <c r="F215" s="13" t="s">
        <v>79</v>
      </c>
      <c r="G215" s="13" t="s">
        <v>23</v>
      </c>
      <c r="H215" s="13" t="s">
        <v>33</v>
      </c>
      <c r="I215" s="13" t="s">
        <v>25</v>
      </c>
      <c r="J215" s="13">
        <v>1</v>
      </c>
      <c r="K215" s="21">
        <v>265</v>
      </c>
      <c r="L215" s="21">
        <v>265</v>
      </c>
      <c r="M215" s="23">
        <v>0.1</v>
      </c>
      <c r="N215" s="21">
        <v>26</v>
      </c>
      <c r="O215" s="21">
        <v>239</v>
      </c>
      <c r="P215" s="13">
        <v>4.5999999999999996</v>
      </c>
      <c r="Q215" s="13" t="s">
        <v>26</v>
      </c>
    </row>
    <row r="216" spans="1:17" x14ac:dyDescent="0.25">
      <c r="A216" s="13" t="s">
        <v>383</v>
      </c>
      <c r="B216" s="14">
        <v>45940</v>
      </c>
      <c r="C216" s="13" t="s">
        <v>40</v>
      </c>
      <c r="D216" s="13" t="s">
        <v>47</v>
      </c>
      <c r="E216" s="13" t="s">
        <v>60</v>
      </c>
      <c r="F216" s="13" t="s">
        <v>31</v>
      </c>
      <c r="G216" s="13" t="s">
        <v>32</v>
      </c>
      <c r="H216" s="13" t="s">
        <v>33</v>
      </c>
      <c r="I216" s="13" t="s">
        <v>25</v>
      </c>
      <c r="J216" s="13">
        <v>2</v>
      </c>
      <c r="K216" s="21">
        <v>1441</v>
      </c>
      <c r="L216" s="21">
        <v>2882</v>
      </c>
      <c r="M216" s="23">
        <v>0.25</v>
      </c>
      <c r="N216" s="21">
        <v>720</v>
      </c>
      <c r="O216" s="21">
        <v>2162</v>
      </c>
      <c r="P216" s="13">
        <v>4.0999999999999996</v>
      </c>
      <c r="Q216" s="13" t="s">
        <v>26</v>
      </c>
    </row>
    <row r="217" spans="1:17" x14ac:dyDescent="0.25">
      <c r="A217" s="13" t="s">
        <v>384</v>
      </c>
      <c r="B217" s="14">
        <v>45940</v>
      </c>
      <c r="C217" s="13" t="s">
        <v>28</v>
      </c>
      <c r="D217" s="13" t="s">
        <v>77</v>
      </c>
      <c r="E217" s="13" t="s">
        <v>71</v>
      </c>
      <c r="F217" s="13" t="s">
        <v>61</v>
      </c>
      <c r="G217" s="13" t="s">
        <v>23</v>
      </c>
      <c r="H217" s="13" t="s">
        <v>33</v>
      </c>
      <c r="I217" s="13" t="s">
        <v>98</v>
      </c>
      <c r="J217" s="13">
        <v>5</v>
      </c>
      <c r="K217" s="21">
        <v>1296</v>
      </c>
      <c r="L217" s="21">
        <v>6480</v>
      </c>
      <c r="M217" s="23">
        <v>0.2</v>
      </c>
      <c r="N217" s="21">
        <v>1296</v>
      </c>
      <c r="O217" s="21">
        <v>5184</v>
      </c>
      <c r="P217" s="13">
        <v>3.6</v>
      </c>
      <c r="Q217" s="13" t="s">
        <v>26</v>
      </c>
    </row>
    <row r="218" spans="1:17" x14ac:dyDescent="0.25">
      <c r="A218" s="13" t="s">
        <v>385</v>
      </c>
      <c r="B218" s="14">
        <v>45940</v>
      </c>
      <c r="C218" s="13" t="s">
        <v>28</v>
      </c>
      <c r="D218" s="13" t="s">
        <v>36</v>
      </c>
      <c r="E218" s="13" t="s">
        <v>42</v>
      </c>
      <c r="F218" s="13" t="s">
        <v>31</v>
      </c>
      <c r="G218" s="13" t="s">
        <v>23</v>
      </c>
      <c r="H218" s="13" t="s">
        <v>24</v>
      </c>
      <c r="I218" s="13" t="s">
        <v>45</v>
      </c>
      <c r="J218" s="13">
        <v>5</v>
      </c>
      <c r="K218" s="21">
        <v>1134</v>
      </c>
      <c r="L218" s="21">
        <v>5670</v>
      </c>
      <c r="M218" s="23">
        <v>0</v>
      </c>
      <c r="N218" s="21">
        <v>0</v>
      </c>
      <c r="O218" s="21">
        <v>5670</v>
      </c>
      <c r="P218" s="13">
        <v>4</v>
      </c>
      <c r="Q218" s="13" t="s">
        <v>26</v>
      </c>
    </row>
    <row r="219" spans="1:17" x14ac:dyDescent="0.25">
      <c r="A219" s="13" t="s">
        <v>386</v>
      </c>
      <c r="B219" s="14">
        <v>45940</v>
      </c>
      <c r="C219" s="13" t="s">
        <v>51</v>
      </c>
      <c r="D219" s="13" t="s">
        <v>70</v>
      </c>
      <c r="E219" s="13" t="s">
        <v>60</v>
      </c>
      <c r="F219" s="13" t="s">
        <v>72</v>
      </c>
      <c r="G219" s="13" t="s">
        <v>23</v>
      </c>
      <c r="H219" s="13" t="s">
        <v>24</v>
      </c>
      <c r="I219" s="13" t="s">
        <v>45</v>
      </c>
      <c r="J219" s="13">
        <v>5</v>
      </c>
      <c r="K219" s="21">
        <v>295</v>
      </c>
      <c r="L219" s="21">
        <v>1475</v>
      </c>
      <c r="M219" s="23">
        <v>0</v>
      </c>
      <c r="N219" s="21">
        <v>0</v>
      </c>
      <c r="O219" s="21">
        <v>1475</v>
      </c>
      <c r="P219" s="13">
        <v>4.9000000000000004</v>
      </c>
      <c r="Q219" s="13" t="s">
        <v>26</v>
      </c>
    </row>
    <row r="220" spans="1:17" x14ac:dyDescent="0.25">
      <c r="A220" s="13" t="s">
        <v>387</v>
      </c>
      <c r="B220" s="14">
        <v>45941</v>
      </c>
      <c r="C220" s="13" t="s">
        <v>51</v>
      </c>
      <c r="D220" s="13" t="s">
        <v>97</v>
      </c>
      <c r="E220" s="13" t="s">
        <v>155</v>
      </c>
      <c r="F220" s="13" t="s">
        <v>65</v>
      </c>
      <c r="G220" s="13" t="s">
        <v>23</v>
      </c>
      <c r="H220" s="13" t="s">
        <v>33</v>
      </c>
      <c r="I220" s="13" t="s">
        <v>34</v>
      </c>
      <c r="J220" s="13">
        <v>4</v>
      </c>
      <c r="K220" s="21">
        <v>734</v>
      </c>
      <c r="L220" s="21">
        <v>2936</v>
      </c>
      <c r="M220" s="23">
        <v>0.15</v>
      </c>
      <c r="N220" s="21">
        <v>440</v>
      </c>
      <c r="O220" s="21">
        <v>2496</v>
      </c>
      <c r="P220" s="13">
        <v>3.4</v>
      </c>
      <c r="Q220" s="13" t="s">
        <v>26</v>
      </c>
    </row>
    <row r="221" spans="1:17" x14ac:dyDescent="0.25">
      <c r="A221" s="13" t="s">
        <v>389</v>
      </c>
      <c r="B221" s="14">
        <v>45941</v>
      </c>
      <c r="C221" s="13" t="s">
        <v>91</v>
      </c>
      <c r="D221" s="13" t="s">
        <v>110</v>
      </c>
      <c r="E221" s="13" t="s">
        <v>48</v>
      </c>
      <c r="F221" s="13" t="s">
        <v>22</v>
      </c>
      <c r="G221" s="13" t="s">
        <v>23</v>
      </c>
      <c r="H221" s="13" t="s">
        <v>104</v>
      </c>
      <c r="I221" s="13" t="s">
        <v>98</v>
      </c>
      <c r="J221" s="13">
        <v>1</v>
      </c>
      <c r="K221" s="21">
        <v>2973</v>
      </c>
      <c r="L221" s="21">
        <v>2973</v>
      </c>
      <c r="M221" s="23">
        <v>0.3</v>
      </c>
      <c r="N221" s="21">
        <v>892</v>
      </c>
      <c r="O221" s="21">
        <v>2081</v>
      </c>
      <c r="P221" s="13">
        <v>4.5</v>
      </c>
      <c r="Q221" s="13" t="s">
        <v>26</v>
      </c>
    </row>
    <row r="222" spans="1:17" x14ac:dyDescent="0.25">
      <c r="A222" s="13" t="s">
        <v>390</v>
      </c>
      <c r="B222" s="14">
        <v>45941</v>
      </c>
      <c r="C222" s="13" t="s">
        <v>91</v>
      </c>
      <c r="D222" s="13" t="s">
        <v>125</v>
      </c>
      <c r="E222" s="13" t="s">
        <v>42</v>
      </c>
      <c r="F222" s="13" t="s">
        <v>83</v>
      </c>
      <c r="G222" s="13" t="s">
        <v>32</v>
      </c>
      <c r="H222" s="13" t="s">
        <v>24</v>
      </c>
      <c r="I222" s="13" t="s">
        <v>45</v>
      </c>
      <c r="J222" s="13">
        <v>4</v>
      </c>
      <c r="K222" s="21">
        <v>1998</v>
      </c>
      <c r="L222" s="21">
        <v>7992</v>
      </c>
      <c r="M222" s="23">
        <v>0.1</v>
      </c>
      <c r="N222" s="21">
        <v>799</v>
      </c>
      <c r="O222" s="21">
        <v>7193</v>
      </c>
      <c r="P222" s="13">
        <v>4.7</v>
      </c>
      <c r="Q222" s="13" t="s">
        <v>26</v>
      </c>
    </row>
    <row r="223" spans="1:17" x14ac:dyDescent="0.25">
      <c r="A223" s="13" t="s">
        <v>391</v>
      </c>
      <c r="B223" s="14">
        <v>45941</v>
      </c>
      <c r="C223" s="13" t="s">
        <v>91</v>
      </c>
      <c r="D223" s="13" t="s">
        <v>110</v>
      </c>
      <c r="E223" s="13" t="s">
        <v>53</v>
      </c>
      <c r="F223" s="13" t="s">
        <v>65</v>
      </c>
      <c r="G223" s="13" t="s">
        <v>32</v>
      </c>
      <c r="H223" s="13" t="s">
        <v>104</v>
      </c>
      <c r="I223" s="13" t="s">
        <v>34</v>
      </c>
      <c r="J223" s="13">
        <v>4</v>
      </c>
      <c r="K223" s="21">
        <v>1237</v>
      </c>
      <c r="L223" s="21">
        <v>4948</v>
      </c>
      <c r="M223" s="23">
        <v>0</v>
      </c>
      <c r="N223" s="21">
        <v>0</v>
      </c>
      <c r="O223" s="21">
        <v>4948</v>
      </c>
      <c r="P223" s="13">
        <v>4.2</v>
      </c>
      <c r="Q223" s="13" t="s">
        <v>26</v>
      </c>
    </row>
    <row r="224" spans="1:17" x14ac:dyDescent="0.25">
      <c r="A224" s="13" t="s">
        <v>392</v>
      </c>
      <c r="B224" s="14">
        <v>45941</v>
      </c>
      <c r="C224" s="13" t="s">
        <v>91</v>
      </c>
      <c r="D224" s="13" t="s">
        <v>110</v>
      </c>
      <c r="E224" s="13" t="s">
        <v>21</v>
      </c>
      <c r="F224" s="13" t="s">
        <v>79</v>
      </c>
      <c r="G224" s="13" t="s">
        <v>23</v>
      </c>
      <c r="H224" s="13" t="s">
        <v>33</v>
      </c>
      <c r="I224" s="13" t="s">
        <v>25</v>
      </c>
      <c r="J224" s="13">
        <v>2</v>
      </c>
      <c r="K224" s="21">
        <v>1851</v>
      </c>
      <c r="L224" s="21">
        <v>3702</v>
      </c>
      <c r="M224" s="23">
        <v>0.15</v>
      </c>
      <c r="N224" s="21">
        <v>555</v>
      </c>
      <c r="O224" s="21">
        <v>3147</v>
      </c>
      <c r="P224" s="13">
        <v>3.6</v>
      </c>
      <c r="Q224" s="13" t="s">
        <v>26</v>
      </c>
    </row>
    <row r="225" spans="1:17" x14ac:dyDescent="0.25">
      <c r="A225" s="13" t="s">
        <v>393</v>
      </c>
      <c r="B225" s="14">
        <v>45942</v>
      </c>
      <c r="C225" s="13" t="s">
        <v>28</v>
      </c>
      <c r="D225" s="13" t="s">
        <v>36</v>
      </c>
      <c r="E225" s="13" t="s">
        <v>60</v>
      </c>
      <c r="F225" s="13" t="s">
        <v>119</v>
      </c>
      <c r="G225" s="13" t="s">
        <v>23</v>
      </c>
      <c r="H225" s="13" t="s">
        <v>33</v>
      </c>
      <c r="I225" s="13" t="s">
        <v>25</v>
      </c>
      <c r="J225" s="13">
        <v>3</v>
      </c>
      <c r="K225" s="21">
        <v>349</v>
      </c>
      <c r="L225" s="21">
        <v>1047</v>
      </c>
      <c r="M225" s="23">
        <v>0.3</v>
      </c>
      <c r="N225" s="21">
        <v>314</v>
      </c>
      <c r="O225" s="21">
        <v>733</v>
      </c>
      <c r="P225" s="13">
        <v>4</v>
      </c>
      <c r="Q225" s="13" t="s">
        <v>26</v>
      </c>
    </row>
    <row r="226" spans="1:17" x14ac:dyDescent="0.25">
      <c r="A226" s="13" t="s">
        <v>395</v>
      </c>
      <c r="B226" s="14">
        <v>45943</v>
      </c>
      <c r="C226" s="13" t="s">
        <v>51</v>
      </c>
      <c r="D226" s="13" t="s">
        <v>52</v>
      </c>
      <c r="E226" s="13" t="s">
        <v>37</v>
      </c>
      <c r="F226" s="13" t="s">
        <v>65</v>
      </c>
      <c r="G226" s="13" t="s">
        <v>44</v>
      </c>
      <c r="H226" s="13" t="s">
        <v>33</v>
      </c>
      <c r="I226" s="13" t="s">
        <v>34</v>
      </c>
      <c r="J226" s="13">
        <v>3</v>
      </c>
      <c r="K226" s="21">
        <v>362</v>
      </c>
      <c r="L226" s="21">
        <v>1086</v>
      </c>
      <c r="M226" s="23">
        <v>0</v>
      </c>
      <c r="N226" s="21">
        <v>0</v>
      </c>
      <c r="O226" s="21">
        <v>1086</v>
      </c>
      <c r="P226" s="13">
        <v>4.0999999999999996</v>
      </c>
      <c r="Q226" s="13" t="s">
        <v>26</v>
      </c>
    </row>
    <row r="227" spans="1:17" x14ac:dyDescent="0.25">
      <c r="A227" s="13" t="s">
        <v>397</v>
      </c>
      <c r="B227" s="14">
        <v>45944</v>
      </c>
      <c r="C227" s="13" t="s">
        <v>51</v>
      </c>
      <c r="D227" s="13" t="s">
        <v>97</v>
      </c>
      <c r="E227" s="13" t="s">
        <v>78</v>
      </c>
      <c r="F227" s="13" t="s">
        <v>22</v>
      </c>
      <c r="G227" s="13" t="s">
        <v>23</v>
      </c>
      <c r="H227" s="13" t="s">
        <v>24</v>
      </c>
      <c r="I227" s="13" t="s">
        <v>84</v>
      </c>
      <c r="J227" s="13">
        <v>3</v>
      </c>
      <c r="K227" s="21">
        <v>522</v>
      </c>
      <c r="L227" s="21">
        <v>1566</v>
      </c>
      <c r="M227" s="23">
        <v>0.05</v>
      </c>
      <c r="N227" s="21">
        <v>78</v>
      </c>
      <c r="O227" s="21">
        <v>1488</v>
      </c>
      <c r="P227" s="13">
        <v>3.3</v>
      </c>
      <c r="Q227" s="13" t="s">
        <v>26</v>
      </c>
    </row>
    <row r="228" spans="1:17" x14ac:dyDescent="0.25">
      <c r="A228" s="13" t="s">
        <v>399</v>
      </c>
      <c r="B228" s="14">
        <v>45945</v>
      </c>
      <c r="C228" s="13" t="s">
        <v>91</v>
      </c>
      <c r="D228" s="13" t="s">
        <v>110</v>
      </c>
      <c r="E228" s="13" t="s">
        <v>53</v>
      </c>
      <c r="F228" s="13" t="s">
        <v>65</v>
      </c>
      <c r="G228" s="13" t="s">
        <v>32</v>
      </c>
      <c r="H228" s="13" t="s">
        <v>24</v>
      </c>
      <c r="I228" s="13" t="s">
        <v>45</v>
      </c>
      <c r="J228" s="13">
        <v>2</v>
      </c>
      <c r="K228" s="21">
        <v>932</v>
      </c>
      <c r="L228" s="21">
        <v>1864</v>
      </c>
      <c r="M228" s="23">
        <v>0.05</v>
      </c>
      <c r="N228" s="21">
        <v>93</v>
      </c>
      <c r="O228" s="21">
        <v>1771</v>
      </c>
      <c r="P228" s="13">
        <v>4.3</v>
      </c>
      <c r="Q228" s="13" t="s">
        <v>26</v>
      </c>
    </row>
    <row r="229" spans="1:17" x14ac:dyDescent="0.25">
      <c r="A229" s="13" t="s">
        <v>401</v>
      </c>
      <c r="B229" s="14">
        <v>45945</v>
      </c>
      <c r="C229" s="13" t="s">
        <v>51</v>
      </c>
      <c r="D229" s="13" t="s">
        <v>97</v>
      </c>
      <c r="E229" s="13" t="s">
        <v>78</v>
      </c>
      <c r="F229" s="13" t="s">
        <v>83</v>
      </c>
      <c r="G229" s="13" t="s">
        <v>23</v>
      </c>
      <c r="H229" s="13" t="s">
        <v>24</v>
      </c>
      <c r="I229" s="13" t="s">
        <v>84</v>
      </c>
      <c r="J229" s="13">
        <v>2</v>
      </c>
      <c r="K229" s="21">
        <v>508</v>
      </c>
      <c r="L229" s="21">
        <v>1016</v>
      </c>
      <c r="M229" s="23">
        <v>0.05</v>
      </c>
      <c r="N229" s="21">
        <v>51</v>
      </c>
      <c r="O229" s="21">
        <v>965</v>
      </c>
      <c r="P229" s="13">
        <v>3.2</v>
      </c>
      <c r="Q229" s="13" t="s">
        <v>26</v>
      </c>
    </row>
    <row r="230" spans="1:17" x14ac:dyDescent="0.25">
      <c r="A230" s="13" t="s">
        <v>402</v>
      </c>
      <c r="B230" s="14">
        <v>45946</v>
      </c>
      <c r="C230" s="13" t="s">
        <v>51</v>
      </c>
      <c r="D230" s="13" t="s">
        <v>52</v>
      </c>
      <c r="E230" s="13" t="s">
        <v>60</v>
      </c>
      <c r="F230" s="13" t="s">
        <v>119</v>
      </c>
      <c r="G230" s="13" t="s">
        <v>23</v>
      </c>
      <c r="H230" s="13" t="s">
        <v>104</v>
      </c>
      <c r="I230" s="13" t="s">
        <v>98</v>
      </c>
      <c r="J230" s="13">
        <v>2</v>
      </c>
      <c r="K230" s="21">
        <v>254</v>
      </c>
      <c r="L230" s="21">
        <v>508</v>
      </c>
      <c r="M230" s="23">
        <v>0.05</v>
      </c>
      <c r="N230" s="21">
        <v>25</v>
      </c>
      <c r="O230" s="21">
        <v>483</v>
      </c>
      <c r="P230" s="13">
        <v>4.3</v>
      </c>
      <c r="Q230" s="13" t="s">
        <v>26</v>
      </c>
    </row>
    <row r="231" spans="1:17" x14ac:dyDescent="0.25">
      <c r="A231" s="13" t="s">
        <v>404</v>
      </c>
      <c r="B231" s="14">
        <v>45947</v>
      </c>
      <c r="C231" s="13" t="s">
        <v>19</v>
      </c>
      <c r="D231" s="13" t="s">
        <v>230</v>
      </c>
      <c r="E231" s="13" t="s">
        <v>101</v>
      </c>
      <c r="F231" s="13" t="s">
        <v>61</v>
      </c>
      <c r="G231" s="13" t="s">
        <v>23</v>
      </c>
      <c r="H231" s="13" t="s">
        <v>33</v>
      </c>
      <c r="I231" s="13" t="s">
        <v>45</v>
      </c>
      <c r="J231" s="13">
        <v>3</v>
      </c>
      <c r="K231" s="21">
        <v>788</v>
      </c>
      <c r="L231" s="21">
        <v>2364</v>
      </c>
      <c r="M231" s="23">
        <v>0.3</v>
      </c>
      <c r="N231" s="21">
        <v>709</v>
      </c>
      <c r="O231" s="21">
        <v>1655</v>
      </c>
      <c r="P231" s="13">
        <v>4</v>
      </c>
      <c r="Q231" s="13" t="s">
        <v>26</v>
      </c>
    </row>
    <row r="232" spans="1:17" x14ac:dyDescent="0.25">
      <c r="A232" s="13" t="s">
        <v>406</v>
      </c>
      <c r="B232" s="14">
        <v>45947</v>
      </c>
      <c r="C232" s="13" t="s">
        <v>91</v>
      </c>
      <c r="D232" s="13" t="s">
        <v>110</v>
      </c>
      <c r="E232" s="13" t="s">
        <v>30</v>
      </c>
      <c r="F232" s="13" t="s">
        <v>79</v>
      </c>
      <c r="G232" s="13" t="s">
        <v>44</v>
      </c>
      <c r="H232" s="13" t="s">
        <v>24</v>
      </c>
      <c r="I232" s="13" t="s">
        <v>34</v>
      </c>
      <c r="J232" s="13">
        <v>2</v>
      </c>
      <c r="K232" s="21">
        <v>2971</v>
      </c>
      <c r="L232" s="21">
        <v>5942</v>
      </c>
      <c r="M232" s="23">
        <v>0.3</v>
      </c>
      <c r="N232" s="21">
        <v>1783</v>
      </c>
      <c r="O232" s="21">
        <v>4159</v>
      </c>
      <c r="P232" s="13">
        <v>4.2</v>
      </c>
      <c r="Q232" s="13" t="s">
        <v>26</v>
      </c>
    </row>
    <row r="233" spans="1:17" x14ac:dyDescent="0.25">
      <c r="A233" s="13" t="s">
        <v>407</v>
      </c>
      <c r="B233" s="14">
        <v>45948</v>
      </c>
      <c r="C233" s="13" t="s">
        <v>63</v>
      </c>
      <c r="D233" s="13" t="s">
        <v>134</v>
      </c>
      <c r="E233" s="13" t="s">
        <v>78</v>
      </c>
      <c r="F233" s="13" t="s">
        <v>22</v>
      </c>
      <c r="G233" s="13" t="s">
        <v>23</v>
      </c>
      <c r="H233" s="13" t="s">
        <v>24</v>
      </c>
      <c r="I233" s="13" t="s">
        <v>98</v>
      </c>
      <c r="J233" s="13">
        <v>5</v>
      </c>
      <c r="K233" s="21">
        <v>1863</v>
      </c>
      <c r="L233" s="21">
        <v>9315</v>
      </c>
      <c r="M233" s="23">
        <v>0.25</v>
      </c>
      <c r="N233" s="21">
        <v>2329</v>
      </c>
      <c r="O233" s="21">
        <v>6986</v>
      </c>
      <c r="P233" s="13">
        <v>3.3</v>
      </c>
      <c r="Q233" s="13" t="s">
        <v>26</v>
      </c>
    </row>
    <row r="234" spans="1:17" x14ac:dyDescent="0.25">
      <c r="A234" s="13" t="s">
        <v>409</v>
      </c>
      <c r="B234" s="14">
        <v>45948</v>
      </c>
      <c r="C234" s="13" t="s">
        <v>40</v>
      </c>
      <c r="D234" s="13" t="s">
        <v>47</v>
      </c>
      <c r="E234" s="13" t="s">
        <v>53</v>
      </c>
      <c r="F234" s="13" t="s">
        <v>83</v>
      </c>
      <c r="G234" s="13" t="s">
        <v>32</v>
      </c>
      <c r="H234" s="13" t="s">
        <v>33</v>
      </c>
      <c r="I234" s="13" t="s">
        <v>34</v>
      </c>
      <c r="J234" s="13">
        <v>4</v>
      </c>
      <c r="K234" s="21">
        <v>915</v>
      </c>
      <c r="L234" s="21">
        <v>3660</v>
      </c>
      <c r="M234" s="23">
        <v>0.3</v>
      </c>
      <c r="N234" s="21">
        <v>1098</v>
      </c>
      <c r="O234" s="21">
        <v>2562</v>
      </c>
      <c r="P234" s="13">
        <v>4.5999999999999996</v>
      </c>
      <c r="Q234" s="13" t="s">
        <v>26</v>
      </c>
    </row>
    <row r="235" spans="1:17" x14ac:dyDescent="0.25">
      <c r="A235" s="13" t="s">
        <v>410</v>
      </c>
      <c r="B235" s="14">
        <v>45949</v>
      </c>
      <c r="C235" s="13" t="s">
        <v>51</v>
      </c>
      <c r="D235" s="13" t="s">
        <v>52</v>
      </c>
      <c r="E235" s="13" t="s">
        <v>53</v>
      </c>
      <c r="F235" s="13" t="s">
        <v>83</v>
      </c>
      <c r="G235" s="13" t="s">
        <v>23</v>
      </c>
      <c r="H235" s="13" t="s">
        <v>24</v>
      </c>
      <c r="I235" s="13" t="s">
        <v>98</v>
      </c>
      <c r="J235" s="13">
        <v>1</v>
      </c>
      <c r="K235" s="21">
        <v>329</v>
      </c>
      <c r="L235" s="21">
        <v>329</v>
      </c>
      <c r="M235" s="23">
        <v>0.05</v>
      </c>
      <c r="N235" s="21">
        <v>16</v>
      </c>
      <c r="O235" s="21">
        <v>313</v>
      </c>
      <c r="P235" s="13">
        <v>5</v>
      </c>
      <c r="Q235" s="13" t="s">
        <v>26</v>
      </c>
    </row>
    <row r="236" spans="1:17" x14ac:dyDescent="0.25">
      <c r="A236" s="13" t="s">
        <v>412</v>
      </c>
      <c r="B236" s="14">
        <v>45950</v>
      </c>
      <c r="C236" s="13" t="s">
        <v>63</v>
      </c>
      <c r="D236" s="13" t="s">
        <v>134</v>
      </c>
      <c r="E236" s="13" t="s">
        <v>48</v>
      </c>
      <c r="F236" s="13" t="s">
        <v>31</v>
      </c>
      <c r="G236" s="13" t="s">
        <v>23</v>
      </c>
      <c r="H236" s="13" t="s">
        <v>24</v>
      </c>
      <c r="I236" s="13" t="s">
        <v>34</v>
      </c>
      <c r="J236" s="13">
        <v>4</v>
      </c>
      <c r="K236" s="21">
        <v>1257</v>
      </c>
      <c r="L236" s="21">
        <v>5028</v>
      </c>
      <c r="M236" s="23">
        <v>0.3</v>
      </c>
      <c r="N236" s="21">
        <v>1508</v>
      </c>
      <c r="O236" s="21">
        <v>3520</v>
      </c>
      <c r="P236" s="13">
        <v>4.3</v>
      </c>
      <c r="Q236" s="13" t="s">
        <v>26</v>
      </c>
    </row>
    <row r="237" spans="1:17" x14ac:dyDescent="0.25">
      <c r="A237" s="13" t="s">
        <v>414</v>
      </c>
      <c r="B237" s="14">
        <v>45950</v>
      </c>
      <c r="C237" s="13" t="s">
        <v>19</v>
      </c>
      <c r="D237" s="13" t="s">
        <v>121</v>
      </c>
      <c r="E237" s="13" t="s">
        <v>155</v>
      </c>
      <c r="F237" s="13" t="s">
        <v>79</v>
      </c>
      <c r="G237" s="13" t="s">
        <v>23</v>
      </c>
      <c r="H237" s="13" t="s">
        <v>33</v>
      </c>
      <c r="I237" s="13" t="s">
        <v>25</v>
      </c>
      <c r="J237" s="13">
        <v>5</v>
      </c>
      <c r="K237" s="21">
        <v>994</v>
      </c>
      <c r="L237" s="21">
        <v>4970</v>
      </c>
      <c r="M237" s="23">
        <v>0</v>
      </c>
      <c r="N237" s="21">
        <v>0</v>
      </c>
      <c r="O237" s="21">
        <v>4970</v>
      </c>
      <c r="P237" s="13">
        <v>5</v>
      </c>
      <c r="Q237" s="13" t="s">
        <v>26</v>
      </c>
    </row>
    <row r="238" spans="1:17" x14ac:dyDescent="0.25">
      <c r="A238" s="13" t="s">
        <v>415</v>
      </c>
      <c r="B238" s="14">
        <v>45950</v>
      </c>
      <c r="C238" s="13" t="s">
        <v>40</v>
      </c>
      <c r="D238" s="13" t="s">
        <v>47</v>
      </c>
      <c r="E238" s="13" t="s">
        <v>37</v>
      </c>
      <c r="F238" s="13" t="s">
        <v>22</v>
      </c>
      <c r="G238" s="13" t="s">
        <v>23</v>
      </c>
      <c r="H238" s="13" t="s">
        <v>24</v>
      </c>
      <c r="I238" s="13" t="s">
        <v>98</v>
      </c>
      <c r="J238" s="13">
        <v>4</v>
      </c>
      <c r="K238" s="21">
        <v>1090</v>
      </c>
      <c r="L238" s="21">
        <v>4360</v>
      </c>
      <c r="M238" s="23">
        <v>0</v>
      </c>
      <c r="N238" s="21">
        <v>0</v>
      </c>
      <c r="O238" s="21">
        <v>4360</v>
      </c>
      <c r="P238" s="13">
        <v>3.2</v>
      </c>
      <c r="Q238" s="13" t="s">
        <v>26</v>
      </c>
    </row>
    <row r="239" spans="1:17" x14ac:dyDescent="0.25">
      <c r="A239" s="13" t="s">
        <v>416</v>
      </c>
      <c r="B239" s="14">
        <v>45950</v>
      </c>
      <c r="C239" s="13" t="s">
        <v>51</v>
      </c>
      <c r="D239" s="13" t="s">
        <v>97</v>
      </c>
      <c r="E239" s="13" t="s">
        <v>21</v>
      </c>
      <c r="F239" s="13" t="s">
        <v>72</v>
      </c>
      <c r="G239" s="13" t="s">
        <v>32</v>
      </c>
      <c r="H239" s="13" t="s">
        <v>24</v>
      </c>
      <c r="I239" s="13" t="s">
        <v>25</v>
      </c>
      <c r="J239" s="13">
        <v>5</v>
      </c>
      <c r="K239" s="21">
        <v>624</v>
      </c>
      <c r="L239" s="21">
        <v>3120</v>
      </c>
      <c r="M239" s="23">
        <v>0.1</v>
      </c>
      <c r="N239" s="21">
        <v>312</v>
      </c>
      <c r="O239" s="21">
        <v>2808</v>
      </c>
      <c r="P239" s="13">
        <v>4.9000000000000004</v>
      </c>
      <c r="Q239" s="13" t="s">
        <v>26</v>
      </c>
    </row>
    <row r="240" spans="1:17" x14ac:dyDescent="0.25">
      <c r="A240" s="13" t="s">
        <v>417</v>
      </c>
      <c r="B240" s="14">
        <v>45950</v>
      </c>
      <c r="C240" s="13" t="s">
        <v>19</v>
      </c>
      <c r="D240" s="13" t="s">
        <v>128</v>
      </c>
      <c r="E240" s="13" t="s">
        <v>78</v>
      </c>
      <c r="F240" s="13" t="s">
        <v>31</v>
      </c>
      <c r="G240" s="13" t="s">
        <v>23</v>
      </c>
      <c r="H240" s="13" t="s">
        <v>33</v>
      </c>
      <c r="I240" s="13" t="s">
        <v>98</v>
      </c>
      <c r="J240" s="13">
        <v>5</v>
      </c>
      <c r="K240" s="21">
        <v>735</v>
      </c>
      <c r="L240" s="21">
        <v>3675</v>
      </c>
      <c r="M240" s="23">
        <v>0.2</v>
      </c>
      <c r="N240" s="21">
        <v>735</v>
      </c>
      <c r="O240" s="21">
        <v>2940</v>
      </c>
      <c r="P240" s="13">
        <v>4.7</v>
      </c>
      <c r="Q240" s="13" t="s">
        <v>26</v>
      </c>
    </row>
    <row r="241" spans="1:17" x14ac:dyDescent="0.25">
      <c r="A241" s="13" t="s">
        <v>418</v>
      </c>
      <c r="B241" s="14">
        <v>45950</v>
      </c>
      <c r="C241" s="13" t="s">
        <v>63</v>
      </c>
      <c r="D241" s="13" t="s">
        <v>64</v>
      </c>
      <c r="E241" s="13" t="s">
        <v>71</v>
      </c>
      <c r="F241" s="13" t="s">
        <v>61</v>
      </c>
      <c r="G241" s="13" t="s">
        <v>23</v>
      </c>
      <c r="H241" s="13" t="s">
        <v>104</v>
      </c>
      <c r="I241" s="13" t="s">
        <v>34</v>
      </c>
      <c r="J241" s="13">
        <v>1</v>
      </c>
      <c r="K241" s="21">
        <v>844</v>
      </c>
      <c r="L241" s="21">
        <v>844</v>
      </c>
      <c r="M241" s="23">
        <v>0.05</v>
      </c>
      <c r="N241" s="21">
        <v>42</v>
      </c>
      <c r="O241" s="21">
        <v>802</v>
      </c>
      <c r="P241" s="13">
        <v>4.9000000000000004</v>
      </c>
      <c r="Q241" s="13" t="s">
        <v>26</v>
      </c>
    </row>
    <row r="242" spans="1:17" x14ac:dyDescent="0.25">
      <c r="A242" s="13" t="s">
        <v>419</v>
      </c>
      <c r="B242" s="14">
        <v>45951</v>
      </c>
      <c r="C242" s="13" t="s">
        <v>63</v>
      </c>
      <c r="D242" s="13" t="s">
        <v>143</v>
      </c>
      <c r="E242" s="13" t="s">
        <v>71</v>
      </c>
      <c r="F242" s="13" t="s">
        <v>31</v>
      </c>
      <c r="G242" s="13" t="s">
        <v>23</v>
      </c>
      <c r="H242" s="13" t="s">
        <v>33</v>
      </c>
      <c r="I242" s="13" t="s">
        <v>84</v>
      </c>
      <c r="J242" s="13">
        <v>4</v>
      </c>
      <c r="K242" s="21">
        <v>1539</v>
      </c>
      <c r="L242" s="21">
        <v>6156</v>
      </c>
      <c r="M242" s="23">
        <v>0.15</v>
      </c>
      <c r="N242" s="21">
        <v>923</v>
      </c>
      <c r="O242" s="21">
        <v>5233</v>
      </c>
      <c r="P242" s="13">
        <v>3.4</v>
      </c>
      <c r="Q242" s="13" t="s">
        <v>26</v>
      </c>
    </row>
    <row r="243" spans="1:17" x14ac:dyDescent="0.25">
      <c r="A243" s="13" t="s">
        <v>421</v>
      </c>
      <c r="B243" s="14">
        <v>45951</v>
      </c>
      <c r="C243" s="13" t="s">
        <v>28</v>
      </c>
      <c r="D243" s="13" t="s">
        <v>36</v>
      </c>
      <c r="E243" s="13" t="s">
        <v>82</v>
      </c>
      <c r="F243" s="13" t="s">
        <v>65</v>
      </c>
      <c r="G243" s="13" t="s">
        <v>32</v>
      </c>
      <c r="H243" s="13" t="s">
        <v>24</v>
      </c>
      <c r="I243" s="13" t="s">
        <v>98</v>
      </c>
      <c r="J243" s="13">
        <v>2</v>
      </c>
      <c r="K243" s="21">
        <v>395</v>
      </c>
      <c r="L243" s="21">
        <v>790</v>
      </c>
      <c r="M243" s="23">
        <v>0</v>
      </c>
      <c r="N243" s="21">
        <v>0</v>
      </c>
      <c r="O243" s="21">
        <v>790</v>
      </c>
      <c r="P243" s="13">
        <v>3.5</v>
      </c>
      <c r="Q243" s="13" t="s">
        <v>26</v>
      </c>
    </row>
    <row r="244" spans="1:17" x14ac:dyDescent="0.25">
      <c r="A244" s="13" t="s">
        <v>422</v>
      </c>
      <c r="B244" s="14">
        <v>45952</v>
      </c>
      <c r="C244" s="13" t="s">
        <v>51</v>
      </c>
      <c r="D244" s="13" t="s">
        <v>70</v>
      </c>
      <c r="E244" s="13" t="s">
        <v>53</v>
      </c>
      <c r="F244" s="13" t="s">
        <v>79</v>
      </c>
      <c r="G244" s="13" t="s">
        <v>23</v>
      </c>
      <c r="H244" s="13" t="s">
        <v>33</v>
      </c>
      <c r="I244" s="13" t="s">
        <v>34</v>
      </c>
      <c r="J244" s="13">
        <v>1</v>
      </c>
      <c r="K244" s="21">
        <v>304</v>
      </c>
      <c r="L244" s="21">
        <v>304</v>
      </c>
      <c r="M244" s="23">
        <v>0.1</v>
      </c>
      <c r="N244" s="21">
        <v>30</v>
      </c>
      <c r="O244" s="21">
        <v>274</v>
      </c>
      <c r="P244" s="13">
        <v>3.5</v>
      </c>
      <c r="Q244" s="13" t="s">
        <v>26</v>
      </c>
    </row>
    <row r="245" spans="1:17" x14ac:dyDescent="0.25">
      <c r="A245" s="13" t="s">
        <v>424</v>
      </c>
      <c r="B245" s="14">
        <v>45952</v>
      </c>
      <c r="C245" s="13" t="s">
        <v>40</v>
      </c>
      <c r="D245" s="13" t="s">
        <v>68</v>
      </c>
      <c r="E245" s="13" t="s">
        <v>48</v>
      </c>
      <c r="F245" s="13" t="s">
        <v>83</v>
      </c>
      <c r="G245" s="13" t="s">
        <v>32</v>
      </c>
      <c r="H245" s="13" t="s">
        <v>24</v>
      </c>
      <c r="I245" s="13" t="s">
        <v>45</v>
      </c>
      <c r="J245" s="13">
        <v>5</v>
      </c>
      <c r="K245" s="21">
        <v>887</v>
      </c>
      <c r="L245" s="21">
        <v>4435</v>
      </c>
      <c r="M245" s="23">
        <v>0.1</v>
      </c>
      <c r="N245" s="21">
        <v>444</v>
      </c>
      <c r="O245" s="21">
        <v>3991</v>
      </c>
      <c r="P245" s="13">
        <v>4.8</v>
      </c>
      <c r="Q245" s="13" t="s">
        <v>26</v>
      </c>
    </row>
    <row r="246" spans="1:17" x14ac:dyDescent="0.25">
      <c r="A246" s="13" t="s">
        <v>425</v>
      </c>
      <c r="B246" s="14">
        <v>45952</v>
      </c>
      <c r="C246" s="13" t="s">
        <v>51</v>
      </c>
      <c r="D246" s="13" t="s">
        <v>97</v>
      </c>
      <c r="E246" s="13" t="s">
        <v>60</v>
      </c>
      <c r="F246" s="13" t="s">
        <v>83</v>
      </c>
      <c r="G246" s="13" t="s">
        <v>44</v>
      </c>
      <c r="H246" s="13" t="s">
        <v>104</v>
      </c>
      <c r="I246" s="13" t="s">
        <v>25</v>
      </c>
      <c r="J246" s="13">
        <v>3</v>
      </c>
      <c r="K246" s="21">
        <v>469</v>
      </c>
      <c r="L246" s="21">
        <v>1407</v>
      </c>
      <c r="M246" s="23">
        <v>0.25</v>
      </c>
      <c r="N246" s="21">
        <v>352</v>
      </c>
      <c r="O246" s="21">
        <v>1055</v>
      </c>
      <c r="P246" s="13">
        <v>4.5</v>
      </c>
      <c r="Q246" s="13" t="s">
        <v>26</v>
      </c>
    </row>
    <row r="247" spans="1:17" x14ac:dyDescent="0.25">
      <c r="A247" s="13" t="s">
        <v>426</v>
      </c>
      <c r="B247" s="14">
        <v>45952</v>
      </c>
      <c r="C247" s="13" t="s">
        <v>51</v>
      </c>
      <c r="D247" s="13" t="s">
        <v>70</v>
      </c>
      <c r="E247" s="13" t="s">
        <v>48</v>
      </c>
      <c r="F247" s="13" t="s">
        <v>79</v>
      </c>
      <c r="G247" s="13" t="s">
        <v>23</v>
      </c>
      <c r="H247" s="13" t="s">
        <v>33</v>
      </c>
      <c r="I247" s="13" t="s">
        <v>45</v>
      </c>
      <c r="J247" s="13">
        <v>4</v>
      </c>
      <c r="K247" s="21">
        <v>760</v>
      </c>
      <c r="L247" s="21">
        <v>3040</v>
      </c>
      <c r="M247" s="23">
        <v>0</v>
      </c>
      <c r="N247" s="21">
        <v>0</v>
      </c>
      <c r="O247" s="21">
        <v>3040</v>
      </c>
      <c r="P247" s="13">
        <v>4.0999999999999996</v>
      </c>
      <c r="Q247" s="13" t="s">
        <v>26</v>
      </c>
    </row>
    <row r="248" spans="1:17" x14ac:dyDescent="0.25">
      <c r="A248" s="13" t="s">
        <v>427</v>
      </c>
      <c r="B248" s="14">
        <v>45954</v>
      </c>
      <c r="C248" s="13" t="s">
        <v>40</v>
      </c>
      <c r="D248" s="13" t="s">
        <v>47</v>
      </c>
      <c r="E248" s="13" t="s">
        <v>53</v>
      </c>
      <c r="F248" s="13" t="s">
        <v>22</v>
      </c>
      <c r="G248" s="13" t="s">
        <v>32</v>
      </c>
      <c r="H248" s="13" t="s">
        <v>24</v>
      </c>
      <c r="I248" s="13" t="s">
        <v>34</v>
      </c>
      <c r="J248" s="13">
        <v>1</v>
      </c>
      <c r="K248" s="21">
        <v>1485</v>
      </c>
      <c r="L248" s="21">
        <v>1485</v>
      </c>
      <c r="M248" s="23">
        <v>0.15</v>
      </c>
      <c r="N248" s="21">
        <v>223</v>
      </c>
      <c r="O248" s="21">
        <v>1262</v>
      </c>
      <c r="P248" s="13">
        <v>4.4000000000000004</v>
      </c>
      <c r="Q248" s="13" t="s">
        <v>26</v>
      </c>
    </row>
    <row r="249" spans="1:17" x14ac:dyDescent="0.25">
      <c r="A249" s="13" t="s">
        <v>429</v>
      </c>
      <c r="B249" s="14">
        <v>45954</v>
      </c>
      <c r="C249" s="13" t="s">
        <v>19</v>
      </c>
      <c r="D249" s="13" t="s">
        <v>121</v>
      </c>
      <c r="E249" s="13" t="s">
        <v>60</v>
      </c>
      <c r="F249" s="13" t="s">
        <v>22</v>
      </c>
      <c r="G249" s="13" t="s">
        <v>23</v>
      </c>
      <c r="H249" s="13" t="s">
        <v>33</v>
      </c>
      <c r="I249" s="13" t="s">
        <v>98</v>
      </c>
      <c r="J249" s="13">
        <v>4</v>
      </c>
      <c r="K249" s="21">
        <v>616</v>
      </c>
      <c r="L249" s="21">
        <v>2464</v>
      </c>
      <c r="M249" s="23">
        <v>0</v>
      </c>
      <c r="N249" s="21">
        <v>0</v>
      </c>
      <c r="O249" s="21">
        <v>2464</v>
      </c>
      <c r="P249" s="13">
        <v>4.2</v>
      </c>
      <c r="Q249" s="13" t="s">
        <v>26</v>
      </c>
    </row>
    <row r="250" spans="1:17" x14ac:dyDescent="0.25">
      <c r="A250" s="13" t="s">
        <v>430</v>
      </c>
      <c r="B250" s="14">
        <v>45955</v>
      </c>
      <c r="C250" s="13" t="s">
        <v>91</v>
      </c>
      <c r="D250" s="13" t="s">
        <v>125</v>
      </c>
      <c r="E250" s="13" t="s">
        <v>78</v>
      </c>
      <c r="F250" s="13" t="s">
        <v>79</v>
      </c>
      <c r="G250" s="13" t="s">
        <v>44</v>
      </c>
      <c r="H250" s="13" t="s">
        <v>33</v>
      </c>
      <c r="I250" s="13" t="s">
        <v>45</v>
      </c>
      <c r="J250" s="13">
        <v>1</v>
      </c>
      <c r="K250" s="21">
        <v>1261</v>
      </c>
      <c r="L250" s="21">
        <v>1261</v>
      </c>
      <c r="M250" s="23">
        <v>0</v>
      </c>
      <c r="N250" s="21">
        <v>0</v>
      </c>
      <c r="O250" s="21">
        <v>1261</v>
      </c>
      <c r="P250" s="13">
        <v>3.8</v>
      </c>
      <c r="Q250" s="13" t="s">
        <v>26</v>
      </c>
    </row>
    <row r="251" spans="1:17" x14ac:dyDescent="0.25">
      <c r="A251" s="13" t="s">
        <v>432</v>
      </c>
      <c r="B251" s="14">
        <v>45955</v>
      </c>
      <c r="C251" s="13" t="s">
        <v>51</v>
      </c>
      <c r="D251" s="13" t="s">
        <v>52</v>
      </c>
      <c r="E251" s="13" t="s">
        <v>48</v>
      </c>
      <c r="F251" s="13" t="s">
        <v>83</v>
      </c>
      <c r="G251" s="13" t="s">
        <v>32</v>
      </c>
      <c r="H251" s="13" t="s">
        <v>24</v>
      </c>
      <c r="I251" s="13" t="s">
        <v>84</v>
      </c>
      <c r="J251" s="13">
        <v>5</v>
      </c>
      <c r="K251" s="21">
        <v>531</v>
      </c>
      <c r="L251" s="21">
        <v>2655</v>
      </c>
      <c r="M251" s="23">
        <v>0.2</v>
      </c>
      <c r="N251" s="21">
        <v>531</v>
      </c>
      <c r="O251" s="21">
        <v>2124</v>
      </c>
      <c r="P251" s="13">
        <v>4.5999999999999996</v>
      </c>
      <c r="Q251" s="13" t="s">
        <v>26</v>
      </c>
    </row>
    <row r="252" spans="1:17" x14ac:dyDescent="0.25">
      <c r="A252" s="13" t="s">
        <v>433</v>
      </c>
      <c r="B252" s="14">
        <v>45955</v>
      </c>
      <c r="C252" s="13" t="s">
        <v>51</v>
      </c>
      <c r="D252" s="13" t="s">
        <v>52</v>
      </c>
      <c r="E252" s="13" t="s">
        <v>53</v>
      </c>
      <c r="F252" s="13" t="s">
        <v>65</v>
      </c>
      <c r="G252" s="13" t="s">
        <v>23</v>
      </c>
      <c r="H252" s="13" t="s">
        <v>33</v>
      </c>
      <c r="I252" s="13" t="s">
        <v>45</v>
      </c>
      <c r="J252" s="13">
        <v>4</v>
      </c>
      <c r="K252" s="21">
        <v>355</v>
      </c>
      <c r="L252" s="21">
        <v>1420</v>
      </c>
      <c r="M252" s="23">
        <v>0.15</v>
      </c>
      <c r="N252" s="21">
        <v>213</v>
      </c>
      <c r="O252" s="21">
        <v>1207</v>
      </c>
      <c r="P252" s="13">
        <v>4.4000000000000004</v>
      </c>
      <c r="Q252" s="13" t="s">
        <v>26</v>
      </c>
    </row>
    <row r="253" spans="1:17" x14ac:dyDescent="0.25">
      <c r="A253" s="13" t="s">
        <v>434</v>
      </c>
      <c r="B253" s="14">
        <v>45956</v>
      </c>
      <c r="C253" s="13" t="s">
        <v>28</v>
      </c>
      <c r="D253" s="13" t="s">
        <v>163</v>
      </c>
      <c r="E253" s="13" t="s">
        <v>37</v>
      </c>
      <c r="F253" s="13" t="s">
        <v>31</v>
      </c>
      <c r="G253" s="13" t="s">
        <v>23</v>
      </c>
      <c r="H253" s="13" t="s">
        <v>24</v>
      </c>
      <c r="I253" s="13" t="s">
        <v>45</v>
      </c>
      <c r="J253" s="13">
        <v>4</v>
      </c>
      <c r="K253" s="21">
        <v>327</v>
      </c>
      <c r="L253" s="21">
        <v>1308</v>
      </c>
      <c r="M253" s="23">
        <v>0.15</v>
      </c>
      <c r="N253" s="21">
        <v>196</v>
      </c>
      <c r="O253" s="21">
        <v>1112</v>
      </c>
      <c r="P253" s="13">
        <v>3.3</v>
      </c>
      <c r="Q253" s="13" t="s">
        <v>26</v>
      </c>
    </row>
    <row r="254" spans="1:17" x14ac:dyDescent="0.25">
      <c r="A254" s="13" t="s">
        <v>436</v>
      </c>
      <c r="B254" s="14">
        <v>45956</v>
      </c>
      <c r="C254" s="13" t="s">
        <v>91</v>
      </c>
      <c r="D254" s="13" t="s">
        <v>92</v>
      </c>
      <c r="E254" s="13" t="s">
        <v>48</v>
      </c>
      <c r="F254" s="13" t="s">
        <v>83</v>
      </c>
      <c r="G254" s="13" t="s">
        <v>23</v>
      </c>
      <c r="H254" s="13" t="s">
        <v>24</v>
      </c>
      <c r="I254" s="13" t="s">
        <v>84</v>
      </c>
      <c r="J254" s="13">
        <v>1</v>
      </c>
      <c r="K254" s="21">
        <v>580</v>
      </c>
      <c r="L254" s="21">
        <v>580</v>
      </c>
      <c r="M254" s="23">
        <v>0.25</v>
      </c>
      <c r="N254" s="21">
        <v>145</v>
      </c>
      <c r="O254" s="21">
        <v>435</v>
      </c>
      <c r="P254" s="13">
        <v>4</v>
      </c>
      <c r="Q254" s="13" t="s">
        <v>26</v>
      </c>
    </row>
    <row r="255" spans="1:17" x14ac:dyDescent="0.25">
      <c r="A255" s="13" t="s">
        <v>437</v>
      </c>
      <c r="B255" s="14">
        <v>45956</v>
      </c>
      <c r="C255" s="13" t="s">
        <v>40</v>
      </c>
      <c r="D255" s="13" t="s">
        <v>57</v>
      </c>
      <c r="E255" s="13" t="s">
        <v>60</v>
      </c>
      <c r="F255" s="13" t="s">
        <v>83</v>
      </c>
      <c r="G255" s="13" t="s">
        <v>32</v>
      </c>
      <c r="H255" s="13" t="s">
        <v>33</v>
      </c>
      <c r="I255" s="13" t="s">
        <v>84</v>
      </c>
      <c r="J255" s="13">
        <v>2</v>
      </c>
      <c r="K255" s="21">
        <v>931</v>
      </c>
      <c r="L255" s="21">
        <v>1862</v>
      </c>
      <c r="M255" s="23">
        <v>0.05</v>
      </c>
      <c r="N255" s="21">
        <v>93</v>
      </c>
      <c r="O255" s="21">
        <v>1769</v>
      </c>
      <c r="P255" s="13">
        <v>3.3</v>
      </c>
      <c r="Q255" s="13" t="s">
        <v>26</v>
      </c>
    </row>
    <row r="256" spans="1:17" x14ac:dyDescent="0.25">
      <c r="A256" s="13" t="s">
        <v>438</v>
      </c>
      <c r="B256" s="14">
        <v>45958</v>
      </c>
      <c r="C256" s="13" t="s">
        <v>51</v>
      </c>
      <c r="D256" s="13" t="s">
        <v>70</v>
      </c>
      <c r="E256" s="13" t="s">
        <v>48</v>
      </c>
      <c r="F256" s="13" t="s">
        <v>43</v>
      </c>
      <c r="G256" s="13" t="s">
        <v>23</v>
      </c>
      <c r="H256" s="13" t="s">
        <v>24</v>
      </c>
      <c r="I256" s="13" t="s">
        <v>45</v>
      </c>
      <c r="J256" s="13">
        <v>3</v>
      </c>
      <c r="K256" s="21">
        <v>569</v>
      </c>
      <c r="L256" s="21">
        <v>1707</v>
      </c>
      <c r="M256" s="23">
        <v>0.3</v>
      </c>
      <c r="N256" s="21">
        <v>512</v>
      </c>
      <c r="O256" s="21">
        <v>1195</v>
      </c>
      <c r="P256" s="13">
        <v>3.5</v>
      </c>
      <c r="Q256" s="13" t="s">
        <v>26</v>
      </c>
    </row>
    <row r="257" spans="1:17" x14ac:dyDescent="0.25">
      <c r="A257" s="13" t="s">
        <v>440</v>
      </c>
      <c r="B257" s="14">
        <v>45959</v>
      </c>
      <c r="C257" s="13" t="s">
        <v>63</v>
      </c>
      <c r="D257" s="13" t="s">
        <v>143</v>
      </c>
      <c r="E257" s="13" t="s">
        <v>101</v>
      </c>
      <c r="F257" s="13" t="s">
        <v>130</v>
      </c>
      <c r="G257" s="13" t="s">
        <v>23</v>
      </c>
      <c r="H257" s="13" t="s">
        <v>24</v>
      </c>
      <c r="I257" s="13" t="s">
        <v>25</v>
      </c>
      <c r="J257" s="13">
        <v>5</v>
      </c>
      <c r="K257" s="21">
        <v>1804</v>
      </c>
      <c r="L257" s="21">
        <v>9020</v>
      </c>
      <c r="M257" s="23">
        <v>0.05</v>
      </c>
      <c r="N257" s="21">
        <v>451</v>
      </c>
      <c r="O257" s="21">
        <v>8569</v>
      </c>
      <c r="P257" s="13">
        <v>4.9000000000000004</v>
      </c>
      <c r="Q257" s="13" t="s">
        <v>26</v>
      </c>
    </row>
    <row r="258" spans="1:17" x14ac:dyDescent="0.25">
      <c r="A258" s="13" t="s">
        <v>442</v>
      </c>
      <c r="B258" s="14">
        <v>45959</v>
      </c>
      <c r="C258" s="13" t="s">
        <v>91</v>
      </c>
      <c r="D258" s="13" t="s">
        <v>92</v>
      </c>
      <c r="E258" s="13" t="s">
        <v>42</v>
      </c>
      <c r="F258" s="13" t="s">
        <v>83</v>
      </c>
      <c r="G258" s="13" t="s">
        <v>32</v>
      </c>
      <c r="H258" s="13" t="s">
        <v>24</v>
      </c>
      <c r="I258" s="13" t="s">
        <v>84</v>
      </c>
      <c r="J258" s="13">
        <v>2</v>
      </c>
      <c r="K258" s="21">
        <v>2590</v>
      </c>
      <c r="L258" s="21">
        <v>5180</v>
      </c>
      <c r="M258" s="23">
        <v>0.1</v>
      </c>
      <c r="N258" s="21">
        <v>518</v>
      </c>
      <c r="O258" s="21">
        <v>4662</v>
      </c>
      <c r="P258" s="13">
        <v>3.5</v>
      </c>
      <c r="Q258" s="13" t="s">
        <v>26</v>
      </c>
    </row>
    <row r="259" spans="1:17" x14ac:dyDescent="0.25">
      <c r="A259" s="13" t="s">
        <v>443</v>
      </c>
      <c r="B259" s="14">
        <v>45959</v>
      </c>
      <c r="C259" s="13" t="s">
        <v>91</v>
      </c>
      <c r="D259" s="13" t="s">
        <v>125</v>
      </c>
      <c r="E259" s="13" t="s">
        <v>60</v>
      </c>
      <c r="F259" s="13" t="s">
        <v>83</v>
      </c>
      <c r="G259" s="13" t="s">
        <v>32</v>
      </c>
      <c r="H259" s="13" t="s">
        <v>104</v>
      </c>
      <c r="I259" s="13" t="s">
        <v>34</v>
      </c>
      <c r="J259" s="13">
        <v>3</v>
      </c>
      <c r="K259" s="21">
        <v>1392</v>
      </c>
      <c r="L259" s="21">
        <v>4176</v>
      </c>
      <c r="M259" s="23">
        <v>0.05</v>
      </c>
      <c r="N259" s="21">
        <v>209</v>
      </c>
      <c r="O259" s="21">
        <v>3967</v>
      </c>
      <c r="P259" s="13">
        <v>3.5</v>
      </c>
      <c r="Q259" s="13" t="s">
        <v>26</v>
      </c>
    </row>
    <row r="260" spans="1:17" x14ac:dyDescent="0.25">
      <c r="A260" s="13" t="s">
        <v>444</v>
      </c>
      <c r="B260" s="14">
        <v>45959</v>
      </c>
      <c r="C260" s="13" t="s">
        <v>40</v>
      </c>
      <c r="D260" s="13" t="s">
        <v>57</v>
      </c>
      <c r="E260" s="13" t="s">
        <v>101</v>
      </c>
      <c r="F260" s="13" t="s">
        <v>79</v>
      </c>
      <c r="G260" s="13" t="s">
        <v>32</v>
      </c>
      <c r="H260" s="13" t="s">
        <v>104</v>
      </c>
      <c r="I260" s="13" t="s">
        <v>98</v>
      </c>
      <c r="J260" s="13">
        <v>5</v>
      </c>
      <c r="K260" s="21">
        <v>580</v>
      </c>
      <c r="L260" s="21">
        <v>2900</v>
      </c>
      <c r="M260" s="23">
        <v>0.1</v>
      </c>
      <c r="N260" s="21">
        <v>290</v>
      </c>
      <c r="O260" s="21">
        <v>2610</v>
      </c>
      <c r="P260" s="13">
        <v>3.7</v>
      </c>
      <c r="Q260" s="13" t="s">
        <v>26</v>
      </c>
    </row>
    <row r="261" spans="1:17" x14ac:dyDescent="0.25">
      <c r="A261" s="13" t="s">
        <v>445</v>
      </c>
      <c r="B261" s="14">
        <v>45960</v>
      </c>
      <c r="C261" s="13" t="s">
        <v>63</v>
      </c>
      <c r="D261" s="13" t="s">
        <v>134</v>
      </c>
      <c r="E261" s="13" t="s">
        <v>71</v>
      </c>
      <c r="F261" s="13" t="s">
        <v>61</v>
      </c>
      <c r="G261" s="13" t="s">
        <v>23</v>
      </c>
      <c r="H261" s="13" t="s">
        <v>104</v>
      </c>
      <c r="I261" s="13" t="s">
        <v>45</v>
      </c>
      <c r="J261" s="13">
        <v>3</v>
      </c>
      <c r="K261" s="21">
        <v>1031</v>
      </c>
      <c r="L261" s="21">
        <v>3093</v>
      </c>
      <c r="M261" s="23">
        <v>0.3</v>
      </c>
      <c r="N261" s="21">
        <v>928</v>
      </c>
      <c r="O261" s="21">
        <v>2165</v>
      </c>
      <c r="P261" s="13">
        <v>4.5999999999999996</v>
      </c>
      <c r="Q261" s="13" t="s">
        <v>26</v>
      </c>
    </row>
    <row r="262" spans="1:17" x14ac:dyDescent="0.25">
      <c r="A262" s="13" t="s">
        <v>447</v>
      </c>
      <c r="B262" s="14">
        <v>45960</v>
      </c>
      <c r="C262" s="13" t="s">
        <v>40</v>
      </c>
      <c r="D262" s="13" t="s">
        <v>57</v>
      </c>
      <c r="E262" s="13" t="s">
        <v>78</v>
      </c>
      <c r="F262" s="13" t="s">
        <v>83</v>
      </c>
      <c r="G262" s="13" t="s">
        <v>32</v>
      </c>
      <c r="H262" s="13" t="s">
        <v>33</v>
      </c>
      <c r="I262" s="13" t="s">
        <v>34</v>
      </c>
      <c r="J262" s="13">
        <v>5</v>
      </c>
      <c r="K262" s="21">
        <v>1058</v>
      </c>
      <c r="L262" s="21">
        <v>5290</v>
      </c>
      <c r="M262" s="23">
        <v>0.05</v>
      </c>
      <c r="N262" s="21">
        <v>264</v>
      </c>
      <c r="O262" s="21">
        <v>5026</v>
      </c>
      <c r="P262" s="13">
        <v>4.3</v>
      </c>
      <c r="Q262" s="13" t="s">
        <v>26</v>
      </c>
    </row>
    <row r="263" spans="1:17" x14ac:dyDescent="0.25">
      <c r="A263" s="13" t="s">
        <v>448</v>
      </c>
      <c r="B263" s="14">
        <v>45960</v>
      </c>
      <c r="C263" s="13" t="s">
        <v>28</v>
      </c>
      <c r="D263" s="13" t="s">
        <v>163</v>
      </c>
      <c r="E263" s="13" t="s">
        <v>82</v>
      </c>
      <c r="F263" s="13" t="s">
        <v>72</v>
      </c>
      <c r="G263" s="13" t="s">
        <v>23</v>
      </c>
      <c r="H263" s="13" t="s">
        <v>24</v>
      </c>
      <c r="I263" s="13" t="s">
        <v>84</v>
      </c>
      <c r="J263" s="13">
        <v>4</v>
      </c>
      <c r="K263" s="21">
        <v>485</v>
      </c>
      <c r="L263" s="21">
        <v>1940</v>
      </c>
      <c r="M263" s="23">
        <v>0.05</v>
      </c>
      <c r="N263" s="21">
        <v>97</v>
      </c>
      <c r="O263" s="21">
        <v>1843</v>
      </c>
      <c r="P263" s="13">
        <v>3.6</v>
      </c>
      <c r="Q263" s="13" t="s">
        <v>26</v>
      </c>
    </row>
    <row r="264" spans="1:17" x14ac:dyDescent="0.25">
      <c r="A264" s="13" t="s">
        <v>449</v>
      </c>
      <c r="B264" s="14">
        <v>45960</v>
      </c>
      <c r="C264" s="13" t="s">
        <v>63</v>
      </c>
      <c r="D264" s="13" t="s">
        <v>143</v>
      </c>
      <c r="E264" s="13" t="s">
        <v>60</v>
      </c>
      <c r="F264" s="13" t="s">
        <v>72</v>
      </c>
      <c r="G264" s="13" t="s">
        <v>23</v>
      </c>
      <c r="H264" s="13" t="s">
        <v>33</v>
      </c>
      <c r="I264" s="13" t="s">
        <v>45</v>
      </c>
      <c r="J264" s="13">
        <v>2</v>
      </c>
      <c r="K264" s="21">
        <v>513</v>
      </c>
      <c r="L264" s="21">
        <v>1026</v>
      </c>
      <c r="M264" s="23">
        <v>0</v>
      </c>
      <c r="N264" s="21">
        <v>0</v>
      </c>
      <c r="O264" s="21">
        <v>1026</v>
      </c>
      <c r="P264" s="13">
        <v>4</v>
      </c>
      <c r="Q264" s="13" t="s">
        <v>26</v>
      </c>
    </row>
    <row r="265" spans="1:17" x14ac:dyDescent="0.25">
      <c r="A265" s="13" t="s">
        <v>450</v>
      </c>
      <c r="B265" s="14">
        <v>45960</v>
      </c>
      <c r="C265" s="13" t="s">
        <v>40</v>
      </c>
      <c r="D265" s="13" t="s">
        <v>68</v>
      </c>
      <c r="E265" s="13" t="s">
        <v>71</v>
      </c>
      <c r="F265" s="13" t="s">
        <v>72</v>
      </c>
      <c r="G265" s="13" t="s">
        <v>32</v>
      </c>
      <c r="H265" s="13" t="s">
        <v>33</v>
      </c>
      <c r="I265" s="13" t="s">
        <v>25</v>
      </c>
      <c r="J265" s="13">
        <v>4</v>
      </c>
      <c r="K265" s="21">
        <v>994</v>
      </c>
      <c r="L265" s="21">
        <v>3976</v>
      </c>
      <c r="M265" s="23">
        <v>0</v>
      </c>
      <c r="N265" s="21">
        <v>0</v>
      </c>
      <c r="O265" s="21">
        <v>3976</v>
      </c>
      <c r="P265" s="13">
        <v>5</v>
      </c>
      <c r="Q265" s="13" t="s">
        <v>26</v>
      </c>
    </row>
    <row r="266" spans="1:17" x14ac:dyDescent="0.25">
      <c r="A266" s="13" t="s">
        <v>451</v>
      </c>
      <c r="B266" s="14">
        <v>45960</v>
      </c>
      <c r="C266" s="13" t="s">
        <v>28</v>
      </c>
      <c r="D266" s="13" t="s">
        <v>29</v>
      </c>
      <c r="E266" s="13" t="s">
        <v>48</v>
      </c>
      <c r="F266" s="13" t="s">
        <v>22</v>
      </c>
      <c r="G266" s="13" t="s">
        <v>32</v>
      </c>
      <c r="H266" s="13" t="s">
        <v>33</v>
      </c>
      <c r="I266" s="13" t="s">
        <v>34</v>
      </c>
      <c r="J266" s="13">
        <v>1</v>
      </c>
      <c r="K266" s="21">
        <v>1218</v>
      </c>
      <c r="L266" s="21">
        <v>1218</v>
      </c>
      <c r="M266" s="23">
        <v>0.15</v>
      </c>
      <c r="N266" s="21">
        <v>183</v>
      </c>
      <c r="O266" s="21">
        <v>1035</v>
      </c>
      <c r="P266" s="13">
        <v>3.9</v>
      </c>
      <c r="Q266" s="13" t="s">
        <v>26</v>
      </c>
    </row>
    <row r="267" spans="1:17" x14ac:dyDescent="0.25">
      <c r="A267" s="13" t="s">
        <v>452</v>
      </c>
      <c r="B267" s="14">
        <v>45961</v>
      </c>
      <c r="C267" s="13" t="s">
        <v>91</v>
      </c>
      <c r="D267" s="13" t="s">
        <v>92</v>
      </c>
      <c r="E267" s="13" t="s">
        <v>42</v>
      </c>
      <c r="F267" s="13" t="s">
        <v>61</v>
      </c>
      <c r="G267" s="13" t="s">
        <v>32</v>
      </c>
      <c r="H267" s="13" t="s">
        <v>104</v>
      </c>
      <c r="I267" s="13" t="s">
        <v>34</v>
      </c>
      <c r="J267" s="13">
        <v>4</v>
      </c>
      <c r="K267" s="21">
        <v>1012</v>
      </c>
      <c r="L267" s="21">
        <v>4048</v>
      </c>
      <c r="M267" s="23">
        <v>0.05</v>
      </c>
      <c r="N267" s="21">
        <v>202</v>
      </c>
      <c r="O267" s="21">
        <v>3846</v>
      </c>
      <c r="P267" s="13">
        <v>4.7</v>
      </c>
      <c r="Q267" s="13" t="s">
        <v>26</v>
      </c>
    </row>
    <row r="268" spans="1:17" x14ac:dyDescent="0.25">
      <c r="A268" s="13" t="s">
        <v>454</v>
      </c>
      <c r="B268" s="14">
        <v>45961</v>
      </c>
      <c r="C268" s="13" t="s">
        <v>19</v>
      </c>
      <c r="D268" s="13" t="s">
        <v>128</v>
      </c>
      <c r="E268" s="13" t="s">
        <v>155</v>
      </c>
      <c r="F268" s="13" t="s">
        <v>79</v>
      </c>
      <c r="G268" s="13" t="s">
        <v>23</v>
      </c>
      <c r="H268" s="13" t="s">
        <v>104</v>
      </c>
      <c r="I268" s="13" t="s">
        <v>45</v>
      </c>
      <c r="J268" s="13">
        <v>1</v>
      </c>
      <c r="K268" s="21">
        <v>419</v>
      </c>
      <c r="L268" s="21">
        <v>419</v>
      </c>
      <c r="M268" s="23">
        <v>0.15</v>
      </c>
      <c r="N268" s="21">
        <v>63</v>
      </c>
      <c r="O268" s="21">
        <v>356</v>
      </c>
      <c r="P268" s="13">
        <v>4.5</v>
      </c>
      <c r="Q268" s="13" t="s">
        <v>26</v>
      </c>
    </row>
    <row r="269" spans="1:17" x14ac:dyDescent="0.25">
      <c r="A269" s="13" t="s">
        <v>455</v>
      </c>
      <c r="B269" s="14">
        <v>45961</v>
      </c>
      <c r="C269" s="13" t="s">
        <v>91</v>
      </c>
      <c r="D269" s="13" t="s">
        <v>92</v>
      </c>
      <c r="E269" s="13" t="s">
        <v>48</v>
      </c>
      <c r="F269" s="13" t="s">
        <v>79</v>
      </c>
      <c r="G269" s="13" t="s">
        <v>23</v>
      </c>
      <c r="H269" s="13" t="s">
        <v>24</v>
      </c>
      <c r="I269" s="13" t="s">
        <v>45</v>
      </c>
      <c r="J269" s="13">
        <v>4</v>
      </c>
      <c r="K269" s="21">
        <v>664</v>
      </c>
      <c r="L269" s="21">
        <v>2656</v>
      </c>
      <c r="M269" s="23">
        <v>0.05</v>
      </c>
      <c r="N269" s="21">
        <v>133</v>
      </c>
      <c r="O269" s="21">
        <v>2523</v>
      </c>
      <c r="P269" s="13">
        <v>4.7</v>
      </c>
      <c r="Q269" s="13" t="s">
        <v>26</v>
      </c>
    </row>
    <row r="270" spans="1:17" x14ac:dyDescent="0.25">
      <c r="A270" s="13" t="s">
        <v>456</v>
      </c>
      <c r="B270" s="14">
        <v>45961</v>
      </c>
      <c r="C270" s="13" t="s">
        <v>91</v>
      </c>
      <c r="D270" s="13" t="s">
        <v>92</v>
      </c>
      <c r="E270" s="13" t="s">
        <v>37</v>
      </c>
      <c r="F270" s="13" t="s">
        <v>31</v>
      </c>
      <c r="G270" s="13" t="s">
        <v>23</v>
      </c>
      <c r="H270" s="13" t="s">
        <v>33</v>
      </c>
      <c r="I270" s="13" t="s">
        <v>34</v>
      </c>
      <c r="J270" s="13">
        <v>1</v>
      </c>
      <c r="K270" s="21">
        <v>2244</v>
      </c>
      <c r="L270" s="21">
        <v>2244</v>
      </c>
      <c r="M270" s="23">
        <v>0.25</v>
      </c>
      <c r="N270" s="21">
        <v>561</v>
      </c>
      <c r="O270" s="21">
        <v>1683</v>
      </c>
      <c r="P270" s="13">
        <v>4.8</v>
      </c>
      <c r="Q270" s="13" t="s">
        <v>26</v>
      </c>
    </row>
    <row r="271" spans="1:17" x14ac:dyDescent="0.25">
      <c r="A271" s="13" t="s">
        <v>457</v>
      </c>
      <c r="B271" s="14">
        <v>45961</v>
      </c>
      <c r="C271" s="13" t="s">
        <v>51</v>
      </c>
      <c r="D271" s="13" t="s">
        <v>70</v>
      </c>
      <c r="E271" s="13" t="s">
        <v>30</v>
      </c>
      <c r="F271" s="13" t="s">
        <v>65</v>
      </c>
      <c r="G271" s="13" t="s">
        <v>23</v>
      </c>
      <c r="H271" s="13" t="s">
        <v>33</v>
      </c>
      <c r="I271" s="13" t="s">
        <v>84</v>
      </c>
      <c r="J271" s="13">
        <v>3</v>
      </c>
      <c r="K271" s="21">
        <v>367</v>
      </c>
      <c r="L271" s="21">
        <v>1101</v>
      </c>
      <c r="M271" s="23">
        <v>0.2</v>
      </c>
      <c r="N271" s="21">
        <v>220</v>
      </c>
      <c r="O271" s="21">
        <v>881</v>
      </c>
      <c r="P271" s="13">
        <v>3.3</v>
      </c>
      <c r="Q271" s="13" t="s">
        <v>26</v>
      </c>
    </row>
    <row r="272" spans="1:17" x14ac:dyDescent="0.25">
      <c r="A272" s="13" t="s">
        <v>458</v>
      </c>
      <c r="B272" s="14">
        <v>45961</v>
      </c>
      <c r="C272" s="13" t="s">
        <v>63</v>
      </c>
      <c r="D272" s="13" t="s">
        <v>143</v>
      </c>
      <c r="E272" s="13" t="s">
        <v>101</v>
      </c>
      <c r="F272" s="13" t="s">
        <v>119</v>
      </c>
      <c r="G272" s="13" t="s">
        <v>32</v>
      </c>
      <c r="H272" s="13" t="s">
        <v>24</v>
      </c>
      <c r="I272" s="13" t="s">
        <v>25</v>
      </c>
      <c r="J272" s="13">
        <v>3</v>
      </c>
      <c r="K272" s="21">
        <v>2232</v>
      </c>
      <c r="L272" s="21">
        <v>6696</v>
      </c>
      <c r="M272" s="23">
        <v>0.3</v>
      </c>
      <c r="N272" s="21">
        <v>2009</v>
      </c>
      <c r="O272" s="21">
        <v>4687</v>
      </c>
      <c r="P272" s="13">
        <v>3.4</v>
      </c>
      <c r="Q272" s="13" t="s">
        <v>26</v>
      </c>
    </row>
    <row r="273" spans="1:17" x14ac:dyDescent="0.25">
      <c r="A273" s="13" t="s">
        <v>459</v>
      </c>
      <c r="B273" s="14">
        <v>45961</v>
      </c>
      <c r="C273" s="13" t="s">
        <v>40</v>
      </c>
      <c r="D273" s="13" t="s">
        <v>113</v>
      </c>
      <c r="E273" s="13" t="s">
        <v>42</v>
      </c>
      <c r="F273" s="13" t="s">
        <v>79</v>
      </c>
      <c r="G273" s="13" t="s">
        <v>32</v>
      </c>
      <c r="H273" s="13" t="s">
        <v>33</v>
      </c>
      <c r="I273" s="13" t="s">
        <v>98</v>
      </c>
      <c r="J273" s="13">
        <v>4</v>
      </c>
      <c r="K273" s="21">
        <v>1438</v>
      </c>
      <c r="L273" s="21">
        <v>5752</v>
      </c>
      <c r="M273" s="23">
        <v>0.1</v>
      </c>
      <c r="N273" s="21">
        <v>575</v>
      </c>
      <c r="O273" s="21">
        <v>5177</v>
      </c>
      <c r="P273" s="13">
        <v>3.3</v>
      </c>
      <c r="Q273" s="13" t="s">
        <v>26</v>
      </c>
    </row>
    <row r="274" spans="1:17" x14ac:dyDescent="0.25">
      <c r="A274" s="13" t="s">
        <v>460</v>
      </c>
      <c r="B274" s="14">
        <v>45962</v>
      </c>
      <c r="C274" s="13" t="s">
        <v>91</v>
      </c>
      <c r="D274" s="13" t="s">
        <v>92</v>
      </c>
      <c r="E274" s="13" t="s">
        <v>21</v>
      </c>
      <c r="F274" s="13" t="s">
        <v>83</v>
      </c>
      <c r="G274" s="13" t="s">
        <v>32</v>
      </c>
      <c r="H274" s="13" t="s">
        <v>24</v>
      </c>
      <c r="I274" s="13" t="s">
        <v>34</v>
      </c>
      <c r="J274" s="13">
        <v>4</v>
      </c>
      <c r="K274" s="21">
        <v>1993</v>
      </c>
      <c r="L274" s="21">
        <v>7972</v>
      </c>
      <c r="M274" s="23">
        <v>0.3</v>
      </c>
      <c r="N274" s="21">
        <v>2392</v>
      </c>
      <c r="O274" s="21">
        <v>5580</v>
      </c>
      <c r="P274" s="13">
        <v>4.4000000000000004</v>
      </c>
      <c r="Q274" s="13" t="s">
        <v>26</v>
      </c>
    </row>
    <row r="275" spans="1:17" x14ac:dyDescent="0.25">
      <c r="A275" s="13" t="s">
        <v>462</v>
      </c>
      <c r="B275" s="14">
        <v>45962</v>
      </c>
      <c r="C275" s="13" t="s">
        <v>40</v>
      </c>
      <c r="D275" s="13" t="s">
        <v>68</v>
      </c>
      <c r="E275" s="13" t="s">
        <v>21</v>
      </c>
      <c r="F275" s="13" t="s">
        <v>79</v>
      </c>
      <c r="G275" s="13" t="s">
        <v>44</v>
      </c>
      <c r="H275" s="13" t="s">
        <v>24</v>
      </c>
      <c r="I275" s="13" t="s">
        <v>25</v>
      </c>
      <c r="J275" s="13">
        <v>3</v>
      </c>
      <c r="K275" s="21">
        <v>757</v>
      </c>
      <c r="L275" s="21">
        <v>2271</v>
      </c>
      <c r="M275" s="23">
        <v>0.3</v>
      </c>
      <c r="N275" s="21">
        <v>681</v>
      </c>
      <c r="O275" s="21">
        <v>1590</v>
      </c>
      <c r="P275" s="13">
        <v>4.9000000000000004</v>
      </c>
      <c r="Q275" s="13" t="s">
        <v>26</v>
      </c>
    </row>
    <row r="276" spans="1:17" x14ac:dyDescent="0.25">
      <c r="A276" s="13" t="s">
        <v>463</v>
      </c>
      <c r="B276" s="14">
        <v>45964</v>
      </c>
      <c r="C276" s="13" t="s">
        <v>28</v>
      </c>
      <c r="D276" s="13" t="s">
        <v>163</v>
      </c>
      <c r="E276" s="13" t="s">
        <v>37</v>
      </c>
      <c r="F276" s="13" t="s">
        <v>65</v>
      </c>
      <c r="G276" s="13" t="s">
        <v>23</v>
      </c>
      <c r="H276" s="13" t="s">
        <v>33</v>
      </c>
      <c r="I276" s="13" t="s">
        <v>45</v>
      </c>
      <c r="J276" s="13">
        <v>4</v>
      </c>
      <c r="K276" s="21">
        <v>911</v>
      </c>
      <c r="L276" s="21">
        <v>3644</v>
      </c>
      <c r="M276" s="23">
        <v>0</v>
      </c>
      <c r="N276" s="21">
        <v>0</v>
      </c>
      <c r="O276" s="21">
        <v>3644</v>
      </c>
      <c r="P276" s="13">
        <v>3.6</v>
      </c>
      <c r="Q276" s="13" t="s">
        <v>26</v>
      </c>
    </row>
    <row r="277" spans="1:17" x14ac:dyDescent="0.25">
      <c r="A277" s="13" t="s">
        <v>465</v>
      </c>
      <c r="B277" s="14">
        <v>45965</v>
      </c>
      <c r="C277" s="13" t="s">
        <v>63</v>
      </c>
      <c r="D277" s="13" t="s">
        <v>143</v>
      </c>
      <c r="E277" s="13" t="s">
        <v>48</v>
      </c>
      <c r="F277" s="13" t="s">
        <v>83</v>
      </c>
      <c r="G277" s="13" t="s">
        <v>23</v>
      </c>
      <c r="H277" s="13" t="s">
        <v>104</v>
      </c>
      <c r="I277" s="13" t="s">
        <v>34</v>
      </c>
      <c r="J277" s="13">
        <v>1</v>
      </c>
      <c r="K277" s="21">
        <v>1864</v>
      </c>
      <c r="L277" s="21">
        <v>1864</v>
      </c>
      <c r="M277" s="23">
        <v>0.25</v>
      </c>
      <c r="N277" s="21">
        <v>466</v>
      </c>
      <c r="O277" s="21">
        <v>1398</v>
      </c>
      <c r="P277" s="13">
        <v>3.5</v>
      </c>
      <c r="Q277" s="13" t="s">
        <v>26</v>
      </c>
    </row>
    <row r="278" spans="1:17" x14ac:dyDescent="0.25">
      <c r="A278" s="13" t="s">
        <v>467</v>
      </c>
      <c r="B278" s="14">
        <v>45965</v>
      </c>
      <c r="C278" s="13" t="s">
        <v>63</v>
      </c>
      <c r="D278" s="13" t="s">
        <v>134</v>
      </c>
      <c r="E278" s="13" t="s">
        <v>60</v>
      </c>
      <c r="F278" s="13" t="s">
        <v>79</v>
      </c>
      <c r="G278" s="13" t="s">
        <v>32</v>
      </c>
      <c r="H278" s="13" t="s">
        <v>33</v>
      </c>
      <c r="I278" s="13" t="s">
        <v>84</v>
      </c>
      <c r="J278" s="13">
        <v>1</v>
      </c>
      <c r="K278" s="21">
        <v>644</v>
      </c>
      <c r="L278" s="21">
        <v>644</v>
      </c>
      <c r="M278" s="23">
        <v>0</v>
      </c>
      <c r="N278" s="21">
        <v>0</v>
      </c>
      <c r="O278" s="21">
        <v>644</v>
      </c>
      <c r="P278" s="13">
        <v>4.4000000000000004</v>
      </c>
      <c r="Q278" s="13" t="s">
        <v>26</v>
      </c>
    </row>
    <row r="279" spans="1:17" x14ac:dyDescent="0.25">
      <c r="A279" s="13" t="s">
        <v>468</v>
      </c>
      <c r="B279" s="14">
        <v>45966</v>
      </c>
      <c r="C279" s="13" t="s">
        <v>28</v>
      </c>
      <c r="D279" s="13" t="s">
        <v>77</v>
      </c>
      <c r="E279" s="13" t="s">
        <v>101</v>
      </c>
      <c r="F279" s="13" t="s">
        <v>130</v>
      </c>
      <c r="G279" s="13" t="s">
        <v>23</v>
      </c>
      <c r="H279" s="13" t="s">
        <v>24</v>
      </c>
      <c r="I279" s="13" t="s">
        <v>34</v>
      </c>
      <c r="J279" s="13">
        <v>3</v>
      </c>
      <c r="K279" s="21">
        <v>531</v>
      </c>
      <c r="L279" s="21">
        <v>1593</v>
      </c>
      <c r="M279" s="23">
        <v>0.25</v>
      </c>
      <c r="N279" s="21">
        <v>398</v>
      </c>
      <c r="O279" s="21">
        <v>1195</v>
      </c>
      <c r="P279" s="13">
        <v>4.2</v>
      </c>
      <c r="Q279" s="13" t="s">
        <v>26</v>
      </c>
    </row>
    <row r="280" spans="1:17" x14ac:dyDescent="0.25">
      <c r="A280" s="13" t="s">
        <v>470</v>
      </c>
      <c r="B280" s="14">
        <v>45966</v>
      </c>
      <c r="C280" s="13" t="s">
        <v>19</v>
      </c>
      <c r="D280" s="13" t="s">
        <v>128</v>
      </c>
      <c r="E280" s="13" t="s">
        <v>30</v>
      </c>
      <c r="F280" s="13" t="s">
        <v>72</v>
      </c>
      <c r="G280" s="13" t="s">
        <v>23</v>
      </c>
      <c r="H280" s="13" t="s">
        <v>33</v>
      </c>
      <c r="I280" s="13" t="s">
        <v>45</v>
      </c>
      <c r="J280" s="13">
        <v>5</v>
      </c>
      <c r="K280" s="21">
        <v>786</v>
      </c>
      <c r="L280" s="21">
        <v>3930</v>
      </c>
      <c r="M280" s="23">
        <v>0.05</v>
      </c>
      <c r="N280" s="21">
        <v>196</v>
      </c>
      <c r="O280" s="21">
        <v>3734</v>
      </c>
      <c r="P280" s="13">
        <v>4.8</v>
      </c>
      <c r="Q280" s="13" t="s">
        <v>75</v>
      </c>
    </row>
    <row r="281" spans="1:17" x14ac:dyDescent="0.25">
      <c r="A281" s="13" t="s">
        <v>471</v>
      </c>
      <c r="B281" s="14">
        <v>45966</v>
      </c>
      <c r="C281" s="13" t="s">
        <v>40</v>
      </c>
      <c r="D281" s="13" t="s">
        <v>57</v>
      </c>
      <c r="E281" s="13" t="s">
        <v>42</v>
      </c>
      <c r="F281" s="13" t="s">
        <v>119</v>
      </c>
      <c r="G281" s="13" t="s">
        <v>44</v>
      </c>
      <c r="H281" s="13" t="s">
        <v>24</v>
      </c>
      <c r="I281" s="13" t="s">
        <v>25</v>
      </c>
      <c r="J281" s="13">
        <v>4</v>
      </c>
      <c r="K281" s="21">
        <v>333</v>
      </c>
      <c r="L281" s="21">
        <v>1332</v>
      </c>
      <c r="M281" s="23">
        <v>0</v>
      </c>
      <c r="N281" s="21">
        <v>0</v>
      </c>
      <c r="O281" s="21">
        <v>1332</v>
      </c>
      <c r="P281" s="13">
        <v>3.8</v>
      </c>
      <c r="Q281" s="13" t="s">
        <v>26</v>
      </c>
    </row>
    <row r="282" spans="1:17" x14ac:dyDescent="0.25">
      <c r="A282" s="13" t="s">
        <v>472</v>
      </c>
      <c r="B282" s="14">
        <v>45967</v>
      </c>
      <c r="C282" s="13" t="s">
        <v>19</v>
      </c>
      <c r="D282" s="13" t="s">
        <v>230</v>
      </c>
      <c r="E282" s="13" t="s">
        <v>60</v>
      </c>
      <c r="F282" s="13" t="s">
        <v>22</v>
      </c>
      <c r="G282" s="13" t="s">
        <v>32</v>
      </c>
      <c r="H282" s="13" t="s">
        <v>24</v>
      </c>
      <c r="I282" s="13" t="s">
        <v>25</v>
      </c>
      <c r="J282" s="13">
        <v>2</v>
      </c>
      <c r="K282" s="21">
        <v>200</v>
      </c>
      <c r="L282" s="21">
        <v>400</v>
      </c>
      <c r="M282" s="23">
        <v>0.3</v>
      </c>
      <c r="N282" s="21">
        <v>120</v>
      </c>
      <c r="O282" s="21">
        <v>280</v>
      </c>
      <c r="P282" s="13">
        <v>3.7</v>
      </c>
      <c r="Q282" s="13" t="s">
        <v>26</v>
      </c>
    </row>
    <row r="283" spans="1:17" x14ac:dyDescent="0.25">
      <c r="A283" s="13" t="s">
        <v>474</v>
      </c>
      <c r="B283" s="14">
        <v>45967</v>
      </c>
      <c r="C283" s="13" t="s">
        <v>91</v>
      </c>
      <c r="D283" s="13" t="s">
        <v>125</v>
      </c>
      <c r="E283" s="13" t="s">
        <v>53</v>
      </c>
      <c r="F283" s="13" t="s">
        <v>43</v>
      </c>
      <c r="G283" s="13" t="s">
        <v>44</v>
      </c>
      <c r="H283" s="13" t="s">
        <v>33</v>
      </c>
      <c r="I283" s="13" t="s">
        <v>84</v>
      </c>
      <c r="J283" s="13">
        <v>5</v>
      </c>
      <c r="K283" s="21">
        <v>2601</v>
      </c>
      <c r="L283" s="21">
        <v>13005</v>
      </c>
      <c r="M283" s="23">
        <v>0.1</v>
      </c>
      <c r="N283" s="21">
        <v>1300</v>
      </c>
      <c r="O283" s="21">
        <v>11705</v>
      </c>
      <c r="P283" s="13">
        <v>3.3</v>
      </c>
      <c r="Q283" s="13" t="s">
        <v>26</v>
      </c>
    </row>
    <row r="284" spans="1:17" x14ac:dyDescent="0.25">
      <c r="A284" s="13" t="s">
        <v>475</v>
      </c>
      <c r="B284" s="14">
        <v>45967</v>
      </c>
      <c r="C284" s="13" t="s">
        <v>63</v>
      </c>
      <c r="D284" s="13" t="s">
        <v>64</v>
      </c>
      <c r="E284" s="13" t="s">
        <v>71</v>
      </c>
      <c r="F284" s="13" t="s">
        <v>61</v>
      </c>
      <c r="G284" s="13" t="s">
        <v>32</v>
      </c>
      <c r="H284" s="13" t="s">
        <v>24</v>
      </c>
      <c r="I284" s="13" t="s">
        <v>25</v>
      </c>
      <c r="J284" s="13">
        <v>3</v>
      </c>
      <c r="K284" s="21">
        <v>1091</v>
      </c>
      <c r="L284" s="21">
        <v>3273</v>
      </c>
      <c r="M284" s="23">
        <v>0.2</v>
      </c>
      <c r="N284" s="21">
        <v>655</v>
      </c>
      <c r="O284" s="21">
        <v>2618</v>
      </c>
      <c r="P284" s="13">
        <v>4.5</v>
      </c>
      <c r="Q284" s="13" t="s">
        <v>26</v>
      </c>
    </row>
    <row r="285" spans="1:17" x14ac:dyDescent="0.25">
      <c r="A285" s="13" t="s">
        <v>476</v>
      </c>
      <c r="B285" s="14">
        <v>45968</v>
      </c>
      <c r="C285" s="13" t="s">
        <v>91</v>
      </c>
      <c r="D285" s="13" t="s">
        <v>110</v>
      </c>
      <c r="E285" s="13" t="s">
        <v>101</v>
      </c>
      <c r="F285" s="13" t="s">
        <v>119</v>
      </c>
      <c r="G285" s="13" t="s">
        <v>23</v>
      </c>
      <c r="H285" s="13" t="s">
        <v>33</v>
      </c>
      <c r="I285" s="13" t="s">
        <v>98</v>
      </c>
      <c r="J285" s="13">
        <v>1</v>
      </c>
      <c r="K285" s="21">
        <v>2143</v>
      </c>
      <c r="L285" s="21">
        <v>2143</v>
      </c>
      <c r="M285" s="23">
        <v>0.2</v>
      </c>
      <c r="N285" s="21">
        <v>429</v>
      </c>
      <c r="O285" s="21">
        <v>1714</v>
      </c>
      <c r="P285" s="13">
        <v>4</v>
      </c>
      <c r="Q285" s="13" t="s">
        <v>26</v>
      </c>
    </row>
    <row r="286" spans="1:17" x14ac:dyDescent="0.25">
      <c r="A286" s="13" t="s">
        <v>478</v>
      </c>
      <c r="B286" s="14">
        <v>45968</v>
      </c>
      <c r="C286" s="13" t="s">
        <v>40</v>
      </c>
      <c r="D286" s="13" t="s">
        <v>57</v>
      </c>
      <c r="E286" s="13" t="s">
        <v>78</v>
      </c>
      <c r="F286" s="13" t="s">
        <v>130</v>
      </c>
      <c r="G286" s="13" t="s">
        <v>23</v>
      </c>
      <c r="H286" s="13" t="s">
        <v>33</v>
      </c>
      <c r="I286" s="13" t="s">
        <v>25</v>
      </c>
      <c r="J286" s="13">
        <v>1</v>
      </c>
      <c r="K286" s="21">
        <v>1403</v>
      </c>
      <c r="L286" s="21">
        <v>1403</v>
      </c>
      <c r="M286" s="23">
        <v>0.05</v>
      </c>
      <c r="N286" s="21">
        <v>70</v>
      </c>
      <c r="O286" s="21">
        <v>1333</v>
      </c>
      <c r="P286" s="13">
        <v>4.3</v>
      </c>
      <c r="Q286" s="13" t="s">
        <v>26</v>
      </c>
    </row>
    <row r="287" spans="1:17" x14ac:dyDescent="0.25">
      <c r="A287" s="13" t="s">
        <v>479</v>
      </c>
      <c r="B287" s="14">
        <v>45968</v>
      </c>
      <c r="C287" s="13" t="s">
        <v>51</v>
      </c>
      <c r="D287" s="13" t="s">
        <v>97</v>
      </c>
      <c r="E287" s="13" t="s">
        <v>21</v>
      </c>
      <c r="F287" s="13" t="s">
        <v>65</v>
      </c>
      <c r="G287" s="13" t="s">
        <v>32</v>
      </c>
      <c r="H287" s="13" t="s">
        <v>33</v>
      </c>
      <c r="I287" s="13" t="s">
        <v>45</v>
      </c>
      <c r="J287" s="13">
        <v>2</v>
      </c>
      <c r="K287" s="21">
        <v>705</v>
      </c>
      <c r="L287" s="21">
        <v>1410</v>
      </c>
      <c r="M287" s="23">
        <v>0.25</v>
      </c>
      <c r="N287" s="21">
        <v>352</v>
      </c>
      <c r="O287" s="21">
        <v>1058</v>
      </c>
      <c r="P287" s="13">
        <v>3.4</v>
      </c>
      <c r="Q287" s="13" t="s">
        <v>26</v>
      </c>
    </row>
    <row r="288" spans="1:17" x14ac:dyDescent="0.25">
      <c r="A288" s="13" t="s">
        <v>480</v>
      </c>
      <c r="B288" s="14">
        <v>45970</v>
      </c>
      <c r="C288" s="13" t="s">
        <v>51</v>
      </c>
      <c r="D288" s="13" t="s">
        <v>52</v>
      </c>
      <c r="E288" s="13" t="s">
        <v>42</v>
      </c>
      <c r="F288" s="13" t="s">
        <v>65</v>
      </c>
      <c r="G288" s="13" t="s">
        <v>23</v>
      </c>
      <c r="H288" s="13" t="s">
        <v>24</v>
      </c>
      <c r="I288" s="13" t="s">
        <v>84</v>
      </c>
      <c r="J288" s="13">
        <v>1</v>
      </c>
      <c r="K288" s="21">
        <v>619</v>
      </c>
      <c r="L288" s="21">
        <v>619</v>
      </c>
      <c r="M288" s="23">
        <v>0.3</v>
      </c>
      <c r="N288" s="21">
        <v>186</v>
      </c>
      <c r="O288" s="21">
        <v>433</v>
      </c>
      <c r="P288" s="13">
        <v>4.0999999999999996</v>
      </c>
      <c r="Q288" s="13" t="s">
        <v>26</v>
      </c>
    </row>
    <row r="289" spans="1:17" x14ac:dyDescent="0.25">
      <c r="A289" s="13" t="s">
        <v>482</v>
      </c>
      <c r="B289" s="14">
        <v>45971</v>
      </c>
      <c r="C289" s="13" t="s">
        <v>28</v>
      </c>
      <c r="D289" s="13" t="s">
        <v>95</v>
      </c>
      <c r="E289" s="13" t="s">
        <v>82</v>
      </c>
      <c r="F289" s="13" t="s">
        <v>79</v>
      </c>
      <c r="G289" s="13" t="s">
        <v>32</v>
      </c>
      <c r="H289" s="13" t="s">
        <v>104</v>
      </c>
      <c r="I289" s="13" t="s">
        <v>34</v>
      </c>
      <c r="J289" s="13">
        <v>2</v>
      </c>
      <c r="K289" s="21">
        <v>1131</v>
      </c>
      <c r="L289" s="21">
        <v>2262</v>
      </c>
      <c r="M289" s="23">
        <v>0</v>
      </c>
      <c r="N289" s="21">
        <v>0</v>
      </c>
      <c r="O289" s="21">
        <v>2262</v>
      </c>
      <c r="P289" s="13">
        <v>5</v>
      </c>
      <c r="Q289" s="13" t="s">
        <v>26</v>
      </c>
    </row>
    <row r="290" spans="1:17" x14ac:dyDescent="0.25">
      <c r="A290" s="13" t="s">
        <v>484</v>
      </c>
      <c r="B290" s="14">
        <v>45972</v>
      </c>
      <c r="C290" s="13" t="s">
        <v>19</v>
      </c>
      <c r="D290" s="13" t="s">
        <v>20</v>
      </c>
      <c r="E290" s="13" t="s">
        <v>30</v>
      </c>
      <c r="F290" s="13" t="s">
        <v>61</v>
      </c>
      <c r="G290" s="13" t="s">
        <v>23</v>
      </c>
      <c r="H290" s="13" t="s">
        <v>33</v>
      </c>
      <c r="I290" s="13" t="s">
        <v>34</v>
      </c>
      <c r="J290" s="13">
        <v>3</v>
      </c>
      <c r="K290" s="21">
        <v>328</v>
      </c>
      <c r="L290" s="21">
        <v>984</v>
      </c>
      <c r="M290" s="23">
        <v>0.2</v>
      </c>
      <c r="N290" s="21">
        <v>197</v>
      </c>
      <c r="O290" s="21">
        <v>787</v>
      </c>
      <c r="P290" s="13">
        <v>3.8</v>
      </c>
      <c r="Q290" s="13" t="s">
        <v>26</v>
      </c>
    </row>
    <row r="291" spans="1:17" x14ac:dyDescent="0.25">
      <c r="A291" s="13" t="s">
        <v>486</v>
      </c>
      <c r="B291" s="14">
        <v>45973</v>
      </c>
      <c r="C291" s="13" t="s">
        <v>19</v>
      </c>
      <c r="D291" s="13" t="s">
        <v>128</v>
      </c>
      <c r="E291" s="13" t="s">
        <v>71</v>
      </c>
      <c r="F291" s="13" t="s">
        <v>83</v>
      </c>
      <c r="G291" s="13" t="s">
        <v>23</v>
      </c>
      <c r="H291" s="13" t="s">
        <v>104</v>
      </c>
      <c r="I291" s="13" t="s">
        <v>34</v>
      </c>
      <c r="J291" s="13">
        <v>3</v>
      </c>
      <c r="K291" s="21">
        <v>305</v>
      </c>
      <c r="L291" s="21">
        <v>915</v>
      </c>
      <c r="M291" s="23">
        <v>0.15</v>
      </c>
      <c r="N291" s="21">
        <v>137</v>
      </c>
      <c r="O291" s="21">
        <v>778</v>
      </c>
      <c r="P291" s="13">
        <v>3.6</v>
      </c>
      <c r="Q291" s="13" t="s">
        <v>26</v>
      </c>
    </row>
    <row r="292" spans="1:17" x14ac:dyDescent="0.25">
      <c r="A292" s="13" t="s">
        <v>488</v>
      </c>
      <c r="B292" s="14">
        <v>45974</v>
      </c>
      <c r="C292" s="13" t="s">
        <v>91</v>
      </c>
      <c r="D292" s="13" t="s">
        <v>110</v>
      </c>
      <c r="E292" s="13" t="s">
        <v>78</v>
      </c>
      <c r="F292" s="13" t="s">
        <v>119</v>
      </c>
      <c r="G292" s="13" t="s">
        <v>23</v>
      </c>
      <c r="H292" s="13" t="s">
        <v>33</v>
      </c>
      <c r="I292" s="13" t="s">
        <v>98</v>
      </c>
      <c r="J292" s="13">
        <v>3</v>
      </c>
      <c r="K292" s="21">
        <v>1469</v>
      </c>
      <c r="L292" s="21">
        <v>4407</v>
      </c>
      <c r="M292" s="23">
        <v>0.15</v>
      </c>
      <c r="N292" s="21">
        <v>661</v>
      </c>
      <c r="O292" s="21">
        <v>3746</v>
      </c>
      <c r="P292" s="13">
        <v>4.8</v>
      </c>
      <c r="Q292" s="13" t="s">
        <v>26</v>
      </c>
    </row>
    <row r="293" spans="1:17" x14ac:dyDescent="0.25">
      <c r="A293" s="13" t="s">
        <v>490</v>
      </c>
      <c r="B293" s="14">
        <v>45974</v>
      </c>
      <c r="C293" s="13" t="s">
        <v>51</v>
      </c>
      <c r="D293" s="13" t="s">
        <v>70</v>
      </c>
      <c r="E293" s="13" t="s">
        <v>48</v>
      </c>
      <c r="F293" s="13" t="s">
        <v>43</v>
      </c>
      <c r="G293" s="13" t="s">
        <v>32</v>
      </c>
      <c r="H293" s="13" t="s">
        <v>33</v>
      </c>
      <c r="I293" s="13" t="s">
        <v>45</v>
      </c>
      <c r="J293" s="13">
        <v>1</v>
      </c>
      <c r="K293" s="21">
        <v>261</v>
      </c>
      <c r="L293" s="21">
        <v>261</v>
      </c>
      <c r="M293" s="23">
        <v>0.15</v>
      </c>
      <c r="N293" s="21">
        <v>39</v>
      </c>
      <c r="O293" s="21">
        <v>222</v>
      </c>
      <c r="P293" s="13">
        <v>3.5</v>
      </c>
      <c r="Q293" s="13" t="s">
        <v>26</v>
      </c>
    </row>
    <row r="294" spans="1:17" x14ac:dyDescent="0.25">
      <c r="A294" s="13" t="s">
        <v>491</v>
      </c>
      <c r="B294" s="14">
        <v>45974</v>
      </c>
      <c r="C294" s="13" t="s">
        <v>51</v>
      </c>
      <c r="D294" s="13" t="s">
        <v>97</v>
      </c>
      <c r="E294" s="13" t="s">
        <v>48</v>
      </c>
      <c r="F294" s="13" t="s">
        <v>79</v>
      </c>
      <c r="G294" s="13" t="s">
        <v>23</v>
      </c>
      <c r="H294" s="13" t="s">
        <v>33</v>
      </c>
      <c r="I294" s="13" t="s">
        <v>45</v>
      </c>
      <c r="J294" s="13">
        <v>4</v>
      </c>
      <c r="K294" s="21">
        <v>625</v>
      </c>
      <c r="L294" s="21">
        <v>2500</v>
      </c>
      <c r="M294" s="23">
        <v>0.15</v>
      </c>
      <c r="N294" s="21">
        <v>375</v>
      </c>
      <c r="O294" s="21">
        <v>2125</v>
      </c>
      <c r="P294" s="13">
        <v>4.7</v>
      </c>
      <c r="Q294" s="13" t="s">
        <v>26</v>
      </c>
    </row>
    <row r="295" spans="1:17" x14ac:dyDescent="0.25">
      <c r="A295" s="13" t="s">
        <v>492</v>
      </c>
      <c r="B295" s="14">
        <v>45976</v>
      </c>
      <c r="C295" s="13" t="s">
        <v>91</v>
      </c>
      <c r="D295" s="13" t="s">
        <v>110</v>
      </c>
      <c r="E295" s="13" t="s">
        <v>82</v>
      </c>
      <c r="F295" s="13" t="s">
        <v>65</v>
      </c>
      <c r="G295" s="13" t="s">
        <v>23</v>
      </c>
      <c r="H295" s="13" t="s">
        <v>24</v>
      </c>
      <c r="I295" s="13" t="s">
        <v>84</v>
      </c>
      <c r="J295" s="13">
        <v>4</v>
      </c>
      <c r="K295" s="21">
        <v>1189</v>
      </c>
      <c r="L295" s="21">
        <v>4756</v>
      </c>
      <c r="M295" s="23">
        <v>0.1</v>
      </c>
      <c r="N295" s="21">
        <v>476</v>
      </c>
      <c r="O295" s="21">
        <v>4280</v>
      </c>
      <c r="P295" s="13">
        <v>4.0999999999999996</v>
      </c>
      <c r="Q295" s="13" t="s">
        <v>26</v>
      </c>
    </row>
    <row r="296" spans="1:17" x14ac:dyDescent="0.25">
      <c r="A296" s="13" t="s">
        <v>494</v>
      </c>
      <c r="B296" s="14">
        <v>45978</v>
      </c>
      <c r="C296" s="13" t="s">
        <v>19</v>
      </c>
      <c r="D296" s="13" t="s">
        <v>121</v>
      </c>
      <c r="E296" s="13" t="s">
        <v>30</v>
      </c>
      <c r="F296" s="13" t="s">
        <v>61</v>
      </c>
      <c r="G296" s="13" t="s">
        <v>23</v>
      </c>
      <c r="H296" s="13" t="s">
        <v>24</v>
      </c>
      <c r="I296" s="13" t="s">
        <v>45</v>
      </c>
      <c r="J296" s="13">
        <v>4</v>
      </c>
      <c r="K296" s="21">
        <v>307</v>
      </c>
      <c r="L296" s="21">
        <v>1228</v>
      </c>
      <c r="M296" s="23">
        <v>0.2</v>
      </c>
      <c r="N296" s="21">
        <v>246</v>
      </c>
      <c r="O296" s="21">
        <v>982</v>
      </c>
      <c r="P296" s="13">
        <v>4.4000000000000004</v>
      </c>
      <c r="Q296" s="13" t="s">
        <v>26</v>
      </c>
    </row>
    <row r="297" spans="1:17" x14ac:dyDescent="0.25">
      <c r="A297" s="13" t="s">
        <v>496</v>
      </c>
      <c r="B297" s="14">
        <v>45978</v>
      </c>
      <c r="C297" s="13" t="s">
        <v>91</v>
      </c>
      <c r="D297" s="13" t="s">
        <v>92</v>
      </c>
      <c r="E297" s="13" t="s">
        <v>30</v>
      </c>
      <c r="F297" s="13" t="s">
        <v>119</v>
      </c>
      <c r="G297" s="13" t="s">
        <v>23</v>
      </c>
      <c r="H297" s="13" t="s">
        <v>33</v>
      </c>
      <c r="I297" s="13" t="s">
        <v>34</v>
      </c>
      <c r="J297" s="13">
        <v>5</v>
      </c>
      <c r="K297" s="21">
        <v>1477</v>
      </c>
      <c r="L297" s="21">
        <v>7385</v>
      </c>
      <c r="M297" s="23">
        <v>0.3</v>
      </c>
      <c r="N297" s="21">
        <v>2216</v>
      </c>
      <c r="O297" s="21">
        <v>5169</v>
      </c>
      <c r="P297" s="13">
        <v>4.4000000000000004</v>
      </c>
      <c r="Q297" s="13" t="s">
        <v>26</v>
      </c>
    </row>
    <row r="298" spans="1:17" x14ac:dyDescent="0.25">
      <c r="A298" s="13" t="s">
        <v>497</v>
      </c>
      <c r="B298" s="14">
        <v>45978</v>
      </c>
      <c r="C298" s="13" t="s">
        <v>28</v>
      </c>
      <c r="D298" s="13" t="s">
        <v>29</v>
      </c>
      <c r="E298" s="13" t="s">
        <v>21</v>
      </c>
      <c r="F298" s="13" t="s">
        <v>83</v>
      </c>
      <c r="G298" s="13" t="s">
        <v>32</v>
      </c>
      <c r="H298" s="13" t="s">
        <v>24</v>
      </c>
      <c r="I298" s="13" t="s">
        <v>45</v>
      </c>
      <c r="J298" s="13">
        <v>3</v>
      </c>
      <c r="K298" s="21">
        <v>989</v>
      </c>
      <c r="L298" s="21">
        <v>2967</v>
      </c>
      <c r="M298" s="23">
        <v>0</v>
      </c>
      <c r="N298" s="21">
        <v>0</v>
      </c>
      <c r="O298" s="21">
        <v>2967</v>
      </c>
      <c r="P298" s="13">
        <v>4.5</v>
      </c>
      <c r="Q298" s="13" t="s">
        <v>26</v>
      </c>
    </row>
    <row r="299" spans="1:17" x14ac:dyDescent="0.25">
      <c r="A299" s="13" t="s">
        <v>498</v>
      </c>
      <c r="B299" s="14">
        <v>45979</v>
      </c>
      <c r="C299" s="13" t="s">
        <v>40</v>
      </c>
      <c r="D299" s="13" t="s">
        <v>113</v>
      </c>
      <c r="E299" s="13" t="s">
        <v>71</v>
      </c>
      <c r="F299" s="13" t="s">
        <v>22</v>
      </c>
      <c r="G299" s="13" t="s">
        <v>44</v>
      </c>
      <c r="H299" s="13" t="s">
        <v>24</v>
      </c>
      <c r="I299" s="13" t="s">
        <v>45</v>
      </c>
      <c r="J299" s="13">
        <v>2</v>
      </c>
      <c r="K299" s="21">
        <v>427</v>
      </c>
      <c r="L299" s="21">
        <v>854</v>
      </c>
      <c r="M299" s="23">
        <v>0</v>
      </c>
      <c r="N299" s="21">
        <v>0</v>
      </c>
      <c r="O299" s="21">
        <v>854</v>
      </c>
      <c r="P299" s="13">
        <v>4.0999999999999996</v>
      </c>
      <c r="Q299" s="13" t="s">
        <v>26</v>
      </c>
    </row>
    <row r="300" spans="1:17" x14ac:dyDescent="0.25">
      <c r="A300" s="13" t="s">
        <v>500</v>
      </c>
      <c r="B300" s="14">
        <v>45979</v>
      </c>
      <c r="C300" s="13" t="s">
        <v>63</v>
      </c>
      <c r="D300" s="13" t="s">
        <v>134</v>
      </c>
      <c r="E300" s="13" t="s">
        <v>37</v>
      </c>
      <c r="F300" s="13" t="s">
        <v>83</v>
      </c>
      <c r="G300" s="13" t="s">
        <v>23</v>
      </c>
      <c r="H300" s="13" t="s">
        <v>33</v>
      </c>
      <c r="I300" s="13" t="s">
        <v>98</v>
      </c>
      <c r="J300" s="13">
        <v>1</v>
      </c>
      <c r="K300" s="21">
        <v>1639</v>
      </c>
      <c r="L300" s="21">
        <v>1639</v>
      </c>
      <c r="M300" s="23">
        <v>0</v>
      </c>
      <c r="N300" s="21">
        <v>0</v>
      </c>
      <c r="O300" s="21">
        <v>1639</v>
      </c>
      <c r="P300" s="13">
        <v>3.3</v>
      </c>
      <c r="Q300" s="13" t="s">
        <v>26</v>
      </c>
    </row>
    <row r="301" spans="1:17" x14ac:dyDescent="0.25">
      <c r="A301" s="13" t="s">
        <v>501</v>
      </c>
      <c r="B301" s="14">
        <v>45980</v>
      </c>
      <c r="C301" s="13" t="s">
        <v>19</v>
      </c>
      <c r="D301" s="13" t="s">
        <v>20</v>
      </c>
      <c r="E301" s="13" t="s">
        <v>101</v>
      </c>
      <c r="F301" s="13" t="s">
        <v>83</v>
      </c>
      <c r="G301" s="13" t="s">
        <v>32</v>
      </c>
      <c r="H301" s="13" t="s">
        <v>24</v>
      </c>
      <c r="I301" s="13" t="s">
        <v>45</v>
      </c>
      <c r="J301" s="13">
        <v>5</v>
      </c>
      <c r="K301" s="21">
        <v>153</v>
      </c>
      <c r="L301" s="21">
        <v>765</v>
      </c>
      <c r="M301" s="23">
        <v>0.05</v>
      </c>
      <c r="N301" s="21">
        <v>38</v>
      </c>
      <c r="O301" s="21">
        <v>727</v>
      </c>
      <c r="P301" s="13">
        <v>3.9</v>
      </c>
      <c r="Q301" s="13" t="s">
        <v>26</v>
      </c>
    </row>
    <row r="302" spans="1:17" x14ac:dyDescent="0.25">
      <c r="A302" s="13" t="s">
        <v>503</v>
      </c>
      <c r="B302" s="14">
        <v>45980</v>
      </c>
      <c r="C302" s="13" t="s">
        <v>28</v>
      </c>
      <c r="D302" s="13" t="s">
        <v>163</v>
      </c>
      <c r="E302" s="13" t="s">
        <v>60</v>
      </c>
      <c r="F302" s="13" t="s">
        <v>22</v>
      </c>
      <c r="G302" s="13" t="s">
        <v>23</v>
      </c>
      <c r="H302" s="13" t="s">
        <v>33</v>
      </c>
      <c r="I302" s="13" t="s">
        <v>25</v>
      </c>
      <c r="J302" s="13">
        <v>3</v>
      </c>
      <c r="K302" s="21">
        <v>363</v>
      </c>
      <c r="L302" s="21">
        <v>1089</v>
      </c>
      <c r="M302" s="23">
        <v>0.1</v>
      </c>
      <c r="N302" s="21">
        <v>109</v>
      </c>
      <c r="O302" s="21">
        <v>980</v>
      </c>
      <c r="P302" s="13">
        <v>3.4</v>
      </c>
      <c r="Q302" s="13" t="s">
        <v>75</v>
      </c>
    </row>
    <row r="303" spans="1:17" x14ac:dyDescent="0.25">
      <c r="A303" s="13" t="s">
        <v>504</v>
      </c>
      <c r="B303" s="14">
        <v>45981</v>
      </c>
      <c r="C303" s="13" t="s">
        <v>51</v>
      </c>
      <c r="D303" s="13" t="s">
        <v>70</v>
      </c>
      <c r="E303" s="13" t="s">
        <v>78</v>
      </c>
      <c r="F303" s="13" t="s">
        <v>79</v>
      </c>
      <c r="G303" s="13" t="s">
        <v>23</v>
      </c>
      <c r="H303" s="13" t="s">
        <v>33</v>
      </c>
      <c r="I303" s="13" t="s">
        <v>98</v>
      </c>
      <c r="J303" s="13">
        <v>5</v>
      </c>
      <c r="K303" s="21">
        <v>548</v>
      </c>
      <c r="L303" s="21">
        <v>2740</v>
      </c>
      <c r="M303" s="23">
        <v>0.25</v>
      </c>
      <c r="N303" s="21">
        <v>685</v>
      </c>
      <c r="O303" s="21">
        <v>2055</v>
      </c>
      <c r="P303" s="13">
        <v>4.2</v>
      </c>
      <c r="Q303" s="13" t="s">
        <v>26</v>
      </c>
    </row>
    <row r="304" spans="1:17" x14ac:dyDescent="0.25">
      <c r="A304" s="13" t="s">
        <v>506</v>
      </c>
      <c r="B304" s="14">
        <v>45981</v>
      </c>
      <c r="C304" s="13" t="s">
        <v>28</v>
      </c>
      <c r="D304" s="13" t="s">
        <v>77</v>
      </c>
      <c r="E304" s="13" t="s">
        <v>101</v>
      </c>
      <c r="F304" s="13" t="s">
        <v>31</v>
      </c>
      <c r="G304" s="13" t="s">
        <v>23</v>
      </c>
      <c r="H304" s="13" t="s">
        <v>33</v>
      </c>
      <c r="I304" s="13" t="s">
        <v>25</v>
      </c>
      <c r="J304" s="13">
        <v>1</v>
      </c>
      <c r="K304" s="21">
        <v>617</v>
      </c>
      <c r="L304" s="21">
        <v>617</v>
      </c>
      <c r="M304" s="23">
        <v>0.1</v>
      </c>
      <c r="N304" s="21">
        <v>62</v>
      </c>
      <c r="O304" s="21">
        <v>555</v>
      </c>
      <c r="P304" s="13">
        <v>4.7</v>
      </c>
      <c r="Q304" s="13" t="s">
        <v>26</v>
      </c>
    </row>
    <row r="305" spans="1:17" x14ac:dyDescent="0.25">
      <c r="A305" s="13" t="s">
        <v>507</v>
      </c>
      <c r="B305" s="14">
        <v>45981</v>
      </c>
      <c r="C305" s="13" t="s">
        <v>28</v>
      </c>
      <c r="D305" s="13" t="s">
        <v>77</v>
      </c>
      <c r="E305" s="13" t="s">
        <v>78</v>
      </c>
      <c r="F305" s="13" t="s">
        <v>79</v>
      </c>
      <c r="G305" s="13" t="s">
        <v>23</v>
      </c>
      <c r="H305" s="13" t="s">
        <v>24</v>
      </c>
      <c r="I305" s="13" t="s">
        <v>84</v>
      </c>
      <c r="J305" s="13">
        <v>5</v>
      </c>
      <c r="K305" s="21">
        <v>938</v>
      </c>
      <c r="L305" s="21">
        <v>4690</v>
      </c>
      <c r="M305" s="23">
        <v>0.2</v>
      </c>
      <c r="N305" s="21">
        <v>938</v>
      </c>
      <c r="O305" s="21">
        <v>3752</v>
      </c>
      <c r="P305" s="13">
        <v>4.2</v>
      </c>
      <c r="Q305" s="13" t="s">
        <v>26</v>
      </c>
    </row>
    <row r="306" spans="1:17" x14ac:dyDescent="0.25">
      <c r="A306" s="13" t="s">
        <v>508</v>
      </c>
      <c r="B306" s="14">
        <v>45982</v>
      </c>
      <c r="C306" s="13" t="s">
        <v>28</v>
      </c>
      <c r="D306" s="13" t="s">
        <v>29</v>
      </c>
      <c r="E306" s="13" t="s">
        <v>78</v>
      </c>
      <c r="F306" s="13" t="s">
        <v>31</v>
      </c>
      <c r="G306" s="13" t="s">
        <v>32</v>
      </c>
      <c r="H306" s="13" t="s">
        <v>24</v>
      </c>
      <c r="I306" s="13" t="s">
        <v>25</v>
      </c>
      <c r="J306" s="13">
        <v>1</v>
      </c>
      <c r="K306" s="21">
        <v>1180</v>
      </c>
      <c r="L306" s="21">
        <v>1180</v>
      </c>
      <c r="M306" s="23">
        <v>0.3</v>
      </c>
      <c r="N306" s="21">
        <v>354</v>
      </c>
      <c r="O306" s="21">
        <v>826</v>
      </c>
      <c r="P306" s="13">
        <v>4.0999999999999996</v>
      </c>
      <c r="Q306" s="13" t="s">
        <v>26</v>
      </c>
    </row>
    <row r="307" spans="1:17" x14ac:dyDescent="0.25">
      <c r="A307" s="13" t="s">
        <v>510</v>
      </c>
      <c r="B307" s="14">
        <v>45982</v>
      </c>
      <c r="C307" s="13" t="s">
        <v>19</v>
      </c>
      <c r="D307" s="13" t="s">
        <v>20</v>
      </c>
      <c r="E307" s="13" t="s">
        <v>101</v>
      </c>
      <c r="F307" s="13" t="s">
        <v>79</v>
      </c>
      <c r="G307" s="13" t="s">
        <v>32</v>
      </c>
      <c r="H307" s="13" t="s">
        <v>24</v>
      </c>
      <c r="I307" s="13" t="s">
        <v>25</v>
      </c>
      <c r="J307" s="13">
        <v>5</v>
      </c>
      <c r="K307" s="21">
        <v>955</v>
      </c>
      <c r="L307" s="21">
        <v>4775</v>
      </c>
      <c r="M307" s="23">
        <v>0</v>
      </c>
      <c r="N307" s="21">
        <v>0</v>
      </c>
      <c r="O307" s="21">
        <v>4775</v>
      </c>
      <c r="P307" s="13">
        <v>3.6</v>
      </c>
      <c r="Q307" s="13" t="s">
        <v>26</v>
      </c>
    </row>
    <row r="308" spans="1:17" x14ac:dyDescent="0.25">
      <c r="A308" s="13" t="s">
        <v>511</v>
      </c>
      <c r="B308" s="14">
        <v>45982</v>
      </c>
      <c r="C308" s="13" t="s">
        <v>19</v>
      </c>
      <c r="D308" s="13" t="s">
        <v>20</v>
      </c>
      <c r="E308" s="13" t="s">
        <v>48</v>
      </c>
      <c r="F308" s="13" t="s">
        <v>61</v>
      </c>
      <c r="G308" s="13" t="s">
        <v>23</v>
      </c>
      <c r="H308" s="13" t="s">
        <v>24</v>
      </c>
      <c r="I308" s="13" t="s">
        <v>98</v>
      </c>
      <c r="J308" s="13">
        <v>2</v>
      </c>
      <c r="K308" s="21">
        <v>841</v>
      </c>
      <c r="L308" s="21">
        <v>1682</v>
      </c>
      <c r="M308" s="23">
        <v>0.25</v>
      </c>
      <c r="N308" s="21">
        <v>420</v>
      </c>
      <c r="O308" s="21">
        <v>1262</v>
      </c>
      <c r="P308" s="13">
        <v>3.7</v>
      </c>
      <c r="Q308" s="13" t="s">
        <v>26</v>
      </c>
    </row>
    <row r="309" spans="1:17" x14ac:dyDescent="0.25">
      <c r="A309" s="13" t="s">
        <v>512</v>
      </c>
      <c r="B309" s="14">
        <v>45984</v>
      </c>
      <c r="C309" s="13" t="s">
        <v>28</v>
      </c>
      <c r="D309" s="13" t="s">
        <v>77</v>
      </c>
      <c r="E309" s="13" t="s">
        <v>53</v>
      </c>
      <c r="F309" s="13" t="s">
        <v>61</v>
      </c>
      <c r="G309" s="13" t="s">
        <v>23</v>
      </c>
      <c r="H309" s="13" t="s">
        <v>24</v>
      </c>
      <c r="I309" s="13" t="s">
        <v>45</v>
      </c>
      <c r="J309" s="13">
        <v>2</v>
      </c>
      <c r="K309" s="21">
        <v>604</v>
      </c>
      <c r="L309" s="21">
        <v>1208</v>
      </c>
      <c r="M309" s="23">
        <v>0.2</v>
      </c>
      <c r="N309" s="21">
        <v>242</v>
      </c>
      <c r="O309" s="21">
        <v>966</v>
      </c>
      <c r="P309" s="13">
        <v>5</v>
      </c>
      <c r="Q309" s="13" t="s">
        <v>26</v>
      </c>
    </row>
    <row r="310" spans="1:17" x14ac:dyDescent="0.25">
      <c r="A310" s="13" t="s">
        <v>514</v>
      </c>
      <c r="B310" s="14">
        <v>45985</v>
      </c>
      <c r="C310" s="13" t="s">
        <v>40</v>
      </c>
      <c r="D310" s="13" t="s">
        <v>57</v>
      </c>
      <c r="E310" s="13" t="s">
        <v>53</v>
      </c>
      <c r="F310" s="13" t="s">
        <v>61</v>
      </c>
      <c r="G310" s="13" t="s">
        <v>32</v>
      </c>
      <c r="H310" s="13" t="s">
        <v>24</v>
      </c>
      <c r="I310" s="13" t="s">
        <v>84</v>
      </c>
      <c r="J310" s="13">
        <v>3</v>
      </c>
      <c r="K310" s="21">
        <v>805</v>
      </c>
      <c r="L310" s="21">
        <v>2415</v>
      </c>
      <c r="M310" s="23">
        <v>0.2</v>
      </c>
      <c r="N310" s="21">
        <v>483</v>
      </c>
      <c r="O310" s="21">
        <v>1932</v>
      </c>
      <c r="P310" s="13">
        <v>4.2</v>
      </c>
      <c r="Q310" s="13" t="s">
        <v>26</v>
      </c>
    </row>
    <row r="311" spans="1:17" x14ac:dyDescent="0.25">
      <c r="A311" s="13" t="s">
        <v>516</v>
      </c>
      <c r="B311" s="14">
        <v>45986</v>
      </c>
      <c r="C311" s="13" t="s">
        <v>91</v>
      </c>
      <c r="D311" s="13" t="s">
        <v>92</v>
      </c>
      <c r="E311" s="13" t="s">
        <v>37</v>
      </c>
      <c r="F311" s="13" t="s">
        <v>79</v>
      </c>
      <c r="G311" s="13" t="s">
        <v>23</v>
      </c>
      <c r="H311" s="13" t="s">
        <v>24</v>
      </c>
      <c r="I311" s="13" t="s">
        <v>98</v>
      </c>
      <c r="J311" s="13">
        <v>2</v>
      </c>
      <c r="K311" s="21">
        <v>886</v>
      </c>
      <c r="L311" s="21">
        <v>1772</v>
      </c>
      <c r="M311" s="23">
        <v>0.15</v>
      </c>
      <c r="N311" s="21">
        <v>266</v>
      </c>
      <c r="O311" s="21">
        <v>1506</v>
      </c>
      <c r="P311" s="13">
        <v>3.6</v>
      </c>
      <c r="Q311" s="13" t="s">
        <v>26</v>
      </c>
    </row>
    <row r="312" spans="1:17" x14ac:dyDescent="0.25">
      <c r="A312" s="13" t="s">
        <v>518</v>
      </c>
      <c r="B312" s="14">
        <v>45986</v>
      </c>
      <c r="C312" s="13" t="s">
        <v>19</v>
      </c>
      <c r="D312" s="13" t="s">
        <v>128</v>
      </c>
      <c r="E312" s="13" t="s">
        <v>60</v>
      </c>
      <c r="F312" s="13" t="s">
        <v>83</v>
      </c>
      <c r="G312" s="13" t="s">
        <v>32</v>
      </c>
      <c r="H312" s="13" t="s">
        <v>33</v>
      </c>
      <c r="I312" s="13" t="s">
        <v>45</v>
      </c>
      <c r="J312" s="13">
        <v>3</v>
      </c>
      <c r="K312" s="21">
        <v>625</v>
      </c>
      <c r="L312" s="21">
        <v>1875</v>
      </c>
      <c r="M312" s="23">
        <v>0.3</v>
      </c>
      <c r="N312" s="21">
        <v>562</v>
      </c>
      <c r="O312" s="21">
        <v>1313</v>
      </c>
      <c r="P312" s="13">
        <v>4.5</v>
      </c>
      <c r="Q312" s="13" t="s">
        <v>26</v>
      </c>
    </row>
    <row r="313" spans="1:17" x14ac:dyDescent="0.25">
      <c r="A313" s="13" t="s">
        <v>519</v>
      </c>
      <c r="B313" s="14">
        <v>45986</v>
      </c>
      <c r="C313" s="13" t="s">
        <v>28</v>
      </c>
      <c r="D313" s="13" t="s">
        <v>77</v>
      </c>
      <c r="E313" s="13" t="s">
        <v>101</v>
      </c>
      <c r="F313" s="13" t="s">
        <v>130</v>
      </c>
      <c r="G313" s="13" t="s">
        <v>23</v>
      </c>
      <c r="H313" s="13" t="s">
        <v>24</v>
      </c>
      <c r="I313" s="13" t="s">
        <v>84</v>
      </c>
      <c r="J313" s="13">
        <v>5</v>
      </c>
      <c r="K313" s="21">
        <v>1216</v>
      </c>
      <c r="L313" s="21">
        <v>6080</v>
      </c>
      <c r="M313" s="23">
        <v>0.25</v>
      </c>
      <c r="N313" s="21">
        <v>1520</v>
      </c>
      <c r="O313" s="21">
        <v>4560</v>
      </c>
      <c r="P313" s="13">
        <v>4.2</v>
      </c>
      <c r="Q313" s="13" t="s">
        <v>26</v>
      </c>
    </row>
    <row r="314" spans="1:17" x14ac:dyDescent="0.25">
      <c r="A314" s="13" t="s">
        <v>520</v>
      </c>
      <c r="B314" s="14">
        <v>45986</v>
      </c>
      <c r="C314" s="13" t="s">
        <v>51</v>
      </c>
      <c r="D314" s="13" t="s">
        <v>70</v>
      </c>
      <c r="E314" s="13" t="s">
        <v>37</v>
      </c>
      <c r="F314" s="13" t="s">
        <v>61</v>
      </c>
      <c r="G314" s="13" t="s">
        <v>23</v>
      </c>
      <c r="H314" s="13" t="s">
        <v>24</v>
      </c>
      <c r="I314" s="13" t="s">
        <v>98</v>
      </c>
      <c r="J314" s="13">
        <v>1</v>
      </c>
      <c r="K314" s="21">
        <v>212</v>
      </c>
      <c r="L314" s="21">
        <v>212</v>
      </c>
      <c r="M314" s="23">
        <v>0.2</v>
      </c>
      <c r="N314" s="21">
        <v>42</v>
      </c>
      <c r="O314" s="21">
        <v>170</v>
      </c>
      <c r="P314" s="13">
        <v>4.3</v>
      </c>
      <c r="Q314" s="13" t="s">
        <v>75</v>
      </c>
    </row>
    <row r="315" spans="1:17" x14ac:dyDescent="0.25">
      <c r="A315" s="13" t="s">
        <v>521</v>
      </c>
      <c r="B315" s="14">
        <v>45986</v>
      </c>
      <c r="C315" s="13" t="s">
        <v>51</v>
      </c>
      <c r="D315" s="13" t="s">
        <v>70</v>
      </c>
      <c r="E315" s="13" t="s">
        <v>30</v>
      </c>
      <c r="F315" s="13" t="s">
        <v>130</v>
      </c>
      <c r="G315" s="13" t="s">
        <v>23</v>
      </c>
      <c r="H315" s="13" t="s">
        <v>33</v>
      </c>
      <c r="I315" s="13" t="s">
        <v>34</v>
      </c>
      <c r="J315" s="13">
        <v>2</v>
      </c>
      <c r="K315" s="21">
        <v>283</v>
      </c>
      <c r="L315" s="21">
        <v>566</v>
      </c>
      <c r="M315" s="23">
        <v>0</v>
      </c>
      <c r="N315" s="21">
        <v>0</v>
      </c>
      <c r="O315" s="21">
        <v>566</v>
      </c>
      <c r="P315" s="13">
        <v>4.8</v>
      </c>
      <c r="Q315" s="13" t="s">
        <v>26</v>
      </c>
    </row>
    <row r="316" spans="1:17" x14ac:dyDescent="0.25">
      <c r="A316" s="13" t="s">
        <v>522</v>
      </c>
      <c r="B316" s="14">
        <v>45987</v>
      </c>
      <c r="C316" s="13" t="s">
        <v>40</v>
      </c>
      <c r="D316" s="13" t="s">
        <v>113</v>
      </c>
      <c r="E316" s="13" t="s">
        <v>60</v>
      </c>
      <c r="F316" s="13" t="s">
        <v>61</v>
      </c>
      <c r="G316" s="13" t="s">
        <v>32</v>
      </c>
      <c r="H316" s="13" t="s">
        <v>33</v>
      </c>
      <c r="I316" s="13" t="s">
        <v>34</v>
      </c>
      <c r="J316" s="13">
        <v>4</v>
      </c>
      <c r="K316" s="21">
        <v>1365</v>
      </c>
      <c r="L316" s="21">
        <v>5460</v>
      </c>
      <c r="M316" s="23">
        <v>0.05</v>
      </c>
      <c r="N316" s="21">
        <v>273</v>
      </c>
      <c r="O316" s="21">
        <v>5187</v>
      </c>
      <c r="P316" s="13">
        <v>3.8</v>
      </c>
      <c r="Q316" s="13" t="s">
        <v>26</v>
      </c>
    </row>
    <row r="317" spans="1:17" x14ac:dyDescent="0.25">
      <c r="A317" s="13" t="s">
        <v>524</v>
      </c>
      <c r="B317" s="14">
        <v>45987</v>
      </c>
      <c r="C317" s="13" t="s">
        <v>40</v>
      </c>
      <c r="D317" s="13" t="s">
        <v>47</v>
      </c>
      <c r="E317" s="13" t="s">
        <v>71</v>
      </c>
      <c r="F317" s="13" t="s">
        <v>83</v>
      </c>
      <c r="G317" s="13" t="s">
        <v>32</v>
      </c>
      <c r="H317" s="13" t="s">
        <v>33</v>
      </c>
      <c r="I317" s="13" t="s">
        <v>34</v>
      </c>
      <c r="J317" s="13">
        <v>5</v>
      </c>
      <c r="K317" s="21">
        <v>1017</v>
      </c>
      <c r="L317" s="21">
        <v>5085</v>
      </c>
      <c r="M317" s="23">
        <v>0.25</v>
      </c>
      <c r="N317" s="21">
        <v>1271</v>
      </c>
      <c r="O317" s="21">
        <v>3814</v>
      </c>
      <c r="P317" s="13">
        <v>4.7</v>
      </c>
      <c r="Q317" s="13" t="s">
        <v>26</v>
      </c>
    </row>
    <row r="318" spans="1:17" x14ac:dyDescent="0.25">
      <c r="A318" s="13" t="s">
        <v>525</v>
      </c>
      <c r="B318" s="14">
        <v>45988</v>
      </c>
      <c r="C318" s="13" t="s">
        <v>63</v>
      </c>
      <c r="D318" s="13" t="s">
        <v>134</v>
      </c>
      <c r="E318" s="13" t="s">
        <v>42</v>
      </c>
      <c r="F318" s="13" t="s">
        <v>61</v>
      </c>
      <c r="G318" s="13" t="s">
        <v>23</v>
      </c>
      <c r="H318" s="13" t="s">
        <v>24</v>
      </c>
      <c r="I318" s="13" t="s">
        <v>34</v>
      </c>
      <c r="J318" s="13">
        <v>4</v>
      </c>
      <c r="K318" s="21">
        <v>749</v>
      </c>
      <c r="L318" s="21">
        <v>2996</v>
      </c>
      <c r="M318" s="23">
        <v>0.1</v>
      </c>
      <c r="N318" s="21">
        <v>300</v>
      </c>
      <c r="O318" s="21">
        <v>2696</v>
      </c>
      <c r="P318" s="13">
        <v>4.3</v>
      </c>
      <c r="Q318" s="13" t="s">
        <v>26</v>
      </c>
    </row>
    <row r="319" spans="1:17" x14ac:dyDescent="0.25">
      <c r="A319" s="13" t="s">
        <v>527</v>
      </c>
      <c r="B319" s="14">
        <v>45988</v>
      </c>
      <c r="C319" s="13" t="s">
        <v>19</v>
      </c>
      <c r="D319" s="13" t="s">
        <v>128</v>
      </c>
      <c r="E319" s="13" t="s">
        <v>42</v>
      </c>
      <c r="F319" s="13" t="s">
        <v>22</v>
      </c>
      <c r="G319" s="13" t="s">
        <v>23</v>
      </c>
      <c r="H319" s="13" t="s">
        <v>24</v>
      </c>
      <c r="I319" s="13" t="s">
        <v>98</v>
      </c>
      <c r="J319" s="13">
        <v>1</v>
      </c>
      <c r="K319" s="21">
        <v>295</v>
      </c>
      <c r="L319" s="21">
        <v>295</v>
      </c>
      <c r="M319" s="23">
        <v>0.3</v>
      </c>
      <c r="N319" s="21">
        <v>88</v>
      </c>
      <c r="O319" s="21">
        <v>207</v>
      </c>
      <c r="P319" s="13">
        <v>4.8</v>
      </c>
      <c r="Q319" s="13" t="s">
        <v>26</v>
      </c>
    </row>
    <row r="320" spans="1:17" x14ac:dyDescent="0.25">
      <c r="A320" s="13" t="s">
        <v>528</v>
      </c>
      <c r="B320" s="14">
        <v>45988</v>
      </c>
      <c r="C320" s="13" t="s">
        <v>40</v>
      </c>
      <c r="D320" s="13" t="s">
        <v>47</v>
      </c>
      <c r="E320" s="13" t="s">
        <v>21</v>
      </c>
      <c r="F320" s="13" t="s">
        <v>22</v>
      </c>
      <c r="G320" s="13" t="s">
        <v>32</v>
      </c>
      <c r="H320" s="13" t="s">
        <v>33</v>
      </c>
      <c r="I320" s="13" t="s">
        <v>45</v>
      </c>
      <c r="J320" s="13">
        <v>4</v>
      </c>
      <c r="K320" s="21">
        <v>591</v>
      </c>
      <c r="L320" s="21">
        <v>2364</v>
      </c>
      <c r="M320" s="23">
        <v>0.2</v>
      </c>
      <c r="N320" s="21">
        <v>473</v>
      </c>
      <c r="O320" s="21">
        <v>1891</v>
      </c>
      <c r="P320" s="13">
        <v>3.5</v>
      </c>
      <c r="Q320" s="13" t="s">
        <v>26</v>
      </c>
    </row>
    <row r="321" spans="1:17" x14ac:dyDescent="0.25">
      <c r="A321" s="13" t="s">
        <v>529</v>
      </c>
      <c r="B321" s="14">
        <v>45988</v>
      </c>
      <c r="C321" s="13" t="s">
        <v>40</v>
      </c>
      <c r="D321" s="13" t="s">
        <v>68</v>
      </c>
      <c r="E321" s="13" t="s">
        <v>42</v>
      </c>
      <c r="F321" s="13" t="s">
        <v>79</v>
      </c>
      <c r="G321" s="13" t="s">
        <v>32</v>
      </c>
      <c r="H321" s="13" t="s">
        <v>33</v>
      </c>
      <c r="I321" s="13" t="s">
        <v>84</v>
      </c>
      <c r="J321" s="13">
        <v>4</v>
      </c>
      <c r="K321" s="21">
        <v>741</v>
      </c>
      <c r="L321" s="21">
        <v>2964</v>
      </c>
      <c r="M321" s="23">
        <v>0.15</v>
      </c>
      <c r="N321" s="21">
        <v>445</v>
      </c>
      <c r="O321" s="21">
        <v>2519</v>
      </c>
      <c r="P321" s="13">
        <v>5</v>
      </c>
      <c r="Q321" s="13" t="s">
        <v>26</v>
      </c>
    </row>
    <row r="322" spans="1:17" x14ac:dyDescent="0.25">
      <c r="A322" s="13" t="s">
        <v>530</v>
      </c>
      <c r="B322" s="14">
        <v>45988</v>
      </c>
      <c r="C322" s="13" t="s">
        <v>19</v>
      </c>
      <c r="D322" s="13" t="s">
        <v>121</v>
      </c>
      <c r="E322" s="13" t="s">
        <v>60</v>
      </c>
      <c r="F322" s="13" t="s">
        <v>22</v>
      </c>
      <c r="G322" s="13" t="s">
        <v>32</v>
      </c>
      <c r="H322" s="13" t="s">
        <v>24</v>
      </c>
      <c r="I322" s="13" t="s">
        <v>84</v>
      </c>
      <c r="J322" s="13">
        <v>2</v>
      </c>
      <c r="K322" s="21">
        <v>799</v>
      </c>
      <c r="L322" s="21">
        <v>1598</v>
      </c>
      <c r="M322" s="23">
        <v>0.2</v>
      </c>
      <c r="N322" s="21">
        <v>320</v>
      </c>
      <c r="O322" s="21">
        <v>1278</v>
      </c>
      <c r="P322" s="13">
        <v>4.5999999999999996</v>
      </c>
      <c r="Q322" s="13" t="s">
        <v>26</v>
      </c>
    </row>
    <row r="323" spans="1:17" x14ac:dyDescent="0.25">
      <c r="A323" s="13" t="s">
        <v>531</v>
      </c>
      <c r="B323" s="14">
        <v>45989</v>
      </c>
      <c r="C323" s="13" t="s">
        <v>40</v>
      </c>
      <c r="D323" s="13" t="s">
        <v>57</v>
      </c>
      <c r="E323" s="13" t="s">
        <v>37</v>
      </c>
      <c r="F323" s="13" t="s">
        <v>83</v>
      </c>
      <c r="G323" s="13" t="s">
        <v>23</v>
      </c>
      <c r="H323" s="13" t="s">
        <v>24</v>
      </c>
      <c r="I323" s="13" t="s">
        <v>25</v>
      </c>
      <c r="J323" s="13">
        <v>3</v>
      </c>
      <c r="K323" s="21">
        <v>1419</v>
      </c>
      <c r="L323" s="21">
        <v>4257</v>
      </c>
      <c r="M323" s="23">
        <v>0.2</v>
      </c>
      <c r="N323" s="21">
        <v>851</v>
      </c>
      <c r="O323" s="21">
        <v>3406</v>
      </c>
      <c r="P323" s="13">
        <v>3.9</v>
      </c>
      <c r="Q323" s="13" t="s">
        <v>26</v>
      </c>
    </row>
    <row r="324" spans="1:17" x14ac:dyDescent="0.25">
      <c r="A324" s="13" t="s">
        <v>533</v>
      </c>
      <c r="B324" s="14">
        <v>45990</v>
      </c>
      <c r="C324" s="13" t="s">
        <v>28</v>
      </c>
      <c r="D324" s="13" t="s">
        <v>29</v>
      </c>
      <c r="E324" s="13" t="s">
        <v>48</v>
      </c>
      <c r="F324" s="13" t="s">
        <v>79</v>
      </c>
      <c r="G324" s="13" t="s">
        <v>23</v>
      </c>
      <c r="H324" s="13" t="s">
        <v>24</v>
      </c>
      <c r="I324" s="13" t="s">
        <v>25</v>
      </c>
      <c r="J324" s="13">
        <v>5</v>
      </c>
      <c r="K324" s="21">
        <v>317</v>
      </c>
      <c r="L324" s="21">
        <v>1585</v>
      </c>
      <c r="M324" s="23">
        <v>0.15</v>
      </c>
      <c r="N324" s="21">
        <v>238</v>
      </c>
      <c r="O324" s="21">
        <v>1347</v>
      </c>
      <c r="P324" s="13">
        <v>3.9</v>
      </c>
      <c r="Q324" s="13" t="s">
        <v>26</v>
      </c>
    </row>
    <row r="325" spans="1:17" x14ac:dyDescent="0.25">
      <c r="A325" s="13" t="s">
        <v>535</v>
      </c>
      <c r="B325" s="14">
        <v>45991</v>
      </c>
      <c r="C325" s="13" t="s">
        <v>19</v>
      </c>
      <c r="D325" s="13" t="s">
        <v>121</v>
      </c>
      <c r="E325" s="13" t="s">
        <v>37</v>
      </c>
      <c r="F325" s="13" t="s">
        <v>79</v>
      </c>
      <c r="G325" s="13" t="s">
        <v>32</v>
      </c>
      <c r="H325" s="13" t="s">
        <v>104</v>
      </c>
      <c r="I325" s="13" t="s">
        <v>34</v>
      </c>
      <c r="J325" s="13">
        <v>3</v>
      </c>
      <c r="K325" s="21">
        <v>535</v>
      </c>
      <c r="L325" s="21">
        <v>1605</v>
      </c>
      <c r="M325" s="23">
        <v>0.25</v>
      </c>
      <c r="N325" s="21">
        <v>401</v>
      </c>
      <c r="O325" s="21">
        <v>1204</v>
      </c>
      <c r="P325" s="13">
        <v>4.2</v>
      </c>
      <c r="Q325" s="13" t="s">
        <v>26</v>
      </c>
    </row>
    <row r="326" spans="1:17" x14ac:dyDescent="0.25">
      <c r="A326" s="13" t="s">
        <v>537</v>
      </c>
      <c r="B326" s="14">
        <v>45992</v>
      </c>
      <c r="C326" s="13" t="s">
        <v>19</v>
      </c>
      <c r="D326" s="13" t="s">
        <v>121</v>
      </c>
      <c r="E326" s="13" t="s">
        <v>78</v>
      </c>
      <c r="F326" s="13" t="s">
        <v>119</v>
      </c>
      <c r="G326" s="13" t="s">
        <v>23</v>
      </c>
      <c r="H326" s="13" t="s">
        <v>24</v>
      </c>
      <c r="I326" s="13" t="s">
        <v>25</v>
      </c>
      <c r="J326" s="13">
        <v>4</v>
      </c>
      <c r="K326" s="21">
        <v>866</v>
      </c>
      <c r="L326" s="21">
        <v>3464</v>
      </c>
      <c r="M326" s="23">
        <v>0</v>
      </c>
      <c r="N326" s="21">
        <v>0</v>
      </c>
      <c r="O326" s="21">
        <v>3464</v>
      </c>
      <c r="P326" s="13">
        <v>3.7</v>
      </c>
      <c r="Q326" s="13" t="s">
        <v>26</v>
      </c>
    </row>
    <row r="327" spans="1:17" x14ac:dyDescent="0.25">
      <c r="A327" s="13" t="s">
        <v>539</v>
      </c>
      <c r="B327" s="14">
        <v>45992</v>
      </c>
      <c r="C327" s="13" t="s">
        <v>91</v>
      </c>
      <c r="D327" s="13" t="s">
        <v>125</v>
      </c>
      <c r="E327" s="13" t="s">
        <v>78</v>
      </c>
      <c r="F327" s="13" t="s">
        <v>79</v>
      </c>
      <c r="G327" s="13" t="s">
        <v>23</v>
      </c>
      <c r="H327" s="13" t="s">
        <v>33</v>
      </c>
      <c r="I327" s="13" t="s">
        <v>84</v>
      </c>
      <c r="J327" s="13">
        <v>3</v>
      </c>
      <c r="K327" s="21">
        <v>1450</v>
      </c>
      <c r="L327" s="21">
        <v>4350</v>
      </c>
      <c r="M327" s="23">
        <v>0.1</v>
      </c>
      <c r="N327" s="21">
        <v>435</v>
      </c>
      <c r="O327" s="21">
        <v>3915</v>
      </c>
      <c r="P327" s="13">
        <v>4</v>
      </c>
      <c r="Q327" s="13" t="s">
        <v>26</v>
      </c>
    </row>
    <row r="328" spans="1:17" x14ac:dyDescent="0.25">
      <c r="A328" s="13" t="s">
        <v>540</v>
      </c>
      <c r="B328" s="14">
        <v>45992</v>
      </c>
      <c r="C328" s="13" t="s">
        <v>91</v>
      </c>
      <c r="D328" s="13" t="s">
        <v>125</v>
      </c>
      <c r="E328" s="13" t="s">
        <v>78</v>
      </c>
      <c r="F328" s="13" t="s">
        <v>130</v>
      </c>
      <c r="G328" s="13" t="s">
        <v>32</v>
      </c>
      <c r="H328" s="13" t="s">
        <v>24</v>
      </c>
      <c r="I328" s="13" t="s">
        <v>34</v>
      </c>
      <c r="J328" s="13">
        <v>1</v>
      </c>
      <c r="K328" s="21">
        <v>2192</v>
      </c>
      <c r="L328" s="21">
        <v>2192</v>
      </c>
      <c r="M328" s="23">
        <v>0.05</v>
      </c>
      <c r="N328" s="21">
        <v>110</v>
      </c>
      <c r="O328" s="21">
        <v>2082</v>
      </c>
      <c r="P328" s="13">
        <v>4.9000000000000004</v>
      </c>
      <c r="Q328" s="13" t="s">
        <v>26</v>
      </c>
    </row>
    <row r="329" spans="1:17" x14ac:dyDescent="0.25">
      <c r="A329" s="13" t="s">
        <v>541</v>
      </c>
      <c r="B329" s="14">
        <v>45993</v>
      </c>
      <c r="C329" s="13" t="s">
        <v>63</v>
      </c>
      <c r="D329" s="13" t="s">
        <v>143</v>
      </c>
      <c r="E329" s="13" t="s">
        <v>42</v>
      </c>
      <c r="F329" s="13" t="s">
        <v>72</v>
      </c>
      <c r="G329" s="13" t="s">
        <v>23</v>
      </c>
      <c r="H329" s="13" t="s">
        <v>24</v>
      </c>
      <c r="I329" s="13" t="s">
        <v>84</v>
      </c>
      <c r="J329" s="13">
        <v>5</v>
      </c>
      <c r="K329" s="21">
        <v>2482</v>
      </c>
      <c r="L329" s="21">
        <v>12410</v>
      </c>
      <c r="M329" s="23">
        <v>0.1</v>
      </c>
      <c r="N329" s="21">
        <v>1241</v>
      </c>
      <c r="O329" s="21">
        <v>11169</v>
      </c>
      <c r="P329" s="13">
        <v>3.6</v>
      </c>
      <c r="Q329" s="13" t="s">
        <v>26</v>
      </c>
    </row>
    <row r="330" spans="1:17" x14ac:dyDescent="0.25">
      <c r="A330" s="13" t="s">
        <v>543</v>
      </c>
      <c r="B330" s="14">
        <v>45993</v>
      </c>
      <c r="C330" s="13" t="s">
        <v>91</v>
      </c>
      <c r="D330" s="13" t="s">
        <v>125</v>
      </c>
      <c r="E330" s="13" t="s">
        <v>21</v>
      </c>
      <c r="F330" s="13" t="s">
        <v>61</v>
      </c>
      <c r="G330" s="13" t="s">
        <v>32</v>
      </c>
      <c r="H330" s="13" t="s">
        <v>33</v>
      </c>
      <c r="I330" s="13" t="s">
        <v>98</v>
      </c>
      <c r="J330" s="13">
        <v>2</v>
      </c>
      <c r="K330" s="21">
        <v>1449</v>
      </c>
      <c r="L330" s="21">
        <v>2898</v>
      </c>
      <c r="M330" s="23">
        <v>0.25</v>
      </c>
      <c r="N330" s="21">
        <v>724</v>
      </c>
      <c r="O330" s="21">
        <v>2174</v>
      </c>
      <c r="P330" s="13">
        <v>3.9</v>
      </c>
      <c r="Q330" s="13" t="s">
        <v>26</v>
      </c>
    </row>
    <row r="331" spans="1:17" x14ac:dyDescent="0.25">
      <c r="A331" s="13" t="s">
        <v>544</v>
      </c>
      <c r="B331" s="14">
        <v>45994</v>
      </c>
      <c r="C331" s="13" t="s">
        <v>51</v>
      </c>
      <c r="D331" s="13" t="s">
        <v>97</v>
      </c>
      <c r="E331" s="13" t="s">
        <v>82</v>
      </c>
      <c r="F331" s="13" t="s">
        <v>79</v>
      </c>
      <c r="G331" s="13" t="s">
        <v>23</v>
      </c>
      <c r="H331" s="13" t="s">
        <v>24</v>
      </c>
      <c r="I331" s="13" t="s">
        <v>98</v>
      </c>
      <c r="J331" s="13">
        <v>2</v>
      </c>
      <c r="K331" s="21">
        <v>658</v>
      </c>
      <c r="L331" s="21">
        <v>1316</v>
      </c>
      <c r="M331" s="23">
        <v>0.05</v>
      </c>
      <c r="N331" s="21">
        <v>66</v>
      </c>
      <c r="O331" s="21">
        <v>1250</v>
      </c>
      <c r="P331" s="13">
        <v>3.9</v>
      </c>
      <c r="Q331" s="13" t="s">
        <v>75</v>
      </c>
    </row>
    <row r="332" spans="1:17" x14ac:dyDescent="0.25">
      <c r="A332" s="13" t="s">
        <v>546</v>
      </c>
      <c r="B332" s="14">
        <v>45995</v>
      </c>
      <c r="C332" s="13" t="s">
        <v>40</v>
      </c>
      <c r="D332" s="13" t="s">
        <v>47</v>
      </c>
      <c r="E332" s="13" t="s">
        <v>71</v>
      </c>
      <c r="F332" s="13" t="s">
        <v>119</v>
      </c>
      <c r="G332" s="13" t="s">
        <v>23</v>
      </c>
      <c r="H332" s="13" t="s">
        <v>33</v>
      </c>
      <c r="I332" s="13" t="s">
        <v>25</v>
      </c>
      <c r="J332" s="13">
        <v>3</v>
      </c>
      <c r="K332" s="21">
        <v>1120</v>
      </c>
      <c r="L332" s="21">
        <v>3360</v>
      </c>
      <c r="M332" s="23">
        <v>0.1</v>
      </c>
      <c r="N332" s="21">
        <v>336</v>
      </c>
      <c r="O332" s="21">
        <v>3024</v>
      </c>
      <c r="P332" s="13">
        <v>4.3</v>
      </c>
      <c r="Q332" s="13" t="s">
        <v>26</v>
      </c>
    </row>
    <row r="333" spans="1:17" x14ac:dyDescent="0.25">
      <c r="A333" s="13" t="s">
        <v>548</v>
      </c>
      <c r="B333" s="14">
        <v>45995</v>
      </c>
      <c r="C333" s="13" t="s">
        <v>40</v>
      </c>
      <c r="D333" s="13" t="s">
        <v>57</v>
      </c>
      <c r="E333" s="13" t="s">
        <v>30</v>
      </c>
      <c r="F333" s="13" t="s">
        <v>31</v>
      </c>
      <c r="G333" s="13" t="s">
        <v>32</v>
      </c>
      <c r="H333" s="13" t="s">
        <v>104</v>
      </c>
      <c r="I333" s="13" t="s">
        <v>98</v>
      </c>
      <c r="J333" s="13">
        <v>1</v>
      </c>
      <c r="K333" s="21">
        <v>1471</v>
      </c>
      <c r="L333" s="21">
        <v>1471</v>
      </c>
      <c r="M333" s="23">
        <v>0.15</v>
      </c>
      <c r="N333" s="21">
        <v>221</v>
      </c>
      <c r="O333" s="21">
        <v>1250</v>
      </c>
      <c r="P333" s="13">
        <v>4.5999999999999996</v>
      </c>
      <c r="Q333" s="13" t="s">
        <v>26</v>
      </c>
    </row>
    <row r="334" spans="1:17" x14ac:dyDescent="0.25">
      <c r="A334" s="13" t="s">
        <v>549</v>
      </c>
      <c r="B334" s="14">
        <v>45996</v>
      </c>
      <c r="C334" s="13" t="s">
        <v>40</v>
      </c>
      <c r="D334" s="13" t="s">
        <v>57</v>
      </c>
      <c r="E334" s="13" t="s">
        <v>155</v>
      </c>
      <c r="F334" s="13" t="s">
        <v>72</v>
      </c>
      <c r="G334" s="13" t="s">
        <v>23</v>
      </c>
      <c r="H334" s="13" t="s">
        <v>104</v>
      </c>
      <c r="I334" s="13" t="s">
        <v>45</v>
      </c>
      <c r="J334" s="13">
        <v>4</v>
      </c>
      <c r="K334" s="21">
        <v>1452</v>
      </c>
      <c r="L334" s="21">
        <v>5808</v>
      </c>
      <c r="M334" s="23">
        <v>0.05</v>
      </c>
      <c r="N334" s="21">
        <v>290</v>
      </c>
      <c r="O334" s="21">
        <v>5518</v>
      </c>
      <c r="P334" s="13">
        <v>4.5</v>
      </c>
      <c r="Q334" s="13" t="s">
        <v>26</v>
      </c>
    </row>
    <row r="335" spans="1:17" x14ac:dyDescent="0.25">
      <c r="A335" s="13" t="s">
        <v>551</v>
      </c>
      <c r="B335" s="14">
        <v>45998</v>
      </c>
      <c r="C335" s="13" t="s">
        <v>63</v>
      </c>
      <c r="D335" s="13" t="s">
        <v>64</v>
      </c>
      <c r="E335" s="13" t="s">
        <v>53</v>
      </c>
      <c r="F335" s="13" t="s">
        <v>79</v>
      </c>
      <c r="G335" s="13" t="s">
        <v>23</v>
      </c>
      <c r="H335" s="13" t="s">
        <v>24</v>
      </c>
      <c r="I335" s="13" t="s">
        <v>25</v>
      </c>
      <c r="J335" s="13">
        <v>4</v>
      </c>
      <c r="K335" s="21">
        <v>1352</v>
      </c>
      <c r="L335" s="21">
        <v>5408</v>
      </c>
      <c r="M335" s="23">
        <v>0.15</v>
      </c>
      <c r="N335" s="21">
        <v>811</v>
      </c>
      <c r="O335" s="21">
        <v>4597</v>
      </c>
      <c r="P335" s="13">
        <v>4.2</v>
      </c>
      <c r="Q335" s="13" t="s">
        <v>26</v>
      </c>
    </row>
    <row r="336" spans="1:17" x14ac:dyDescent="0.25">
      <c r="A336" s="13" t="s">
        <v>553</v>
      </c>
      <c r="B336" s="14">
        <v>45999</v>
      </c>
      <c r="C336" s="13" t="s">
        <v>91</v>
      </c>
      <c r="D336" s="13" t="s">
        <v>125</v>
      </c>
      <c r="E336" s="13" t="s">
        <v>78</v>
      </c>
      <c r="F336" s="13" t="s">
        <v>83</v>
      </c>
      <c r="G336" s="13" t="s">
        <v>23</v>
      </c>
      <c r="H336" s="13" t="s">
        <v>104</v>
      </c>
      <c r="I336" s="13" t="s">
        <v>45</v>
      </c>
      <c r="J336" s="13">
        <v>2</v>
      </c>
      <c r="K336" s="21">
        <v>1596</v>
      </c>
      <c r="L336" s="21">
        <v>3192</v>
      </c>
      <c r="M336" s="23">
        <v>0.3</v>
      </c>
      <c r="N336" s="21">
        <v>958</v>
      </c>
      <c r="O336" s="21">
        <v>2234</v>
      </c>
      <c r="P336" s="13">
        <v>4.2</v>
      </c>
      <c r="Q336" s="13" t="s">
        <v>26</v>
      </c>
    </row>
    <row r="337" spans="1:17" x14ac:dyDescent="0.25">
      <c r="A337" s="13" t="s">
        <v>555</v>
      </c>
      <c r="B337" s="14">
        <v>45999</v>
      </c>
      <c r="C337" s="13" t="s">
        <v>40</v>
      </c>
      <c r="D337" s="13" t="s">
        <v>68</v>
      </c>
      <c r="E337" s="13" t="s">
        <v>30</v>
      </c>
      <c r="F337" s="13" t="s">
        <v>130</v>
      </c>
      <c r="G337" s="13" t="s">
        <v>32</v>
      </c>
      <c r="H337" s="13" t="s">
        <v>33</v>
      </c>
      <c r="I337" s="13" t="s">
        <v>98</v>
      </c>
      <c r="J337" s="13">
        <v>5</v>
      </c>
      <c r="K337" s="21">
        <v>568</v>
      </c>
      <c r="L337" s="21">
        <v>2840</v>
      </c>
      <c r="M337" s="23">
        <v>0.25</v>
      </c>
      <c r="N337" s="21">
        <v>710</v>
      </c>
      <c r="O337" s="21">
        <v>2130</v>
      </c>
      <c r="P337" s="13">
        <v>4.8</v>
      </c>
      <c r="Q337" s="13" t="s">
        <v>26</v>
      </c>
    </row>
    <row r="338" spans="1:17" x14ac:dyDescent="0.25">
      <c r="A338" s="13" t="s">
        <v>556</v>
      </c>
      <c r="B338" s="14">
        <v>45999</v>
      </c>
      <c r="C338" s="13" t="s">
        <v>28</v>
      </c>
      <c r="D338" s="13" t="s">
        <v>36</v>
      </c>
      <c r="E338" s="13" t="s">
        <v>53</v>
      </c>
      <c r="F338" s="13" t="s">
        <v>83</v>
      </c>
      <c r="G338" s="13" t="s">
        <v>32</v>
      </c>
      <c r="H338" s="13" t="s">
        <v>33</v>
      </c>
      <c r="I338" s="13" t="s">
        <v>98</v>
      </c>
      <c r="J338" s="13">
        <v>4</v>
      </c>
      <c r="K338" s="21">
        <v>748</v>
      </c>
      <c r="L338" s="21">
        <v>2992</v>
      </c>
      <c r="M338" s="23">
        <v>0.1</v>
      </c>
      <c r="N338" s="21">
        <v>299</v>
      </c>
      <c r="O338" s="21">
        <v>2693</v>
      </c>
      <c r="P338" s="13">
        <v>4.0999999999999996</v>
      </c>
      <c r="Q338" s="13" t="s">
        <v>26</v>
      </c>
    </row>
    <row r="339" spans="1:17" x14ac:dyDescent="0.25">
      <c r="A339" s="13" t="s">
        <v>557</v>
      </c>
      <c r="B339" s="14">
        <v>45999</v>
      </c>
      <c r="C339" s="13" t="s">
        <v>19</v>
      </c>
      <c r="D339" s="13" t="s">
        <v>20</v>
      </c>
      <c r="E339" s="13" t="s">
        <v>30</v>
      </c>
      <c r="F339" s="13" t="s">
        <v>43</v>
      </c>
      <c r="G339" s="13" t="s">
        <v>32</v>
      </c>
      <c r="H339" s="13" t="s">
        <v>24</v>
      </c>
      <c r="I339" s="13" t="s">
        <v>25</v>
      </c>
      <c r="J339" s="13">
        <v>1</v>
      </c>
      <c r="K339" s="21">
        <v>873</v>
      </c>
      <c r="L339" s="21">
        <v>873</v>
      </c>
      <c r="M339" s="23">
        <v>0.25</v>
      </c>
      <c r="N339" s="21">
        <v>218</v>
      </c>
      <c r="O339" s="21">
        <v>655</v>
      </c>
      <c r="P339" s="13">
        <v>4.4000000000000004</v>
      </c>
      <c r="Q339" s="13" t="s">
        <v>26</v>
      </c>
    </row>
    <row r="340" spans="1:17" x14ac:dyDescent="0.25">
      <c r="A340" s="13" t="s">
        <v>558</v>
      </c>
      <c r="B340" s="14">
        <v>46000</v>
      </c>
      <c r="C340" s="13" t="s">
        <v>63</v>
      </c>
      <c r="D340" s="13" t="s">
        <v>64</v>
      </c>
      <c r="E340" s="13" t="s">
        <v>42</v>
      </c>
      <c r="F340" s="13" t="s">
        <v>43</v>
      </c>
      <c r="G340" s="13" t="s">
        <v>44</v>
      </c>
      <c r="H340" s="13" t="s">
        <v>33</v>
      </c>
      <c r="I340" s="13" t="s">
        <v>25</v>
      </c>
      <c r="J340" s="13">
        <v>3</v>
      </c>
      <c r="K340" s="21">
        <v>920</v>
      </c>
      <c r="L340" s="21">
        <v>2760</v>
      </c>
      <c r="M340" s="23">
        <v>0</v>
      </c>
      <c r="N340" s="21">
        <v>0</v>
      </c>
      <c r="O340" s="21">
        <v>2760</v>
      </c>
      <c r="P340" s="13">
        <v>3.9</v>
      </c>
      <c r="Q340" s="13" t="s">
        <v>26</v>
      </c>
    </row>
    <row r="341" spans="1:17" x14ac:dyDescent="0.25">
      <c r="A341" s="13" t="s">
        <v>560</v>
      </c>
      <c r="B341" s="14">
        <v>46001</v>
      </c>
      <c r="C341" s="13" t="s">
        <v>28</v>
      </c>
      <c r="D341" s="13" t="s">
        <v>77</v>
      </c>
      <c r="E341" s="13" t="s">
        <v>30</v>
      </c>
      <c r="F341" s="13" t="s">
        <v>43</v>
      </c>
      <c r="G341" s="13" t="s">
        <v>32</v>
      </c>
      <c r="H341" s="13" t="s">
        <v>24</v>
      </c>
      <c r="I341" s="13" t="s">
        <v>25</v>
      </c>
      <c r="J341" s="13">
        <v>4</v>
      </c>
      <c r="K341" s="21">
        <v>717</v>
      </c>
      <c r="L341" s="21">
        <v>2868</v>
      </c>
      <c r="M341" s="23">
        <v>0.15</v>
      </c>
      <c r="N341" s="21">
        <v>430</v>
      </c>
      <c r="O341" s="21">
        <v>2438</v>
      </c>
      <c r="P341" s="13">
        <v>4.9000000000000004</v>
      </c>
      <c r="Q341" s="13" t="s">
        <v>26</v>
      </c>
    </row>
    <row r="342" spans="1:17" x14ac:dyDescent="0.25">
      <c r="A342" s="13" t="s">
        <v>562</v>
      </c>
      <c r="B342" s="14">
        <v>46002</v>
      </c>
      <c r="C342" s="13" t="s">
        <v>19</v>
      </c>
      <c r="D342" s="13" t="s">
        <v>230</v>
      </c>
      <c r="E342" s="13" t="s">
        <v>71</v>
      </c>
      <c r="F342" s="13" t="s">
        <v>43</v>
      </c>
      <c r="G342" s="13" t="s">
        <v>23</v>
      </c>
      <c r="H342" s="13" t="s">
        <v>24</v>
      </c>
      <c r="I342" s="13" t="s">
        <v>84</v>
      </c>
      <c r="J342" s="13">
        <v>5</v>
      </c>
      <c r="K342" s="21">
        <v>551</v>
      </c>
      <c r="L342" s="21">
        <v>2755</v>
      </c>
      <c r="M342" s="23">
        <v>0.3</v>
      </c>
      <c r="N342" s="21">
        <v>826</v>
      </c>
      <c r="O342" s="21">
        <v>1929</v>
      </c>
      <c r="P342" s="13">
        <v>3.6</v>
      </c>
      <c r="Q342" s="13" t="s">
        <v>26</v>
      </c>
    </row>
    <row r="343" spans="1:17" x14ac:dyDescent="0.25">
      <c r="A343" s="13" t="s">
        <v>564</v>
      </c>
      <c r="B343" s="14">
        <v>46003</v>
      </c>
      <c r="C343" s="13" t="s">
        <v>28</v>
      </c>
      <c r="D343" s="13" t="s">
        <v>29</v>
      </c>
      <c r="E343" s="13" t="s">
        <v>60</v>
      </c>
      <c r="F343" s="13" t="s">
        <v>72</v>
      </c>
      <c r="G343" s="13" t="s">
        <v>23</v>
      </c>
      <c r="H343" s="13" t="s">
        <v>33</v>
      </c>
      <c r="I343" s="13" t="s">
        <v>34</v>
      </c>
      <c r="J343" s="13">
        <v>4</v>
      </c>
      <c r="K343" s="21">
        <v>862</v>
      </c>
      <c r="L343" s="21">
        <v>3448</v>
      </c>
      <c r="M343" s="23">
        <v>0.15</v>
      </c>
      <c r="N343" s="21">
        <v>517</v>
      </c>
      <c r="O343" s="21">
        <v>2931</v>
      </c>
      <c r="P343" s="13">
        <v>3.5</v>
      </c>
      <c r="Q343" s="13" t="s">
        <v>26</v>
      </c>
    </row>
    <row r="344" spans="1:17" x14ac:dyDescent="0.25">
      <c r="A344" s="13" t="s">
        <v>566</v>
      </c>
      <c r="B344" s="14">
        <v>46004</v>
      </c>
      <c r="C344" s="13" t="s">
        <v>51</v>
      </c>
      <c r="D344" s="13" t="s">
        <v>52</v>
      </c>
      <c r="E344" s="13" t="s">
        <v>53</v>
      </c>
      <c r="F344" s="13" t="s">
        <v>61</v>
      </c>
      <c r="G344" s="13" t="s">
        <v>23</v>
      </c>
      <c r="H344" s="13" t="s">
        <v>104</v>
      </c>
      <c r="I344" s="13" t="s">
        <v>34</v>
      </c>
      <c r="J344" s="13">
        <v>2</v>
      </c>
      <c r="K344" s="21">
        <v>187</v>
      </c>
      <c r="L344" s="21">
        <v>374</v>
      </c>
      <c r="M344" s="23">
        <v>0.2</v>
      </c>
      <c r="N344" s="21">
        <v>75</v>
      </c>
      <c r="O344" s="21">
        <v>299</v>
      </c>
      <c r="P344" s="13">
        <v>4.9000000000000004</v>
      </c>
      <c r="Q344" s="13" t="s">
        <v>26</v>
      </c>
    </row>
    <row r="345" spans="1:17" x14ac:dyDescent="0.25">
      <c r="A345" s="13" t="s">
        <v>568</v>
      </c>
      <c r="B345" s="14">
        <v>46004</v>
      </c>
      <c r="C345" s="13" t="s">
        <v>28</v>
      </c>
      <c r="D345" s="13" t="s">
        <v>95</v>
      </c>
      <c r="E345" s="13" t="s">
        <v>82</v>
      </c>
      <c r="F345" s="13" t="s">
        <v>79</v>
      </c>
      <c r="G345" s="13" t="s">
        <v>23</v>
      </c>
      <c r="H345" s="13" t="s">
        <v>104</v>
      </c>
      <c r="I345" s="13" t="s">
        <v>98</v>
      </c>
      <c r="J345" s="13">
        <v>3</v>
      </c>
      <c r="K345" s="21">
        <v>739</v>
      </c>
      <c r="L345" s="21">
        <v>2217</v>
      </c>
      <c r="M345" s="23">
        <v>0.2</v>
      </c>
      <c r="N345" s="21">
        <v>443</v>
      </c>
      <c r="O345" s="21">
        <v>1774</v>
      </c>
      <c r="P345" s="13">
        <v>4.2</v>
      </c>
      <c r="Q345" s="13" t="s">
        <v>26</v>
      </c>
    </row>
    <row r="346" spans="1:17" x14ac:dyDescent="0.25">
      <c r="A346" s="13" t="s">
        <v>569</v>
      </c>
      <c r="B346" s="14">
        <v>46004</v>
      </c>
      <c r="C346" s="13" t="s">
        <v>19</v>
      </c>
      <c r="D346" s="13" t="s">
        <v>128</v>
      </c>
      <c r="E346" s="13" t="s">
        <v>82</v>
      </c>
      <c r="F346" s="13" t="s">
        <v>83</v>
      </c>
      <c r="G346" s="13" t="s">
        <v>23</v>
      </c>
      <c r="H346" s="13" t="s">
        <v>104</v>
      </c>
      <c r="I346" s="13" t="s">
        <v>34</v>
      </c>
      <c r="J346" s="13">
        <v>1</v>
      </c>
      <c r="K346" s="21">
        <v>362</v>
      </c>
      <c r="L346" s="21">
        <v>362</v>
      </c>
      <c r="M346" s="23">
        <v>0.25</v>
      </c>
      <c r="N346" s="21">
        <v>90</v>
      </c>
      <c r="O346" s="21">
        <v>272</v>
      </c>
      <c r="P346" s="13">
        <v>4.9000000000000004</v>
      </c>
      <c r="Q346" s="13" t="s">
        <v>26</v>
      </c>
    </row>
    <row r="347" spans="1:17" x14ac:dyDescent="0.25">
      <c r="A347" s="13" t="s">
        <v>570</v>
      </c>
      <c r="B347" s="14">
        <v>46005</v>
      </c>
      <c r="C347" s="13" t="s">
        <v>28</v>
      </c>
      <c r="D347" s="13" t="s">
        <v>95</v>
      </c>
      <c r="E347" s="13" t="s">
        <v>53</v>
      </c>
      <c r="F347" s="13" t="s">
        <v>31</v>
      </c>
      <c r="G347" s="13" t="s">
        <v>23</v>
      </c>
      <c r="H347" s="13" t="s">
        <v>24</v>
      </c>
      <c r="I347" s="13" t="s">
        <v>45</v>
      </c>
      <c r="J347" s="13">
        <v>1</v>
      </c>
      <c r="K347" s="21">
        <v>551</v>
      </c>
      <c r="L347" s="21">
        <v>551</v>
      </c>
      <c r="M347" s="23">
        <v>0.15</v>
      </c>
      <c r="N347" s="21">
        <v>83</v>
      </c>
      <c r="O347" s="21">
        <v>468</v>
      </c>
      <c r="P347" s="13">
        <v>4.8</v>
      </c>
      <c r="Q347" s="13" t="s">
        <v>26</v>
      </c>
    </row>
    <row r="348" spans="1:17" x14ac:dyDescent="0.25">
      <c r="A348" s="13" t="s">
        <v>572</v>
      </c>
      <c r="B348" s="14">
        <v>46005</v>
      </c>
      <c r="C348" s="13" t="s">
        <v>63</v>
      </c>
      <c r="D348" s="13" t="s">
        <v>64</v>
      </c>
      <c r="E348" s="13" t="s">
        <v>60</v>
      </c>
      <c r="F348" s="13" t="s">
        <v>79</v>
      </c>
      <c r="G348" s="13" t="s">
        <v>23</v>
      </c>
      <c r="H348" s="13" t="s">
        <v>33</v>
      </c>
      <c r="I348" s="13" t="s">
        <v>84</v>
      </c>
      <c r="J348" s="13">
        <v>2</v>
      </c>
      <c r="K348" s="21">
        <v>2451</v>
      </c>
      <c r="L348" s="21">
        <v>4902</v>
      </c>
      <c r="M348" s="23">
        <v>0.1</v>
      </c>
      <c r="N348" s="21">
        <v>490</v>
      </c>
      <c r="O348" s="21">
        <v>4412</v>
      </c>
      <c r="P348" s="13">
        <v>4.2</v>
      </c>
      <c r="Q348" s="13" t="s">
        <v>26</v>
      </c>
    </row>
    <row r="349" spans="1:17" x14ac:dyDescent="0.25">
      <c r="A349" s="13" t="s">
        <v>573</v>
      </c>
      <c r="B349" s="14">
        <v>46005</v>
      </c>
      <c r="C349" s="13" t="s">
        <v>40</v>
      </c>
      <c r="D349" s="13" t="s">
        <v>41</v>
      </c>
      <c r="E349" s="13" t="s">
        <v>53</v>
      </c>
      <c r="F349" s="13" t="s">
        <v>43</v>
      </c>
      <c r="G349" s="13" t="s">
        <v>23</v>
      </c>
      <c r="H349" s="13" t="s">
        <v>33</v>
      </c>
      <c r="I349" s="13" t="s">
        <v>25</v>
      </c>
      <c r="J349" s="13">
        <v>5</v>
      </c>
      <c r="K349" s="21">
        <v>1385</v>
      </c>
      <c r="L349" s="21">
        <v>6925</v>
      </c>
      <c r="M349" s="23">
        <v>0.05</v>
      </c>
      <c r="N349" s="21">
        <v>346</v>
      </c>
      <c r="O349" s="21">
        <v>6579</v>
      </c>
      <c r="P349" s="13">
        <v>4.2</v>
      </c>
      <c r="Q349" s="13" t="s">
        <v>26</v>
      </c>
    </row>
    <row r="350" spans="1:17" x14ac:dyDescent="0.25">
      <c r="A350" s="13" t="s">
        <v>574</v>
      </c>
      <c r="B350" s="14">
        <v>46007</v>
      </c>
      <c r="C350" s="13" t="s">
        <v>63</v>
      </c>
      <c r="D350" s="13" t="s">
        <v>143</v>
      </c>
      <c r="E350" s="13" t="s">
        <v>78</v>
      </c>
      <c r="F350" s="13" t="s">
        <v>72</v>
      </c>
      <c r="G350" s="13" t="s">
        <v>32</v>
      </c>
      <c r="H350" s="13" t="s">
        <v>24</v>
      </c>
      <c r="I350" s="13" t="s">
        <v>34</v>
      </c>
      <c r="J350" s="13">
        <v>5</v>
      </c>
      <c r="K350" s="21">
        <v>2233</v>
      </c>
      <c r="L350" s="21">
        <v>11165</v>
      </c>
      <c r="M350" s="23">
        <v>0.1</v>
      </c>
      <c r="N350" s="21">
        <v>1116</v>
      </c>
      <c r="O350" s="21">
        <v>10049</v>
      </c>
      <c r="P350" s="13">
        <v>3.3</v>
      </c>
      <c r="Q350" s="13" t="s">
        <v>26</v>
      </c>
    </row>
    <row r="351" spans="1:17" x14ac:dyDescent="0.25">
      <c r="A351" s="13" t="s">
        <v>576</v>
      </c>
      <c r="B351" s="14">
        <v>46007</v>
      </c>
      <c r="C351" s="13" t="s">
        <v>19</v>
      </c>
      <c r="D351" s="13" t="s">
        <v>20</v>
      </c>
      <c r="E351" s="13" t="s">
        <v>48</v>
      </c>
      <c r="F351" s="13" t="s">
        <v>31</v>
      </c>
      <c r="G351" s="13" t="s">
        <v>23</v>
      </c>
      <c r="H351" s="13" t="s">
        <v>104</v>
      </c>
      <c r="I351" s="13" t="s">
        <v>25</v>
      </c>
      <c r="J351" s="13">
        <v>4</v>
      </c>
      <c r="K351" s="21">
        <v>335</v>
      </c>
      <c r="L351" s="21">
        <v>1340</v>
      </c>
      <c r="M351" s="23">
        <v>0</v>
      </c>
      <c r="N351" s="21">
        <v>0</v>
      </c>
      <c r="O351" s="21">
        <v>1340</v>
      </c>
      <c r="P351" s="13">
        <v>4.3</v>
      </c>
      <c r="Q351" s="13" t="s">
        <v>26</v>
      </c>
    </row>
    <row r="352" spans="1:17" x14ac:dyDescent="0.25">
      <c r="A352" s="13" t="s">
        <v>577</v>
      </c>
      <c r="B352" s="14">
        <v>46007</v>
      </c>
      <c r="C352" s="13" t="s">
        <v>19</v>
      </c>
      <c r="D352" s="13" t="s">
        <v>128</v>
      </c>
      <c r="E352" s="13" t="s">
        <v>30</v>
      </c>
      <c r="F352" s="13" t="s">
        <v>65</v>
      </c>
      <c r="G352" s="13" t="s">
        <v>23</v>
      </c>
      <c r="H352" s="13" t="s">
        <v>33</v>
      </c>
      <c r="I352" s="13" t="s">
        <v>34</v>
      </c>
      <c r="J352" s="13">
        <v>2</v>
      </c>
      <c r="K352" s="21">
        <v>749</v>
      </c>
      <c r="L352" s="21">
        <v>1498</v>
      </c>
      <c r="M352" s="23">
        <v>0.05</v>
      </c>
      <c r="N352" s="21">
        <v>75</v>
      </c>
      <c r="O352" s="21">
        <v>1423</v>
      </c>
      <c r="P352" s="13">
        <v>5</v>
      </c>
      <c r="Q352" s="13" t="s">
        <v>26</v>
      </c>
    </row>
    <row r="353" spans="1:17" x14ac:dyDescent="0.25">
      <c r="A353" s="13" t="s">
        <v>578</v>
      </c>
      <c r="B353" s="14">
        <v>46007</v>
      </c>
      <c r="C353" s="13" t="s">
        <v>51</v>
      </c>
      <c r="D353" s="13" t="s">
        <v>52</v>
      </c>
      <c r="E353" s="13" t="s">
        <v>71</v>
      </c>
      <c r="F353" s="13" t="s">
        <v>79</v>
      </c>
      <c r="G353" s="13" t="s">
        <v>32</v>
      </c>
      <c r="H353" s="13" t="s">
        <v>33</v>
      </c>
      <c r="I353" s="13" t="s">
        <v>98</v>
      </c>
      <c r="J353" s="13">
        <v>1</v>
      </c>
      <c r="K353" s="21">
        <v>628</v>
      </c>
      <c r="L353" s="21">
        <v>628</v>
      </c>
      <c r="M353" s="23">
        <v>0.1</v>
      </c>
      <c r="N353" s="21">
        <v>63</v>
      </c>
      <c r="O353" s="21">
        <v>565</v>
      </c>
      <c r="P353" s="13">
        <v>4.4000000000000004</v>
      </c>
      <c r="Q353" s="13" t="s">
        <v>26</v>
      </c>
    </row>
    <row r="354" spans="1:17" x14ac:dyDescent="0.25">
      <c r="A354" s="13" t="s">
        <v>579</v>
      </c>
      <c r="B354" s="14">
        <v>46007</v>
      </c>
      <c r="C354" s="13" t="s">
        <v>91</v>
      </c>
      <c r="D354" s="13" t="s">
        <v>92</v>
      </c>
      <c r="E354" s="13" t="s">
        <v>78</v>
      </c>
      <c r="F354" s="13" t="s">
        <v>130</v>
      </c>
      <c r="G354" s="13" t="s">
        <v>23</v>
      </c>
      <c r="H354" s="13" t="s">
        <v>104</v>
      </c>
      <c r="I354" s="13" t="s">
        <v>25</v>
      </c>
      <c r="J354" s="13">
        <v>4</v>
      </c>
      <c r="K354" s="21">
        <v>1433</v>
      </c>
      <c r="L354" s="21">
        <v>5732</v>
      </c>
      <c r="M354" s="23">
        <v>0</v>
      </c>
      <c r="N354" s="21">
        <v>0</v>
      </c>
      <c r="O354" s="21">
        <v>5732</v>
      </c>
      <c r="P354" s="13">
        <v>4.7</v>
      </c>
      <c r="Q354" s="13" t="s">
        <v>26</v>
      </c>
    </row>
    <row r="355" spans="1:17" x14ac:dyDescent="0.25">
      <c r="A355" s="13" t="s">
        <v>580</v>
      </c>
      <c r="B355" s="14">
        <v>46008</v>
      </c>
      <c r="C355" s="13" t="s">
        <v>40</v>
      </c>
      <c r="D355" s="13" t="s">
        <v>47</v>
      </c>
      <c r="E355" s="13" t="s">
        <v>48</v>
      </c>
      <c r="F355" s="13" t="s">
        <v>72</v>
      </c>
      <c r="G355" s="13" t="s">
        <v>23</v>
      </c>
      <c r="H355" s="13" t="s">
        <v>33</v>
      </c>
      <c r="I355" s="13" t="s">
        <v>84</v>
      </c>
      <c r="J355" s="13">
        <v>5</v>
      </c>
      <c r="K355" s="21">
        <v>492</v>
      </c>
      <c r="L355" s="21">
        <v>2460</v>
      </c>
      <c r="M355" s="23">
        <v>0.3</v>
      </c>
      <c r="N355" s="21">
        <v>738</v>
      </c>
      <c r="O355" s="21">
        <v>1722</v>
      </c>
      <c r="P355" s="13">
        <v>3.9</v>
      </c>
      <c r="Q355" s="13" t="s">
        <v>26</v>
      </c>
    </row>
    <row r="356" spans="1:17" x14ac:dyDescent="0.25">
      <c r="A356" s="13" t="s">
        <v>582</v>
      </c>
      <c r="B356" s="14">
        <v>46009</v>
      </c>
      <c r="C356" s="13" t="s">
        <v>19</v>
      </c>
      <c r="D356" s="13" t="s">
        <v>121</v>
      </c>
      <c r="E356" s="13" t="s">
        <v>37</v>
      </c>
      <c r="F356" s="13" t="s">
        <v>31</v>
      </c>
      <c r="G356" s="13" t="s">
        <v>32</v>
      </c>
      <c r="H356" s="13" t="s">
        <v>24</v>
      </c>
      <c r="I356" s="13" t="s">
        <v>45</v>
      </c>
      <c r="J356" s="13">
        <v>5</v>
      </c>
      <c r="K356" s="21">
        <v>749</v>
      </c>
      <c r="L356" s="21">
        <v>3745</v>
      </c>
      <c r="M356" s="23">
        <v>0.2</v>
      </c>
      <c r="N356" s="21">
        <v>749</v>
      </c>
      <c r="O356" s="21">
        <v>2996</v>
      </c>
      <c r="P356" s="13">
        <v>3.2</v>
      </c>
      <c r="Q356" s="13" t="s">
        <v>26</v>
      </c>
    </row>
    <row r="357" spans="1:17" x14ac:dyDescent="0.25">
      <c r="A357" s="13" t="s">
        <v>584</v>
      </c>
      <c r="B357" s="14">
        <v>46009</v>
      </c>
      <c r="C357" s="13" t="s">
        <v>51</v>
      </c>
      <c r="D357" s="13" t="s">
        <v>70</v>
      </c>
      <c r="E357" s="13" t="s">
        <v>78</v>
      </c>
      <c r="F357" s="13" t="s">
        <v>31</v>
      </c>
      <c r="G357" s="13" t="s">
        <v>32</v>
      </c>
      <c r="H357" s="13" t="s">
        <v>24</v>
      </c>
      <c r="I357" s="13" t="s">
        <v>84</v>
      </c>
      <c r="J357" s="13">
        <v>1</v>
      </c>
      <c r="K357" s="21">
        <v>157</v>
      </c>
      <c r="L357" s="21">
        <v>157</v>
      </c>
      <c r="M357" s="23">
        <v>0.2</v>
      </c>
      <c r="N357" s="21">
        <v>31</v>
      </c>
      <c r="O357" s="21">
        <v>126</v>
      </c>
      <c r="P357" s="13">
        <v>4.5</v>
      </c>
      <c r="Q357" s="13" t="s">
        <v>26</v>
      </c>
    </row>
    <row r="358" spans="1:17" x14ac:dyDescent="0.25">
      <c r="A358" s="13" t="s">
        <v>585</v>
      </c>
      <c r="B358" s="14">
        <v>46010</v>
      </c>
      <c r="C358" s="13" t="s">
        <v>40</v>
      </c>
      <c r="D358" s="13" t="s">
        <v>41</v>
      </c>
      <c r="E358" s="13" t="s">
        <v>82</v>
      </c>
      <c r="F358" s="13" t="s">
        <v>72</v>
      </c>
      <c r="G358" s="13" t="s">
        <v>23</v>
      </c>
      <c r="H358" s="13" t="s">
        <v>24</v>
      </c>
      <c r="I358" s="13" t="s">
        <v>45</v>
      </c>
      <c r="J358" s="13">
        <v>2</v>
      </c>
      <c r="K358" s="21">
        <v>1135</v>
      </c>
      <c r="L358" s="21">
        <v>2270</v>
      </c>
      <c r="M358" s="23">
        <v>0.2</v>
      </c>
      <c r="N358" s="21">
        <v>454</v>
      </c>
      <c r="O358" s="21">
        <v>1816</v>
      </c>
      <c r="P358" s="13">
        <v>3.5</v>
      </c>
      <c r="Q358" s="13" t="s">
        <v>26</v>
      </c>
    </row>
    <row r="359" spans="1:17" x14ac:dyDescent="0.25">
      <c r="A359" s="13" t="s">
        <v>587</v>
      </c>
      <c r="B359" s="14">
        <v>46010</v>
      </c>
      <c r="C359" s="13" t="s">
        <v>51</v>
      </c>
      <c r="D359" s="13" t="s">
        <v>52</v>
      </c>
      <c r="E359" s="13" t="s">
        <v>30</v>
      </c>
      <c r="F359" s="13" t="s">
        <v>72</v>
      </c>
      <c r="G359" s="13" t="s">
        <v>23</v>
      </c>
      <c r="H359" s="13" t="s">
        <v>24</v>
      </c>
      <c r="I359" s="13" t="s">
        <v>34</v>
      </c>
      <c r="J359" s="13">
        <v>4</v>
      </c>
      <c r="K359" s="21">
        <v>661</v>
      </c>
      <c r="L359" s="21">
        <v>2644</v>
      </c>
      <c r="M359" s="23">
        <v>0.1</v>
      </c>
      <c r="N359" s="21">
        <v>264</v>
      </c>
      <c r="O359" s="21">
        <v>2380</v>
      </c>
      <c r="P359" s="13">
        <v>3.9</v>
      </c>
      <c r="Q359" s="13" t="s">
        <v>26</v>
      </c>
    </row>
    <row r="360" spans="1:17" x14ac:dyDescent="0.25">
      <c r="A360" s="13" t="s">
        <v>588</v>
      </c>
      <c r="B360" s="14">
        <v>46010</v>
      </c>
      <c r="C360" s="13" t="s">
        <v>40</v>
      </c>
      <c r="D360" s="13" t="s">
        <v>57</v>
      </c>
      <c r="E360" s="13" t="s">
        <v>155</v>
      </c>
      <c r="F360" s="13" t="s">
        <v>65</v>
      </c>
      <c r="G360" s="13" t="s">
        <v>23</v>
      </c>
      <c r="H360" s="13" t="s">
        <v>33</v>
      </c>
      <c r="I360" s="13" t="s">
        <v>34</v>
      </c>
      <c r="J360" s="13">
        <v>3</v>
      </c>
      <c r="K360" s="21">
        <v>323</v>
      </c>
      <c r="L360" s="21">
        <v>969</v>
      </c>
      <c r="M360" s="23">
        <v>0</v>
      </c>
      <c r="N360" s="21">
        <v>0</v>
      </c>
      <c r="O360" s="21">
        <v>969</v>
      </c>
      <c r="P360" s="13">
        <v>3.8</v>
      </c>
      <c r="Q360" s="13" t="s">
        <v>26</v>
      </c>
    </row>
    <row r="361" spans="1:17" x14ac:dyDescent="0.25">
      <c r="A361" s="13" t="s">
        <v>589</v>
      </c>
      <c r="B361" s="14">
        <v>46010</v>
      </c>
      <c r="C361" s="13" t="s">
        <v>63</v>
      </c>
      <c r="D361" s="13" t="s">
        <v>143</v>
      </c>
      <c r="E361" s="13" t="s">
        <v>78</v>
      </c>
      <c r="F361" s="13" t="s">
        <v>130</v>
      </c>
      <c r="G361" s="13" t="s">
        <v>32</v>
      </c>
      <c r="H361" s="13" t="s">
        <v>33</v>
      </c>
      <c r="I361" s="13" t="s">
        <v>45</v>
      </c>
      <c r="J361" s="13">
        <v>5</v>
      </c>
      <c r="K361" s="21">
        <v>1744</v>
      </c>
      <c r="L361" s="21">
        <v>8720</v>
      </c>
      <c r="M361" s="23">
        <v>0.05</v>
      </c>
      <c r="N361" s="21">
        <v>436</v>
      </c>
      <c r="O361" s="21">
        <v>8284</v>
      </c>
      <c r="P361" s="13">
        <v>4.0999999999999996</v>
      </c>
      <c r="Q361" s="13" t="s">
        <v>26</v>
      </c>
    </row>
    <row r="362" spans="1:17" x14ac:dyDescent="0.25">
      <c r="A362" s="13" t="s">
        <v>590</v>
      </c>
      <c r="B362" s="14">
        <v>46010</v>
      </c>
      <c r="C362" s="13" t="s">
        <v>19</v>
      </c>
      <c r="D362" s="13" t="s">
        <v>230</v>
      </c>
      <c r="E362" s="13" t="s">
        <v>71</v>
      </c>
      <c r="F362" s="13" t="s">
        <v>72</v>
      </c>
      <c r="G362" s="13" t="s">
        <v>44</v>
      </c>
      <c r="H362" s="13" t="s">
        <v>33</v>
      </c>
      <c r="I362" s="13" t="s">
        <v>45</v>
      </c>
      <c r="J362" s="13">
        <v>1</v>
      </c>
      <c r="K362" s="21">
        <v>155</v>
      </c>
      <c r="L362" s="21">
        <v>155</v>
      </c>
      <c r="M362" s="23">
        <v>0.25</v>
      </c>
      <c r="N362" s="21">
        <v>39</v>
      </c>
      <c r="O362" s="21">
        <v>116</v>
      </c>
      <c r="P362" s="13">
        <v>4.8</v>
      </c>
      <c r="Q362" s="13" t="s">
        <v>26</v>
      </c>
    </row>
    <row r="363" spans="1:17" x14ac:dyDescent="0.25">
      <c r="A363" s="13" t="s">
        <v>591</v>
      </c>
      <c r="B363" s="14">
        <v>46011</v>
      </c>
      <c r="C363" s="13" t="s">
        <v>51</v>
      </c>
      <c r="D363" s="13" t="s">
        <v>97</v>
      </c>
      <c r="E363" s="13" t="s">
        <v>30</v>
      </c>
      <c r="F363" s="13" t="s">
        <v>65</v>
      </c>
      <c r="G363" s="13" t="s">
        <v>32</v>
      </c>
      <c r="H363" s="13" t="s">
        <v>33</v>
      </c>
      <c r="I363" s="13" t="s">
        <v>45</v>
      </c>
      <c r="J363" s="13">
        <v>4</v>
      </c>
      <c r="K363" s="21">
        <v>258</v>
      </c>
      <c r="L363" s="21">
        <v>1032</v>
      </c>
      <c r="M363" s="23">
        <v>0.3</v>
      </c>
      <c r="N363" s="21">
        <v>310</v>
      </c>
      <c r="O363" s="21">
        <v>722</v>
      </c>
      <c r="P363" s="13">
        <v>3.8</v>
      </c>
      <c r="Q363" s="13" t="s">
        <v>26</v>
      </c>
    </row>
    <row r="364" spans="1:17" x14ac:dyDescent="0.25">
      <c r="A364" s="13" t="s">
        <v>593</v>
      </c>
      <c r="B364" s="14">
        <v>46011</v>
      </c>
      <c r="C364" s="13" t="s">
        <v>51</v>
      </c>
      <c r="D364" s="13" t="s">
        <v>52</v>
      </c>
      <c r="E364" s="13" t="s">
        <v>78</v>
      </c>
      <c r="F364" s="13" t="s">
        <v>43</v>
      </c>
      <c r="G364" s="13" t="s">
        <v>23</v>
      </c>
      <c r="H364" s="13" t="s">
        <v>24</v>
      </c>
      <c r="I364" s="13" t="s">
        <v>98</v>
      </c>
      <c r="J364" s="13">
        <v>2</v>
      </c>
      <c r="K364" s="21">
        <v>465</v>
      </c>
      <c r="L364" s="21">
        <v>930</v>
      </c>
      <c r="M364" s="23">
        <v>0.1</v>
      </c>
      <c r="N364" s="21">
        <v>93</v>
      </c>
      <c r="O364" s="21">
        <v>837</v>
      </c>
      <c r="P364" s="13">
        <v>4.5999999999999996</v>
      </c>
      <c r="Q364" s="13" t="s">
        <v>26</v>
      </c>
    </row>
    <row r="365" spans="1:17" x14ac:dyDescent="0.25">
      <c r="A365" s="13" t="s">
        <v>594</v>
      </c>
      <c r="B365" s="14">
        <v>46012</v>
      </c>
      <c r="C365" s="13" t="s">
        <v>63</v>
      </c>
      <c r="D365" s="13" t="s">
        <v>143</v>
      </c>
      <c r="E365" s="13" t="s">
        <v>48</v>
      </c>
      <c r="F365" s="13" t="s">
        <v>31</v>
      </c>
      <c r="G365" s="13" t="s">
        <v>23</v>
      </c>
      <c r="H365" s="13" t="s">
        <v>33</v>
      </c>
      <c r="I365" s="13" t="s">
        <v>98</v>
      </c>
      <c r="J365" s="13">
        <v>3</v>
      </c>
      <c r="K365" s="21">
        <v>2081</v>
      </c>
      <c r="L365" s="21">
        <v>6243</v>
      </c>
      <c r="M365" s="23">
        <v>0.25</v>
      </c>
      <c r="N365" s="21">
        <v>1561</v>
      </c>
      <c r="O365" s="21">
        <v>4682</v>
      </c>
      <c r="P365" s="13">
        <v>4</v>
      </c>
      <c r="Q365" s="13" t="s">
        <v>26</v>
      </c>
    </row>
    <row r="366" spans="1:17" x14ac:dyDescent="0.25">
      <c r="A366" s="13" t="s">
        <v>596</v>
      </c>
      <c r="B366" s="14">
        <v>46012</v>
      </c>
      <c r="C366" s="13" t="s">
        <v>91</v>
      </c>
      <c r="D366" s="13" t="s">
        <v>125</v>
      </c>
      <c r="E366" s="13" t="s">
        <v>155</v>
      </c>
      <c r="F366" s="13" t="s">
        <v>72</v>
      </c>
      <c r="G366" s="13" t="s">
        <v>23</v>
      </c>
      <c r="H366" s="13" t="s">
        <v>24</v>
      </c>
      <c r="I366" s="13" t="s">
        <v>84</v>
      </c>
      <c r="J366" s="13">
        <v>4</v>
      </c>
      <c r="K366" s="21">
        <v>2917</v>
      </c>
      <c r="L366" s="21">
        <v>11668</v>
      </c>
      <c r="M366" s="23">
        <v>0.3</v>
      </c>
      <c r="N366" s="21">
        <v>3500</v>
      </c>
      <c r="O366" s="21">
        <v>8168</v>
      </c>
      <c r="P366" s="13">
        <v>4.2</v>
      </c>
      <c r="Q366" s="13" t="s">
        <v>26</v>
      </c>
    </row>
    <row r="367" spans="1:17" x14ac:dyDescent="0.25">
      <c r="A367" s="13" t="s">
        <v>597</v>
      </c>
      <c r="B367" s="14">
        <v>46013</v>
      </c>
      <c r="C367" s="13" t="s">
        <v>40</v>
      </c>
      <c r="D367" s="13" t="s">
        <v>47</v>
      </c>
      <c r="E367" s="13" t="s">
        <v>21</v>
      </c>
      <c r="F367" s="13" t="s">
        <v>65</v>
      </c>
      <c r="G367" s="13" t="s">
        <v>23</v>
      </c>
      <c r="H367" s="13" t="s">
        <v>24</v>
      </c>
      <c r="I367" s="13" t="s">
        <v>34</v>
      </c>
      <c r="J367" s="13">
        <v>4</v>
      </c>
      <c r="K367" s="21">
        <v>732</v>
      </c>
      <c r="L367" s="21">
        <v>2928</v>
      </c>
      <c r="M367" s="23">
        <v>0.25</v>
      </c>
      <c r="N367" s="21">
        <v>732</v>
      </c>
      <c r="O367" s="21">
        <v>2196</v>
      </c>
      <c r="P367" s="13">
        <v>3.6</v>
      </c>
      <c r="Q367" s="13" t="s">
        <v>26</v>
      </c>
    </row>
    <row r="368" spans="1:17" x14ac:dyDescent="0.25">
      <c r="A368" s="13" t="s">
        <v>599</v>
      </c>
      <c r="B368" s="14">
        <v>46013</v>
      </c>
      <c r="C368" s="13" t="s">
        <v>91</v>
      </c>
      <c r="D368" s="13" t="s">
        <v>125</v>
      </c>
      <c r="E368" s="13" t="s">
        <v>42</v>
      </c>
      <c r="F368" s="13" t="s">
        <v>79</v>
      </c>
      <c r="G368" s="13" t="s">
        <v>23</v>
      </c>
      <c r="H368" s="13" t="s">
        <v>104</v>
      </c>
      <c r="I368" s="13" t="s">
        <v>34</v>
      </c>
      <c r="J368" s="13">
        <v>3</v>
      </c>
      <c r="K368" s="21">
        <v>2937</v>
      </c>
      <c r="L368" s="21">
        <v>8811</v>
      </c>
      <c r="M368" s="23">
        <v>0.05</v>
      </c>
      <c r="N368" s="21">
        <v>441</v>
      </c>
      <c r="O368" s="21">
        <v>8370</v>
      </c>
      <c r="P368" s="13">
        <v>4.5999999999999996</v>
      </c>
      <c r="Q368" s="13" t="s">
        <v>26</v>
      </c>
    </row>
    <row r="369" spans="1:17" x14ac:dyDescent="0.25">
      <c r="A369" s="13" t="s">
        <v>600</v>
      </c>
      <c r="B369" s="14">
        <v>46013</v>
      </c>
      <c r="C369" s="13" t="s">
        <v>40</v>
      </c>
      <c r="D369" s="13" t="s">
        <v>41</v>
      </c>
      <c r="E369" s="13" t="s">
        <v>60</v>
      </c>
      <c r="F369" s="13" t="s">
        <v>72</v>
      </c>
      <c r="G369" s="13" t="s">
        <v>32</v>
      </c>
      <c r="H369" s="13" t="s">
        <v>104</v>
      </c>
      <c r="I369" s="13" t="s">
        <v>98</v>
      </c>
      <c r="J369" s="13">
        <v>5</v>
      </c>
      <c r="K369" s="21">
        <v>599</v>
      </c>
      <c r="L369" s="21">
        <v>2995</v>
      </c>
      <c r="M369" s="23">
        <v>0.15</v>
      </c>
      <c r="N369" s="21">
        <v>449</v>
      </c>
      <c r="O369" s="21">
        <v>2546</v>
      </c>
      <c r="P369" s="13">
        <v>4.9000000000000004</v>
      </c>
      <c r="Q369" s="13" t="s">
        <v>26</v>
      </c>
    </row>
    <row r="370" spans="1:17" x14ac:dyDescent="0.25">
      <c r="A370" s="13" t="s">
        <v>601</v>
      </c>
      <c r="B370" s="14">
        <v>46013</v>
      </c>
      <c r="C370" s="13" t="s">
        <v>40</v>
      </c>
      <c r="D370" s="13" t="s">
        <v>41</v>
      </c>
      <c r="E370" s="13" t="s">
        <v>30</v>
      </c>
      <c r="F370" s="13" t="s">
        <v>130</v>
      </c>
      <c r="G370" s="13" t="s">
        <v>32</v>
      </c>
      <c r="H370" s="13" t="s">
        <v>33</v>
      </c>
      <c r="I370" s="13" t="s">
        <v>25</v>
      </c>
      <c r="J370" s="13">
        <v>4</v>
      </c>
      <c r="K370" s="21">
        <v>1452</v>
      </c>
      <c r="L370" s="21">
        <v>5808</v>
      </c>
      <c r="M370" s="23">
        <v>0.25</v>
      </c>
      <c r="N370" s="21">
        <v>1452</v>
      </c>
      <c r="O370" s="21">
        <v>4356</v>
      </c>
      <c r="P370" s="13">
        <v>4.8</v>
      </c>
      <c r="Q370" s="13" t="s">
        <v>26</v>
      </c>
    </row>
    <row r="371" spans="1:17" x14ac:dyDescent="0.25">
      <c r="A371" s="13" t="s">
        <v>602</v>
      </c>
      <c r="B371" s="14">
        <v>46013</v>
      </c>
      <c r="C371" s="13" t="s">
        <v>19</v>
      </c>
      <c r="D371" s="13" t="s">
        <v>128</v>
      </c>
      <c r="E371" s="13" t="s">
        <v>82</v>
      </c>
      <c r="F371" s="13" t="s">
        <v>31</v>
      </c>
      <c r="G371" s="13" t="s">
        <v>44</v>
      </c>
      <c r="H371" s="13" t="s">
        <v>33</v>
      </c>
      <c r="I371" s="13" t="s">
        <v>34</v>
      </c>
      <c r="J371" s="13">
        <v>1</v>
      </c>
      <c r="K371" s="21">
        <v>168</v>
      </c>
      <c r="L371" s="21">
        <v>168</v>
      </c>
      <c r="M371" s="23">
        <v>0.2</v>
      </c>
      <c r="N371" s="21">
        <v>34</v>
      </c>
      <c r="O371" s="21">
        <v>134</v>
      </c>
      <c r="P371" s="13">
        <v>4.5</v>
      </c>
      <c r="Q371" s="13" t="s">
        <v>26</v>
      </c>
    </row>
    <row r="372" spans="1:17" x14ac:dyDescent="0.25">
      <c r="A372" s="13" t="s">
        <v>603</v>
      </c>
      <c r="B372" s="14">
        <v>46014</v>
      </c>
      <c r="C372" s="13" t="s">
        <v>40</v>
      </c>
      <c r="D372" s="13" t="s">
        <v>113</v>
      </c>
      <c r="E372" s="13" t="s">
        <v>82</v>
      </c>
      <c r="F372" s="13" t="s">
        <v>83</v>
      </c>
      <c r="G372" s="13" t="s">
        <v>23</v>
      </c>
      <c r="H372" s="13" t="s">
        <v>33</v>
      </c>
      <c r="I372" s="13" t="s">
        <v>34</v>
      </c>
      <c r="J372" s="13">
        <v>5</v>
      </c>
      <c r="K372" s="21">
        <v>1073</v>
      </c>
      <c r="L372" s="21">
        <v>5365</v>
      </c>
      <c r="M372" s="23">
        <v>0.1</v>
      </c>
      <c r="N372" s="21">
        <v>536</v>
      </c>
      <c r="O372" s="21">
        <v>4829</v>
      </c>
      <c r="P372" s="13">
        <v>4.8</v>
      </c>
      <c r="Q372" s="13" t="s">
        <v>26</v>
      </c>
    </row>
    <row r="373" spans="1:17" x14ac:dyDescent="0.25">
      <c r="A373" s="13" t="s">
        <v>605</v>
      </c>
      <c r="B373" s="14">
        <v>46014</v>
      </c>
      <c r="C373" s="13" t="s">
        <v>40</v>
      </c>
      <c r="D373" s="13" t="s">
        <v>57</v>
      </c>
      <c r="E373" s="13" t="s">
        <v>42</v>
      </c>
      <c r="F373" s="13" t="s">
        <v>43</v>
      </c>
      <c r="G373" s="13" t="s">
        <v>23</v>
      </c>
      <c r="H373" s="13" t="s">
        <v>33</v>
      </c>
      <c r="I373" s="13" t="s">
        <v>34</v>
      </c>
      <c r="J373" s="13">
        <v>4</v>
      </c>
      <c r="K373" s="21">
        <v>1135</v>
      </c>
      <c r="L373" s="21">
        <v>4540</v>
      </c>
      <c r="M373" s="23">
        <v>0</v>
      </c>
      <c r="N373" s="21">
        <v>0</v>
      </c>
      <c r="O373" s="21">
        <v>4540</v>
      </c>
      <c r="P373" s="13">
        <v>3.8</v>
      </c>
      <c r="Q373" s="13" t="s">
        <v>26</v>
      </c>
    </row>
    <row r="374" spans="1:17" x14ac:dyDescent="0.25">
      <c r="A374" s="13" t="s">
        <v>606</v>
      </c>
      <c r="B374" s="14">
        <v>46014</v>
      </c>
      <c r="C374" s="13" t="s">
        <v>19</v>
      </c>
      <c r="D374" s="13" t="s">
        <v>128</v>
      </c>
      <c r="E374" s="13" t="s">
        <v>155</v>
      </c>
      <c r="F374" s="13" t="s">
        <v>83</v>
      </c>
      <c r="G374" s="13" t="s">
        <v>32</v>
      </c>
      <c r="H374" s="13" t="s">
        <v>104</v>
      </c>
      <c r="I374" s="13" t="s">
        <v>98</v>
      </c>
      <c r="J374" s="13">
        <v>4</v>
      </c>
      <c r="K374" s="21">
        <v>362</v>
      </c>
      <c r="L374" s="21">
        <v>1448</v>
      </c>
      <c r="M374" s="23">
        <v>0.3</v>
      </c>
      <c r="N374" s="21">
        <v>434</v>
      </c>
      <c r="O374" s="21">
        <v>1014</v>
      </c>
      <c r="P374" s="13">
        <v>3.3</v>
      </c>
      <c r="Q374" s="13" t="s">
        <v>26</v>
      </c>
    </row>
    <row r="375" spans="1:17" x14ac:dyDescent="0.25">
      <c r="A375" s="13" t="s">
        <v>607</v>
      </c>
      <c r="B375" s="14">
        <v>46014</v>
      </c>
      <c r="C375" s="13" t="s">
        <v>28</v>
      </c>
      <c r="D375" s="13" t="s">
        <v>36</v>
      </c>
      <c r="E375" s="13" t="s">
        <v>48</v>
      </c>
      <c r="F375" s="13" t="s">
        <v>65</v>
      </c>
      <c r="G375" s="13" t="s">
        <v>23</v>
      </c>
      <c r="H375" s="13" t="s">
        <v>24</v>
      </c>
      <c r="I375" s="13" t="s">
        <v>45</v>
      </c>
      <c r="J375" s="13">
        <v>5</v>
      </c>
      <c r="K375" s="21">
        <v>969</v>
      </c>
      <c r="L375" s="21">
        <v>4845</v>
      </c>
      <c r="M375" s="23">
        <v>0.25</v>
      </c>
      <c r="N375" s="21">
        <v>1211</v>
      </c>
      <c r="O375" s="21">
        <v>3634</v>
      </c>
      <c r="P375" s="13">
        <v>4.0999999999999996</v>
      </c>
      <c r="Q375" s="13" t="s">
        <v>26</v>
      </c>
    </row>
    <row r="376" spans="1:17" x14ac:dyDescent="0.25">
      <c r="A376" s="13" t="s">
        <v>608</v>
      </c>
      <c r="B376" s="14">
        <v>46015</v>
      </c>
      <c r="C376" s="13" t="s">
        <v>40</v>
      </c>
      <c r="D376" s="13" t="s">
        <v>113</v>
      </c>
      <c r="E376" s="13" t="s">
        <v>101</v>
      </c>
      <c r="F376" s="13" t="s">
        <v>61</v>
      </c>
      <c r="G376" s="13" t="s">
        <v>23</v>
      </c>
      <c r="H376" s="13" t="s">
        <v>33</v>
      </c>
      <c r="I376" s="13" t="s">
        <v>25</v>
      </c>
      <c r="J376" s="13">
        <v>4</v>
      </c>
      <c r="K376" s="21">
        <v>1151</v>
      </c>
      <c r="L376" s="21">
        <v>4604</v>
      </c>
      <c r="M376" s="23">
        <v>0.25</v>
      </c>
      <c r="N376" s="21">
        <v>1151</v>
      </c>
      <c r="O376" s="21">
        <v>3453</v>
      </c>
      <c r="P376" s="13">
        <v>4.7</v>
      </c>
      <c r="Q376" s="13" t="s">
        <v>26</v>
      </c>
    </row>
    <row r="377" spans="1:17" x14ac:dyDescent="0.25">
      <c r="A377" s="13" t="s">
        <v>610</v>
      </c>
      <c r="B377" s="14">
        <v>46015</v>
      </c>
      <c r="C377" s="13" t="s">
        <v>91</v>
      </c>
      <c r="D377" s="13" t="s">
        <v>92</v>
      </c>
      <c r="E377" s="13" t="s">
        <v>71</v>
      </c>
      <c r="F377" s="13" t="s">
        <v>43</v>
      </c>
      <c r="G377" s="13" t="s">
        <v>44</v>
      </c>
      <c r="H377" s="13" t="s">
        <v>33</v>
      </c>
      <c r="I377" s="13" t="s">
        <v>34</v>
      </c>
      <c r="J377" s="13">
        <v>4</v>
      </c>
      <c r="K377" s="21">
        <v>1176</v>
      </c>
      <c r="L377" s="21">
        <v>4704</v>
      </c>
      <c r="M377" s="23">
        <v>0.1</v>
      </c>
      <c r="N377" s="21">
        <v>470</v>
      </c>
      <c r="O377" s="21">
        <v>4234</v>
      </c>
      <c r="P377" s="13">
        <v>3.6</v>
      </c>
      <c r="Q377" s="13" t="s">
        <v>26</v>
      </c>
    </row>
    <row r="378" spans="1:17" x14ac:dyDescent="0.25">
      <c r="A378" s="13" t="s">
        <v>611</v>
      </c>
      <c r="B378" s="14">
        <v>46016</v>
      </c>
      <c r="C378" s="13" t="s">
        <v>63</v>
      </c>
      <c r="D378" s="13" t="s">
        <v>134</v>
      </c>
      <c r="E378" s="13" t="s">
        <v>71</v>
      </c>
      <c r="F378" s="13" t="s">
        <v>130</v>
      </c>
      <c r="G378" s="13" t="s">
        <v>23</v>
      </c>
      <c r="H378" s="13" t="s">
        <v>24</v>
      </c>
      <c r="I378" s="13" t="s">
        <v>25</v>
      </c>
      <c r="J378" s="13">
        <v>3</v>
      </c>
      <c r="K378" s="21">
        <v>1670</v>
      </c>
      <c r="L378" s="21">
        <v>5010</v>
      </c>
      <c r="M378" s="23">
        <v>0.2</v>
      </c>
      <c r="N378" s="21">
        <v>1002</v>
      </c>
      <c r="O378" s="21">
        <v>4008</v>
      </c>
      <c r="P378" s="13">
        <v>4.9000000000000004</v>
      </c>
      <c r="Q378" s="13" t="s">
        <v>26</v>
      </c>
    </row>
    <row r="379" spans="1:17" x14ac:dyDescent="0.25">
      <c r="A379" s="13" t="s">
        <v>613</v>
      </c>
      <c r="B379" s="14">
        <v>46016</v>
      </c>
      <c r="C379" s="13" t="s">
        <v>91</v>
      </c>
      <c r="D379" s="13" t="s">
        <v>92</v>
      </c>
      <c r="E379" s="13" t="s">
        <v>30</v>
      </c>
      <c r="F379" s="13" t="s">
        <v>61</v>
      </c>
      <c r="G379" s="13" t="s">
        <v>32</v>
      </c>
      <c r="H379" s="13" t="s">
        <v>24</v>
      </c>
      <c r="I379" s="13" t="s">
        <v>34</v>
      </c>
      <c r="J379" s="13">
        <v>2</v>
      </c>
      <c r="K379" s="21">
        <v>1672</v>
      </c>
      <c r="L379" s="21">
        <v>3344</v>
      </c>
      <c r="M379" s="23">
        <v>0.15</v>
      </c>
      <c r="N379" s="21">
        <v>502</v>
      </c>
      <c r="O379" s="21">
        <v>2842</v>
      </c>
      <c r="P379" s="13">
        <v>3.6</v>
      </c>
      <c r="Q379" s="13" t="s">
        <v>26</v>
      </c>
    </row>
    <row r="380" spans="1:17" x14ac:dyDescent="0.25">
      <c r="A380" s="13" t="s">
        <v>614</v>
      </c>
      <c r="B380" s="14">
        <v>46017</v>
      </c>
      <c r="C380" s="13" t="s">
        <v>40</v>
      </c>
      <c r="D380" s="13" t="s">
        <v>113</v>
      </c>
      <c r="E380" s="13" t="s">
        <v>71</v>
      </c>
      <c r="F380" s="13" t="s">
        <v>72</v>
      </c>
      <c r="G380" s="13" t="s">
        <v>32</v>
      </c>
      <c r="H380" s="13" t="s">
        <v>33</v>
      </c>
      <c r="I380" s="13" t="s">
        <v>98</v>
      </c>
      <c r="J380" s="13">
        <v>3</v>
      </c>
      <c r="K380" s="21">
        <v>978</v>
      </c>
      <c r="L380" s="21">
        <v>2934</v>
      </c>
      <c r="M380" s="23">
        <v>0.1</v>
      </c>
      <c r="N380" s="21">
        <v>293</v>
      </c>
      <c r="O380" s="21">
        <v>2641</v>
      </c>
      <c r="P380" s="13">
        <v>4.5999999999999996</v>
      </c>
      <c r="Q380" s="13" t="s">
        <v>26</v>
      </c>
    </row>
    <row r="381" spans="1:17" x14ac:dyDescent="0.25">
      <c r="A381" s="13" t="s">
        <v>616</v>
      </c>
      <c r="B381" s="14">
        <v>46017</v>
      </c>
      <c r="C381" s="13" t="s">
        <v>19</v>
      </c>
      <c r="D381" s="13" t="s">
        <v>230</v>
      </c>
      <c r="E381" s="13" t="s">
        <v>48</v>
      </c>
      <c r="F381" s="13" t="s">
        <v>61</v>
      </c>
      <c r="G381" s="13" t="s">
        <v>23</v>
      </c>
      <c r="H381" s="13" t="s">
        <v>33</v>
      </c>
      <c r="I381" s="13" t="s">
        <v>98</v>
      </c>
      <c r="J381" s="13">
        <v>5</v>
      </c>
      <c r="K381" s="21">
        <v>487</v>
      </c>
      <c r="L381" s="21">
        <v>2435</v>
      </c>
      <c r="M381" s="23">
        <v>0</v>
      </c>
      <c r="N381" s="21">
        <v>0</v>
      </c>
      <c r="O381" s="21">
        <v>2435</v>
      </c>
      <c r="P381" s="13">
        <v>3.2</v>
      </c>
      <c r="Q381" s="13" t="s">
        <v>75</v>
      </c>
    </row>
    <row r="382" spans="1:17" x14ac:dyDescent="0.25">
      <c r="A382" s="13" t="s">
        <v>617</v>
      </c>
      <c r="B382" s="14">
        <v>46018</v>
      </c>
      <c r="C382" s="13" t="s">
        <v>19</v>
      </c>
      <c r="D382" s="13" t="s">
        <v>20</v>
      </c>
      <c r="E382" s="13" t="s">
        <v>48</v>
      </c>
      <c r="F382" s="13" t="s">
        <v>130</v>
      </c>
      <c r="G382" s="13" t="s">
        <v>32</v>
      </c>
      <c r="H382" s="13" t="s">
        <v>24</v>
      </c>
      <c r="I382" s="13" t="s">
        <v>34</v>
      </c>
      <c r="J382" s="13">
        <v>5</v>
      </c>
      <c r="K382" s="21">
        <v>221</v>
      </c>
      <c r="L382" s="21">
        <v>1105</v>
      </c>
      <c r="M382" s="23">
        <v>0.25</v>
      </c>
      <c r="N382" s="21">
        <v>276</v>
      </c>
      <c r="O382" s="21">
        <v>829</v>
      </c>
      <c r="P382" s="13">
        <v>3.3</v>
      </c>
      <c r="Q382" s="13" t="s">
        <v>26</v>
      </c>
    </row>
    <row r="383" spans="1:17" x14ac:dyDescent="0.25">
      <c r="A383" s="13" t="s">
        <v>619</v>
      </c>
      <c r="B383" s="14">
        <v>46018</v>
      </c>
      <c r="C383" s="13" t="s">
        <v>28</v>
      </c>
      <c r="D383" s="13" t="s">
        <v>95</v>
      </c>
      <c r="E383" s="13" t="s">
        <v>53</v>
      </c>
      <c r="F383" s="13" t="s">
        <v>22</v>
      </c>
      <c r="G383" s="13" t="s">
        <v>23</v>
      </c>
      <c r="H383" s="13" t="s">
        <v>33</v>
      </c>
      <c r="I383" s="13" t="s">
        <v>34</v>
      </c>
      <c r="J383" s="13">
        <v>3</v>
      </c>
      <c r="K383" s="21">
        <v>517</v>
      </c>
      <c r="L383" s="21">
        <v>1551</v>
      </c>
      <c r="M383" s="23">
        <v>0.1</v>
      </c>
      <c r="N383" s="21">
        <v>155</v>
      </c>
      <c r="O383" s="21">
        <v>1396</v>
      </c>
      <c r="P383" s="13">
        <v>4.9000000000000004</v>
      </c>
      <c r="Q383" s="13" t="s">
        <v>26</v>
      </c>
    </row>
    <row r="384" spans="1:17" x14ac:dyDescent="0.25">
      <c r="A384" s="13" t="s">
        <v>620</v>
      </c>
      <c r="B384" s="14">
        <v>46019</v>
      </c>
      <c r="C384" s="13" t="s">
        <v>51</v>
      </c>
      <c r="D384" s="13" t="s">
        <v>52</v>
      </c>
      <c r="E384" s="13" t="s">
        <v>101</v>
      </c>
      <c r="F384" s="13" t="s">
        <v>61</v>
      </c>
      <c r="G384" s="13" t="s">
        <v>32</v>
      </c>
      <c r="H384" s="13" t="s">
        <v>33</v>
      </c>
      <c r="I384" s="13" t="s">
        <v>34</v>
      </c>
      <c r="J384" s="13">
        <v>5</v>
      </c>
      <c r="K384" s="21">
        <v>533</v>
      </c>
      <c r="L384" s="21">
        <v>2665</v>
      </c>
      <c r="M384" s="23">
        <v>0.25</v>
      </c>
      <c r="N384" s="21">
        <v>666</v>
      </c>
      <c r="O384" s="21">
        <v>1999</v>
      </c>
      <c r="P384" s="13">
        <v>3.4</v>
      </c>
      <c r="Q384" s="13" t="s">
        <v>26</v>
      </c>
    </row>
    <row r="385" spans="1:17" x14ac:dyDescent="0.25">
      <c r="A385" s="13" t="s">
        <v>622</v>
      </c>
      <c r="B385" s="14">
        <v>46019</v>
      </c>
      <c r="C385" s="13" t="s">
        <v>91</v>
      </c>
      <c r="D385" s="13" t="s">
        <v>110</v>
      </c>
      <c r="E385" s="13" t="s">
        <v>155</v>
      </c>
      <c r="F385" s="13" t="s">
        <v>79</v>
      </c>
      <c r="G385" s="13" t="s">
        <v>44</v>
      </c>
      <c r="H385" s="13" t="s">
        <v>24</v>
      </c>
      <c r="I385" s="13" t="s">
        <v>25</v>
      </c>
      <c r="J385" s="13">
        <v>1</v>
      </c>
      <c r="K385" s="21">
        <v>2177</v>
      </c>
      <c r="L385" s="21">
        <v>2177</v>
      </c>
      <c r="M385" s="23">
        <v>0.15</v>
      </c>
      <c r="N385" s="21">
        <v>327</v>
      </c>
      <c r="O385" s="21">
        <v>1850</v>
      </c>
      <c r="P385" s="13">
        <v>3.9</v>
      </c>
      <c r="Q385" s="13" t="s">
        <v>26</v>
      </c>
    </row>
    <row r="386" spans="1:17" x14ac:dyDescent="0.25">
      <c r="A386" s="13" t="s">
        <v>623</v>
      </c>
      <c r="B386" s="14">
        <v>46020</v>
      </c>
      <c r="C386" s="13" t="s">
        <v>51</v>
      </c>
      <c r="D386" s="13" t="s">
        <v>70</v>
      </c>
      <c r="E386" s="13" t="s">
        <v>48</v>
      </c>
      <c r="F386" s="13" t="s">
        <v>83</v>
      </c>
      <c r="G386" s="13" t="s">
        <v>23</v>
      </c>
      <c r="H386" s="13" t="s">
        <v>33</v>
      </c>
      <c r="I386" s="13" t="s">
        <v>98</v>
      </c>
      <c r="J386" s="13">
        <v>4</v>
      </c>
      <c r="K386" s="21">
        <v>699</v>
      </c>
      <c r="L386" s="21">
        <v>2796</v>
      </c>
      <c r="M386" s="23">
        <v>0.05</v>
      </c>
      <c r="N386" s="21">
        <v>140</v>
      </c>
      <c r="O386" s="21">
        <v>2656</v>
      </c>
      <c r="P386" s="13">
        <v>4.5</v>
      </c>
      <c r="Q386" s="13" t="s">
        <v>26</v>
      </c>
    </row>
    <row r="387" spans="1:17" x14ac:dyDescent="0.25">
      <c r="A387" s="13" t="s">
        <v>625</v>
      </c>
      <c r="B387" s="14">
        <v>46020</v>
      </c>
      <c r="C387" s="13" t="s">
        <v>63</v>
      </c>
      <c r="D387" s="13" t="s">
        <v>64</v>
      </c>
      <c r="E387" s="13" t="s">
        <v>60</v>
      </c>
      <c r="F387" s="13" t="s">
        <v>65</v>
      </c>
      <c r="G387" s="13" t="s">
        <v>32</v>
      </c>
      <c r="H387" s="13" t="s">
        <v>33</v>
      </c>
      <c r="I387" s="13" t="s">
        <v>25</v>
      </c>
      <c r="J387" s="13">
        <v>1</v>
      </c>
      <c r="K387" s="21">
        <v>1954</v>
      </c>
      <c r="L387" s="21">
        <v>1954</v>
      </c>
      <c r="M387" s="23">
        <v>0.15</v>
      </c>
      <c r="N387" s="21">
        <v>293</v>
      </c>
      <c r="O387" s="21">
        <v>1661</v>
      </c>
      <c r="P387" s="13">
        <v>3.5</v>
      </c>
      <c r="Q387" s="13" t="s">
        <v>26</v>
      </c>
    </row>
    <row r="388" spans="1:17" x14ac:dyDescent="0.25">
      <c r="A388" s="13" t="s">
        <v>626</v>
      </c>
      <c r="B388" s="14">
        <v>46020</v>
      </c>
      <c r="C388" s="13" t="s">
        <v>51</v>
      </c>
      <c r="D388" s="13" t="s">
        <v>97</v>
      </c>
      <c r="E388" s="13" t="s">
        <v>60</v>
      </c>
      <c r="F388" s="13" t="s">
        <v>65</v>
      </c>
      <c r="G388" s="13" t="s">
        <v>32</v>
      </c>
      <c r="H388" s="13" t="s">
        <v>24</v>
      </c>
      <c r="I388" s="13" t="s">
        <v>45</v>
      </c>
      <c r="J388" s="13">
        <v>4</v>
      </c>
      <c r="K388" s="21">
        <v>516</v>
      </c>
      <c r="L388" s="21">
        <v>2064</v>
      </c>
      <c r="M388" s="23">
        <v>0.25</v>
      </c>
      <c r="N388" s="21">
        <v>516</v>
      </c>
      <c r="O388" s="21">
        <v>1548</v>
      </c>
      <c r="P388" s="13">
        <v>3.6</v>
      </c>
      <c r="Q388" s="13" t="s">
        <v>26</v>
      </c>
    </row>
    <row r="389" spans="1:17" x14ac:dyDescent="0.25">
      <c r="A389" s="13" t="s">
        <v>627</v>
      </c>
      <c r="B389" s="14">
        <v>46020</v>
      </c>
      <c r="C389" s="13" t="s">
        <v>28</v>
      </c>
      <c r="D389" s="13" t="s">
        <v>29</v>
      </c>
      <c r="E389" s="13" t="s">
        <v>48</v>
      </c>
      <c r="F389" s="13" t="s">
        <v>31</v>
      </c>
      <c r="G389" s="13" t="s">
        <v>23</v>
      </c>
      <c r="H389" s="13" t="s">
        <v>33</v>
      </c>
      <c r="I389" s="13" t="s">
        <v>34</v>
      </c>
      <c r="J389" s="13">
        <v>5</v>
      </c>
      <c r="K389" s="21">
        <v>230</v>
      </c>
      <c r="L389" s="21">
        <v>1150</v>
      </c>
      <c r="M389" s="23">
        <v>0.25</v>
      </c>
      <c r="N389" s="21">
        <v>288</v>
      </c>
      <c r="O389" s="21">
        <v>862</v>
      </c>
      <c r="P389" s="13">
        <v>3.8</v>
      </c>
      <c r="Q389" s="13" t="s">
        <v>26</v>
      </c>
    </row>
    <row r="390" spans="1:17" x14ac:dyDescent="0.25">
      <c r="A390" s="13" t="s">
        <v>628</v>
      </c>
      <c r="B390" s="14">
        <v>46021</v>
      </c>
      <c r="C390" s="13" t="s">
        <v>63</v>
      </c>
      <c r="D390" s="13" t="s">
        <v>134</v>
      </c>
      <c r="E390" s="13" t="s">
        <v>37</v>
      </c>
      <c r="F390" s="13" t="s">
        <v>31</v>
      </c>
      <c r="G390" s="13" t="s">
        <v>32</v>
      </c>
      <c r="H390" s="13" t="s">
        <v>33</v>
      </c>
      <c r="I390" s="13" t="s">
        <v>84</v>
      </c>
      <c r="J390" s="13">
        <v>4</v>
      </c>
      <c r="K390" s="21">
        <v>888</v>
      </c>
      <c r="L390" s="21">
        <v>3552</v>
      </c>
      <c r="M390" s="23">
        <v>0.2</v>
      </c>
      <c r="N390" s="21">
        <v>710</v>
      </c>
      <c r="O390" s="21">
        <v>2842</v>
      </c>
      <c r="P390" s="13">
        <v>4.5999999999999996</v>
      </c>
      <c r="Q390" s="13" t="s">
        <v>26</v>
      </c>
    </row>
    <row r="391" spans="1:17" x14ac:dyDescent="0.25">
      <c r="A391" s="13" t="s">
        <v>630</v>
      </c>
      <c r="B391" s="14">
        <v>46021</v>
      </c>
      <c r="C391" s="13" t="s">
        <v>51</v>
      </c>
      <c r="D391" s="13" t="s">
        <v>52</v>
      </c>
      <c r="E391" s="13" t="s">
        <v>21</v>
      </c>
      <c r="F391" s="13" t="s">
        <v>72</v>
      </c>
      <c r="G391" s="13" t="s">
        <v>23</v>
      </c>
      <c r="H391" s="13" t="s">
        <v>33</v>
      </c>
      <c r="I391" s="13" t="s">
        <v>84</v>
      </c>
      <c r="J391" s="13">
        <v>5</v>
      </c>
      <c r="K391" s="21">
        <v>491</v>
      </c>
      <c r="L391" s="21">
        <v>2455</v>
      </c>
      <c r="M391" s="23">
        <v>0.3</v>
      </c>
      <c r="N391" s="21">
        <v>736</v>
      </c>
      <c r="O391" s="21">
        <v>1719</v>
      </c>
      <c r="P391" s="13">
        <v>4.9000000000000004</v>
      </c>
      <c r="Q391" s="13" t="s">
        <v>26</v>
      </c>
    </row>
    <row r="392" spans="1:17" x14ac:dyDescent="0.25">
      <c r="A392" s="13" t="s">
        <v>631</v>
      </c>
      <c r="B392" s="14">
        <v>46023</v>
      </c>
      <c r="C392" s="13" t="s">
        <v>28</v>
      </c>
      <c r="D392" s="13" t="s">
        <v>77</v>
      </c>
      <c r="E392" s="13" t="s">
        <v>60</v>
      </c>
      <c r="F392" s="13" t="s">
        <v>31</v>
      </c>
      <c r="G392" s="13" t="s">
        <v>32</v>
      </c>
      <c r="H392" s="13" t="s">
        <v>24</v>
      </c>
      <c r="I392" s="13" t="s">
        <v>45</v>
      </c>
      <c r="J392" s="13">
        <v>4</v>
      </c>
      <c r="K392" s="21">
        <v>689</v>
      </c>
      <c r="L392" s="21">
        <v>2756</v>
      </c>
      <c r="M392" s="23">
        <v>0.3</v>
      </c>
      <c r="N392" s="21">
        <v>827</v>
      </c>
      <c r="O392" s="21">
        <v>1929</v>
      </c>
      <c r="P392" s="13">
        <v>3.7</v>
      </c>
      <c r="Q392" s="13" t="s">
        <v>26</v>
      </c>
    </row>
    <row r="393" spans="1:17" x14ac:dyDescent="0.25">
      <c r="A393" s="13" t="s">
        <v>633</v>
      </c>
      <c r="B393" s="14">
        <v>46023</v>
      </c>
      <c r="C393" s="13" t="s">
        <v>28</v>
      </c>
      <c r="D393" s="13" t="s">
        <v>36</v>
      </c>
      <c r="E393" s="13" t="s">
        <v>42</v>
      </c>
      <c r="F393" s="13" t="s">
        <v>31</v>
      </c>
      <c r="G393" s="13" t="s">
        <v>23</v>
      </c>
      <c r="H393" s="13" t="s">
        <v>33</v>
      </c>
      <c r="I393" s="13" t="s">
        <v>84</v>
      </c>
      <c r="J393" s="13">
        <v>3</v>
      </c>
      <c r="K393" s="21">
        <v>249</v>
      </c>
      <c r="L393" s="21">
        <v>747</v>
      </c>
      <c r="M393" s="23">
        <v>0</v>
      </c>
      <c r="N393" s="21">
        <v>0</v>
      </c>
      <c r="O393" s="21">
        <v>747</v>
      </c>
      <c r="P393" s="13">
        <v>4.2</v>
      </c>
      <c r="Q393" s="13" t="s">
        <v>26</v>
      </c>
    </row>
    <row r="394" spans="1:17" x14ac:dyDescent="0.25">
      <c r="A394" s="13" t="s">
        <v>634</v>
      </c>
      <c r="B394" s="14">
        <v>46023</v>
      </c>
      <c r="C394" s="13" t="s">
        <v>91</v>
      </c>
      <c r="D394" s="13" t="s">
        <v>92</v>
      </c>
      <c r="E394" s="13" t="s">
        <v>37</v>
      </c>
      <c r="F394" s="13" t="s">
        <v>22</v>
      </c>
      <c r="G394" s="13" t="s">
        <v>32</v>
      </c>
      <c r="H394" s="13" t="s">
        <v>104</v>
      </c>
      <c r="I394" s="13" t="s">
        <v>25</v>
      </c>
      <c r="J394" s="13">
        <v>2</v>
      </c>
      <c r="K394" s="21">
        <v>2143</v>
      </c>
      <c r="L394" s="21">
        <v>4286</v>
      </c>
      <c r="M394" s="23">
        <v>0.1</v>
      </c>
      <c r="N394" s="21">
        <v>429</v>
      </c>
      <c r="O394" s="21">
        <v>3857</v>
      </c>
      <c r="P394" s="13">
        <v>3.5</v>
      </c>
      <c r="Q394" s="13" t="s">
        <v>26</v>
      </c>
    </row>
    <row r="395" spans="1:17" x14ac:dyDescent="0.25">
      <c r="A395" s="13" t="s">
        <v>635</v>
      </c>
      <c r="B395" s="14">
        <v>46023</v>
      </c>
      <c r="C395" s="13" t="s">
        <v>40</v>
      </c>
      <c r="D395" s="13" t="s">
        <v>41</v>
      </c>
      <c r="E395" s="13" t="s">
        <v>37</v>
      </c>
      <c r="F395" s="13" t="s">
        <v>119</v>
      </c>
      <c r="G395" s="13" t="s">
        <v>23</v>
      </c>
      <c r="H395" s="13" t="s">
        <v>104</v>
      </c>
      <c r="I395" s="13" t="s">
        <v>98</v>
      </c>
      <c r="J395" s="13">
        <v>4</v>
      </c>
      <c r="K395" s="21">
        <v>737</v>
      </c>
      <c r="L395" s="21">
        <v>2948</v>
      </c>
      <c r="M395" s="23">
        <v>0.25</v>
      </c>
      <c r="N395" s="21">
        <v>737</v>
      </c>
      <c r="O395" s="21">
        <v>2211</v>
      </c>
      <c r="P395" s="13">
        <v>3.5</v>
      </c>
      <c r="Q395" s="13" t="s">
        <v>26</v>
      </c>
    </row>
    <row r="396" spans="1:17" x14ac:dyDescent="0.25">
      <c r="A396" s="13" t="s">
        <v>636</v>
      </c>
      <c r="B396" s="14">
        <v>46023</v>
      </c>
      <c r="C396" s="13" t="s">
        <v>28</v>
      </c>
      <c r="D396" s="13" t="s">
        <v>36</v>
      </c>
      <c r="E396" s="13" t="s">
        <v>101</v>
      </c>
      <c r="F396" s="13" t="s">
        <v>65</v>
      </c>
      <c r="G396" s="13" t="s">
        <v>23</v>
      </c>
      <c r="H396" s="13" t="s">
        <v>33</v>
      </c>
      <c r="I396" s="13" t="s">
        <v>98</v>
      </c>
      <c r="J396" s="13">
        <v>4</v>
      </c>
      <c r="K396" s="21">
        <v>1295</v>
      </c>
      <c r="L396" s="21">
        <v>5180</v>
      </c>
      <c r="M396" s="23">
        <v>0.3</v>
      </c>
      <c r="N396" s="21">
        <v>1554</v>
      </c>
      <c r="O396" s="21">
        <v>3626</v>
      </c>
      <c r="P396" s="13">
        <v>4.5999999999999996</v>
      </c>
      <c r="Q396" s="13" t="s">
        <v>26</v>
      </c>
    </row>
    <row r="397" spans="1:17" x14ac:dyDescent="0.25">
      <c r="A397" s="13" t="s">
        <v>637</v>
      </c>
      <c r="B397" s="14">
        <v>46023</v>
      </c>
      <c r="C397" s="13" t="s">
        <v>28</v>
      </c>
      <c r="D397" s="13" t="s">
        <v>77</v>
      </c>
      <c r="E397" s="13" t="s">
        <v>37</v>
      </c>
      <c r="F397" s="13" t="s">
        <v>22</v>
      </c>
      <c r="G397" s="13" t="s">
        <v>32</v>
      </c>
      <c r="H397" s="13" t="s">
        <v>33</v>
      </c>
      <c r="I397" s="13" t="s">
        <v>98</v>
      </c>
      <c r="J397" s="13">
        <v>2</v>
      </c>
      <c r="K397" s="21">
        <v>872</v>
      </c>
      <c r="L397" s="21">
        <v>1744</v>
      </c>
      <c r="M397" s="23">
        <v>0</v>
      </c>
      <c r="N397" s="21">
        <v>0</v>
      </c>
      <c r="O397" s="21">
        <v>1744</v>
      </c>
      <c r="P397" s="13">
        <v>3.3</v>
      </c>
      <c r="Q397" s="13" t="s">
        <v>26</v>
      </c>
    </row>
    <row r="398" spans="1:17" x14ac:dyDescent="0.25">
      <c r="A398" s="13" t="s">
        <v>638</v>
      </c>
      <c r="B398" s="14">
        <v>46023</v>
      </c>
      <c r="C398" s="13" t="s">
        <v>40</v>
      </c>
      <c r="D398" s="13" t="s">
        <v>57</v>
      </c>
      <c r="E398" s="13" t="s">
        <v>37</v>
      </c>
      <c r="F398" s="13" t="s">
        <v>83</v>
      </c>
      <c r="G398" s="13" t="s">
        <v>23</v>
      </c>
      <c r="H398" s="13" t="s">
        <v>33</v>
      </c>
      <c r="I398" s="13" t="s">
        <v>98</v>
      </c>
      <c r="J398" s="13">
        <v>4</v>
      </c>
      <c r="K398" s="21">
        <v>1061</v>
      </c>
      <c r="L398" s="21">
        <v>4244</v>
      </c>
      <c r="M398" s="23">
        <v>0</v>
      </c>
      <c r="N398" s="21">
        <v>0</v>
      </c>
      <c r="O398" s="21">
        <v>4244</v>
      </c>
      <c r="P398" s="13">
        <v>4.4000000000000004</v>
      </c>
      <c r="Q398" s="13" t="s">
        <v>26</v>
      </c>
    </row>
    <row r="399" spans="1:17" x14ac:dyDescent="0.25">
      <c r="A399" s="13" t="s">
        <v>639</v>
      </c>
      <c r="B399" s="14">
        <v>46024</v>
      </c>
      <c r="C399" s="13" t="s">
        <v>91</v>
      </c>
      <c r="D399" s="13" t="s">
        <v>125</v>
      </c>
      <c r="E399" s="13" t="s">
        <v>42</v>
      </c>
      <c r="F399" s="13" t="s">
        <v>72</v>
      </c>
      <c r="G399" s="13" t="s">
        <v>44</v>
      </c>
      <c r="H399" s="13" t="s">
        <v>24</v>
      </c>
      <c r="I399" s="13" t="s">
        <v>34</v>
      </c>
      <c r="J399" s="13">
        <v>1</v>
      </c>
      <c r="K399" s="21">
        <v>1494</v>
      </c>
      <c r="L399" s="21">
        <v>1494</v>
      </c>
      <c r="M399" s="23">
        <v>0.05</v>
      </c>
      <c r="N399" s="21">
        <v>75</v>
      </c>
      <c r="O399" s="21">
        <v>1419</v>
      </c>
      <c r="P399" s="13">
        <v>4.9000000000000004</v>
      </c>
      <c r="Q399" s="13" t="s">
        <v>75</v>
      </c>
    </row>
    <row r="400" spans="1:17" x14ac:dyDescent="0.25">
      <c r="A400" s="13" t="s">
        <v>641</v>
      </c>
      <c r="B400" s="14">
        <v>46024</v>
      </c>
      <c r="C400" s="13" t="s">
        <v>51</v>
      </c>
      <c r="D400" s="13" t="s">
        <v>52</v>
      </c>
      <c r="E400" s="13" t="s">
        <v>53</v>
      </c>
      <c r="F400" s="13" t="s">
        <v>22</v>
      </c>
      <c r="G400" s="13" t="s">
        <v>23</v>
      </c>
      <c r="H400" s="13" t="s">
        <v>33</v>
      </c>
      <c r="I400" s="13" t="s">
        <v>84</v>
      </c>
      <c r="J400" s="13">
        <v>3</v>
      </c>
      <c r="K400" s="21">
        <v>183</v>
      </c>
      <c r="L400" s="21">
        <v>549</v>
      </c>
      <c r="M400" s="23">
        <v>0</v>
      </c>
      <c r="N400" s="21">
        <v>0</v>
      </c>
      <c r="O400" s="21">
        <v>549</v>
      </c>
      <c r="P400" s="13">
        <v>4.5999999999999996</v>
      </c>
      <c r="Q400" s="13" t="s">
        <v>26</v>
      </c>
    </row>
    <row r="401" spans="1:17" x14ac:dyDescent="0.25">
      <c r="A401" s="13" t="s">
        <v>642</v>
      </c>
      <c r="B401" s="14">
        <v>46026</v>
      </c>
      <c r="C401" s="13" t="s">
        <v>40</v>
      </c>
      <c r="D401" s="13" t="s">
        <v>41</v>
      </c>
      <c r="E401" s="13" t="s">
        <v>82</v>
      </c>
      <c r="F401" s="13" t="s">
        <v>119</v>
      </c>
      <c r="G401" s="13" t="s">
        <v>23</v>
      </c>
      <c r="H401" s="13" t="s">
        <v>24</v>
      </c>
      <c r="I401" s="13" t="s">
        <v>45</v>
      </c>
      <c r="J401" s="13">
        <v>5</v>
      </c>
      <c r="K401" s="21">
        <v>1458</v>
      </c>
      <c r="L401" s="21">
        <v>7290</v>
      </c>
      <c r="M401" s="23">
        <v>0.1</v>
      </c>
      <c r="N401" s="21">
        <v>729</v>
      </c>
      <c r="O401" s="21">
        <v>6561</v>
      </c>
      <c r="P401" s="13">
        <v>4.3</v>
      </c>
      <c r="Q401" s="13" t="s">
        <v>26</v>
      </c>
    </row>
    <row r="402" spans="1:17" x14ac:dyDescent="0.25">
      <c r="A402" s="13" t="s">
        <v>644</v>
      </c>
      <c r="B402" s="14">
        <v>46027</v>
      </c>
      <c r="C402" s="13" t="s">
        <v>19</v>
      </c>
      <c r="D402" s="13" t="s">
        <v>20</v>
      </c>
      <c r="E402" s="13" t="s">
        <v>60</v>
      </c>
      <c r="F402" s="13" t="s">
        <v>130</v>
      </c>
      <c r="G402" s="13" t="s">
        <v>23</v>
      </c>
      <c r="H402" s="13" t="s">
        <v>33</v>
      </c>
      <c r="I402" s="13" t="s">
        <v>84</v>
      </c>
      <c r="J402" s="13">
        <v>1</v>
      </c>
      <c r="K402" s="21">
        <v>351</v>
      </c>
      <c r="L402" s="21">
        <v>351</v>
      </c>
      <c r="M402" s="23">
        <v>0.3</v>
      </c>
      <c r="N402" s="21">
        <v>105</v>
      </c>
      <c r="O402" s="21">
        <v>246</v>
      </c>
      <c r="P402" s="13">
        <v>4.7</v>
      </c>
      <c r="Q402" s="13" t="s">
        <v>26</v>
      </c>
    </row>
    <row r="403" spans="1:17" x14ac:dyDescent="0.25">
      <c r="A403" s="13" t="s">
        <v>646</v>
      </c>
      <c r="B403" s="14">
        <v>46027</v>
      </c>
      <c r="C403" s="13" t="s">
        <v>91</v>
      </c>
      <c r="D403" s="13" t="s">
        <v>92</v>
      </c>
      <c r="E403" s="13" t="s">
        <v>78</v>
      </c>
      <c r="F403" s="13" t="s">
        <v>72</v>
      </c>
      <c r="G403" s="13" t="s">
        <v>32</v>
      </c>
      <c r="H403" s="13" t="s">
        <v>33</v>
      </c>
      <c r="I403" s="13" t="s">
        <v>34</v>
      </c>
      <c r="J403" s="13">
        <v>4</v>
      </c>
      <c r="K403" s="21">
        <v>1626</v>
      </c>
      <c r="L403" s="21">
        <v>6504</v>
      </c>
      <c r="M403" s="23">
        <v>0.1</v>
      </c>
      <c r="N403" s="21">
        <v>650</v>
      </c>
      <c r="O403" s="21">
        <v>5854</v>
      </c>
      <c r="P403" s="13">
        <v>3.6</v>
      </c>
      <c r="Q403" s="13" t="s">
        <v>26</v>
      </c>
    </row>
    <row r="404" spans="1:17" x14ac:dyDescent="0.25">
      <c r="A404" s="13" t="s">
        <v>647</v>
      </c>
      <c r="B404" s="14">
        <v>46028</v>
      </c>
      <c r="C404" s="13" t="s">
        <v>28</v>
      </c>
      <c r="D404" s="13" t="s">
        <v>36</v>
      </c>
      <c r="E404" s="13" t="s">
        <v>37</v>
      </c>
      <c r="F404" s="13" t="s">
        <v>22</v>
      </c>
      <c r="G404" s="13" t="s">
        <v>44</v>
      </c>
      <c r="H404" s="13" t="s">
        <v>24</v>
      </c>
      <c r="I404" s="13" t="s">
        <v>98</v>
      </c>
      <c r="J404" s="13">
        <v>3</v>
      </c>
      <c r="K404" s="21">
        <v>320</v>
      </c>
      <c r="L404" s="21">
        <v>960</v>
      </c>
      <c r="M404" s="23">
        <v>0.1</v>
      </c>
      <c r="N404" s="21">
        <v>96</v>
      </c>
      <c r="O404" s="21">
        <v>864</v>
      </c>
      <c r="P404" s="13">
        <v>4.8</v>
      </c>
      <c r="Q404" s="13" t="s">
        <v>26</v>
      </c>
    </row>
    <row r="405" spans="1:17" x14ac:dyDescent="0.25">
      <c r="A405" s="13" t="s">
        <v>649</v>
      </c>
      <c r="B405" s="14">
        <v>46028</v>
      </c>
      <c r="C405" s="13" t="s">
        <v>40</v>
      </c>
      <c r="D405" s="13" t="s">
        <v>113</v>
      </c>
      <c r="E405" s="13" t="s">
        <v>21</v>
      </c>
      <c r="F405" s="13" t="s">
        <v>83</v>
      </c>
      <c r="G405" s="13" t="s">
        <v>23</v>
      </c>
      <c r="H405" s="13" t="s">
        <v>24</v>
      </c>
      <c r="I405" s="13" t="s">
        <v>25</v>
      </c>
      <c r="J405" s="13">
        <v>3</v>
      </c>
      <c r="K405" s="21">
        <v>1116</v>
      </c>
      <c r="L405" s="21">
        <v>3348</v>
      </c>
      <c r="M405" s="23">
        <v>0.25</v>
      </c>
      <c r="N405" s="21">
        <v>837</v>
      </c>
      <c r="O405" s="21">
        <v>2511</v>
      </c>
      <c r="P405" s="13">
        <v>3.8</v>
      </c>
      <c r="Q405" s="13" t="s">
        <v>26</v>
      </c>
    </row>
    <row r="406" spans="1:17" x14ac:dyDescent="0.25">
      <c r="A406" s="13" t="s">
        <v>650</v>
      </c>
      <c r="B406" s="14">
        <v>46029</v>
      </c>
      <c r="C406" s="13" t="s">
        <v>40</v>
      </c>
      <c r="D406" s="13" t="s">
        <v>57</v>
      </c>
      <c r="E406" s="13" t="s">
        <v>78</v>
      </c>
      <c r="F406" s="13" t="s">
        <v>31</v>
      </c>
      <c r="G406" s="13" t="s">
        <v>32</v>
      </c>
      <c r="H406" s="13" t="s">
        <v>33</v>
      </c>
      <c r="I406" s="13" t="s">
        <v>98</v>
      </c>
      <c r="J406" s="13">
        <v>5</v>
      </c>
      <c r="K406" s="21">
        <v>695</v>
      </c>
      <c r="L406" s="21">
        <v>3475</v>
      </c>
      <c r="M406" s="23">
        <v>0</v>
      </c>
      <c r="N406" s="21">
        <v>0</v>
      </c>
      <c r="O406" s="21">
        <v>3475</v>
      </c>
      <c r="P406" s="13">
        <v>3.9</v>
      </c>
      <c r="Q406" s="13" t="s">
        <v>26</v>
      </c>
    </row>
    <row r="407" spans="1:17" x14ac:dyDescent="0.25">
      <c r="A407" s="13" t="s">
        <v>652</v>
      </c>
      <c r="B407" s="14">
        <v>46029</v>
      </c>
      <c r="C407" s="13" t="s">
        <v>63</v>
      </c>
      <c r="D407" s="13" t="s">
        <v>143</v>
      </c>
      <c r="E407" s="13" t="s">
        <v>82</v>
      </c>
      <c r="F407" s="13" t="s">
        <v>31</v>
      </c>
      <c r="G407" s="13" t="s">
        <v>32</v>
      </c>
      <c r="H407" s="13" t="s">
        <v>104</v>
      </c>
      <c r="I407" s="13" t="s">
        <v>25</v>
      </c>
      <c r="J407" s="13">
        <v>1</v>
      </c>
      <c r="K407" s="21">
        <v>1103</v>
      </c>
      <c r="L407" s="21">
        <v>1103</v>
      </c>
      <c r="M407" s="23">
        <v>0.15</v>
      </c>
      <c r="N407" s="21">
        <v>165</v>
      </c>
      <c r="O407" s="21">
        <v>938</v>
      </c>
      <c r="P407" s="13">
        <v>3.7</v>
      </c>
      <c r="Q407" s="13" t="s">
        <v>26</v>
      </c>
    </row>
    <row r="408" spans="1:17" x14ac:dyDescent="0.25">
      <c r="A408" s="13" t="s">
        <v>653</v>
      </c>
      <c r="B408" s="14">
        <v>46030</v>
      </c>
      <c r="C408" s="13" t="s">
        <v>91</v>
      </c>
      <c r="D408" s="13" t="s">
        <v>125</v>
      </c>
      <c r="E408" s="13" t="s">
        <v>48</v>
      </c>
      <c r="F408" s="13" t="s">
        <v>43</v>
      </c>
      <c r="G408" s="13" t="s">
        <v>23</v>
      </c>
      <c r="H408" s="13" t="s">
        <v>33</v>
      </c>
      <c r="I408" s="13" t="s">
        <v>98</v>
      </c>
      <c r="J408" s="13">
        <v>1</v>
      </c>
      <c r="K408" s="21">
        <v>1521</v>
      </c>
      <c r="L408" s="21">
        <v>1521</v>
      </c>
      <c r="M408" s="23">
        <v>0</v>
      </c>
      <c r="N408" s="21">
        <v>0</v>
      </c>
      <c r="O408" s="21">
        <v>1521</v>
      </c>
      <c r="P408" s="13">
        <v>5</v>
      </c>
      <c r="Q408" s="13" t="s">
        <v>26</v>
      </c>
    </row>
    <row r="409" spans="1:17" x14ac:dyDescent="0.25">
      <c r="A409" s="13" t="s">
        <v>655</v>
      </c>
      <c r="B409" s="14">
        <v>46030</v>
      </c>
      <c r="C409" s="13" t="s">
        <v>40</v>
      </c>
      <c r="D409" s="13" t="s">
        <v>68</v>
      </c>
      <c r="E409" s="13" t="s">
        <v>101</v>
      </c>
      <c r="F409" s="13" t="s">
        <v>43</v>
      </c>
      <c r="G409" s="13" t="s">
        <v>23</v>
      </c>
      <c r="H409" s="13" t="s">
        <v>33</v>
      </c>
      <c r="I409" s="13" t="s">
        <v>98</v>
      </c>
      <c r="J409" s="13">
        <v>2</v>
      </c>
      <c r="K409" s="21">
        <v>503</v>
      </c>
      <c r="L409" s="21">
        <v>1006</v>
      </c>
      <c r="M409" s="23">
        <v>0</v>
      </c>
      <c r="N409" s="21">
        <v>0</v>
      </c>
      <c r="O409" s="21">
        <v>1006</v>
      </c>
      <c r="P409" s="13">
        <v>4.3</v>
      </c>
      <c r="Q409" s="13" t="s">
        <v>26</v>
      </c>
    </row>
    <row r="410" spans="1:17" x14ac:dyDescent="0.25">
      <c r="A410" s="13" t="s">
        <v>656</v>
      </c>
      <c r="B410" s="14">
        <v>46030</v>
      </c>
      <c r="C410" s="13" t="s">
        <v>19</v>
      </c>
      <c r="D410" s="13" t="s">
        <v>121</v>
      </c>
      <c r="E410" s="13" t="s">
        <v>82</v>
      </c>
      <c r="F410" s="13" t="s">
        <v>31</v>
      </c>
      <c r="G410" s="13" t="s">
        <v>23</v>
      </c>
      <c r="H410" s="13" t="s">
        <v>33</v>
      </c>
      <c r="I410" s="13" t="s">
        <v>84</v>
      </c>
      <c r="J410" s="13">
        <v>5</v>
      </c>
      <c r="K410" s="21">
        <v>475</v>
      </c>
      <c r="L410" s="21">
        <v>2375</v>
      </c>
      <c r="M410" s="23">
        <v>0.05</v>
      </c>
      <c r="N410" s="21">
        <v>119</v>
      </c>
      <c r="O410" s="21">
        <v>2256</v>
      </c>
      <c r="P410" s="13">
        <v>4.0999999999999996</v>
      </c>
      <c r="Q410" s="13" t="s">
        <v>26</v>
      </c>
    </row>
    <row r="411" spans="1:17" x14ac:dyDescent="0.25">
      <c r="A411" s="13" t="s">
        <v>657</v>
      </c>
      <c r="B411" s="14">
        <v>46031</v>
      </c>
      <c r="C411" s="13" t="s">
        <v>63</v>
      </c>
      <c r="D411" s="13" t="s">
        <v>64</v>
      </c>
      <c r="E411" s="13" t="s">
        <v>37</v>
      </c>
      <c r="F411" s="13" t="s">
        <v>65</v>
      </c>
      <c r="G411" s="13" t="s">
        <v>32</v>
      </c>
      <c r="H411" s="13" t="s">
        <v>33</v>
      </c>
      <c r="I411" s="13" t="s">
        <v>98</v>
      </c>
      <c r="J411" s="13">
        <v>1</v>
      </c>
      <c r="K411" s="21">
        <v>1789</v>
      </c>
      <c r="L411" s="21">
        <v>1789</v>
      </c>
      <c r="M411" s="23">
        <v>0.25</v>
      </c>
      <c r="N411" s="21">
        <v>447</v>
      </c>
      <c r="O411" s="21">
        <v>1342</v>
      </c>
      <c r="P411" s="13">
        <v>4.7</v>
      </c>
      <c r="Q411" s="13" t="s">
        <v>26</v>
      </c>
    </row>
    <row r="412" spans="1:17" x14ac:dyDescent="0.25">
      <c r="A412" s="13" t="s">
        <v>659</v>
      </c>
      <c r="B412" s="14">
        <v>46031</v>
      </c>
      <c r="C412" s="13" t="s">
        <v>19</v>
      </c>
      <c r="D412" s="13" t="s">
        <v>121</v>
      </c>
      <c r="E412" s="13" t="s">
        <v>101</v>
      </c>
      <c r="F412" s="13" t="s">
        <v>22</v>
      </c>
      <c r="G412" s="13" t="s">
        <v>32</v>
      </c>
      <c r="H412" s="13" t="s">
        <v>33</v>
      </c>
      <c r="I412" s="13" t="s">
        <v>45</v>
      </c>
      <c r="J412" s="13">
        <v>2</v>
      </c>
      <c r="K412" s="21">
        <v>655</v>
      </c>
      <c r="L412" s="21">
        <v>1310</v>
      </c>
      <c r="M412" s="23">
        <v>0.3</v>
      </c>
      <c r="N412" s="21">
        <v>393</v>
      </c>
      <c r="O412" s="21">
        <v>917</v>
      </c>
      <c r="P412" s="13">
        <v>4.5999999999999996</v>
      </c>
      <c r="Q412" s="13" t="s">
        <v>26</v>
      </c>
    </row>
    <row r="413" spans="1:17" x14ac:dyDescent="0.25">
      <c r="A413" s="13" t="s">
        <v>660</v>
      </c>
      <c r="B413" s="14">
        <v>46032</v>
      </c>
      <c r="C413" s="13" t="s">
        <v>63</v>
      </c>
      <c r="D413" s="13" t="s">
        <v>64</v>
      </c>
      <c r="E413" s="13" t="s">
        <v>78</v>
      </c>
      <c r="F413" s="13" t="s">
        <v>130</v>
      </c>
      <c r="G413" s="13" t="s">
        <v>23</v>
      </c>
      <c r="H413" s="13" t="s">
        <v>33</v>
      </c>
      <c r="I413" s="13" t="s">
        <v>84</v>
      </c>
      <c r="J413" s="13">
        <v>2</v>
      </c>
      <c r="K413" s="21">
        <v>1625</v>
      </c>
      <c r="L413" s="21">
        <v>3250</v>
      </c>
      <c r="M413" s="23">
        <v>0.1</v>
      </c>
      <c r="N413" s="21">
        <v>325</v>
      </c>
      <c r="O413" s="21">
        <v>2925</v>
      </c>
      <c r="P413" s="13">
        <v>3.2</v>
      </c>
      <c r="Q413" s="13" t="s">
        <v>26</v>
      </c>
    </row>
    <row r="414" spans="1:17" x14ac:dyDescent="0.25">
      <c r="A414" s="13" t="s">
        <v>662</v>
      </c>
      <c r="B414" s="14">
        <v>46032</v>
      </c>
      <c r="C414" s="13" t="s">
        <v>40</v>
      </c>
      <c r="D414" s="13" t="s">
        <v>68</v>
      </c>
      <c r="E414" s="13" t="s">
        <v>48</v>
      </c>
      <c r="F414" s="13" t="s">
        <v>31</v>
      </c>
      <c r="G414" s="13" t="s">
        <v>23</v>
      </c>
      <c r="H414" s="13" t="s">
        <v>33</v>
      </c>
      <c r="I414" s="13" t="s">
        <v>98</v>
      </c>
      <c r="J414" s="13">
        <v>4</v>
      </c>
      <c r="K414" s="21">
        <v>1211</v>
      </c>
      <c r="L414" s="21">
        <v>4844</v>
      </c>
      <c r="M414" s="23">
        <v>0.3</v>
      </c>
      <c r="N414" s="21">
        <v>1453</v>
      </c>
      <c r="O414" s="21">
        <v>3391</v>
      </c>
      <c r="P414" s="13">
        <v>4.9000000000000004</v>
      </c>
      <c r="Q414" s="13" t="s">
        <v>26</v>
      </c>
    </row>
    <row r="415" spans="1:17" x14ac:dyDescent="0.25">
      <c r="A415" s="13" t="s">
        <v>663</v>
      </c>
      <c r="B415" s="14">
        <v>46032</v>
      </c>
      <c r="C415" s="13" t="s">
        <v>51</v>
      </c>
      <c r="D415" s="13" t="s">
        <v>52</v>
      </c>
      <c r="E415" s="13" t="s">
        <v>101</v>
      </c>
      <c r="F415" s="13" t="s">
        <v>79</v>
      </c>
      <c r="G415" s="13" t="s">
        <v>23</v>
      </c>
      <c r="H415" s="13" t="s">
        <v>33</v>
      </c>
      <c r="I415" s="13" t="s">
        <v>45</v>
      </c>
      <c r="J415" s="13">
        <v>1</v>
      </c>
      <c r="K415" s="21">
        <v>598</v>
      </c>
      <c r="L415" s="21">
        <v>598</v>
      </c>
      <c r="M415" s="23">
        <v>0.05</v>
      </c>
      <c r="N415" s="21">
        <v>30</v>
      </c>
      <c r="O415" s="21">
        <v>568</v>
      </c>
      <c r="P415" s="13">
        <v>3.8</v>
      </c>
      <c r="Q415" s="13" t="s">
        <v>26</v>
      </c>
    </row>
    <row r="416" spans="1:17" x14ac:dyDescent="0.25">
      <c r="A416" s="13" t="s">
        <v>664</v>
      </c>
      <c r="B416" s="14">
        <v>46033</v>
      </c>
      <c r="C416" s="13" t="s">
        <v>63</v>
      </c>
      <c r="D416" s="13" t="s">
        <v>64</v>
      </c>
      <c r="E416" s="13" t="s">
        <v>53</v>
      </c>
      <c r="F416" s="13" t="s">
        <v>31</v>
      </c>
      <c r="G416" s="13" t="s">
        <v>32</v>
      </c>
      <c r="H416" s="13" t="s">
        <v>24</v>
      </c>
      <c r="I416" s="13" t="s">
        <v>98</v>
      </c>
      <c r="J416" s="13">
        <v>1</v>
      </c>
      <c r="K416" s="21">
        <v>800</v>
      </c>
      <c r="L416" s="21">
        <v>800</v>
      </c>
      <c r="M416" s="23">
        <v>0.15</v>
      </c>
      <c r="N416" s="21">
        <v>120</v>
      </c>
      <c r="O416" s="21">
        <v>680</v>
      </c>
      <c r="P416" s="13">
        <v>3.8</v>
      </c>
      <c r="Q416" s="13" t="s">
        <v>26</v>
      </c>
    </row>
    <row r="417" spans="1:17" x14ac:dyDescent="0.25">
      <c r="A417" s="13" t="s">
        <v>666</v>
      </c>
      <c r="B417" s="14">
        <v>46033</v>
      </c>
      <c r="C417" s="13" t="s">
        <v>40</v>
      </c>
      <c r="D417" s="13" t="s">
        <v>57</v>
      </c>
      <c r="E417" s="13" t="s">
        <v>21</v>
      </c>
      <c r="F417" s="13" t="s">
        <v>72</v>
      </c>
      <c r="G417" s="13" t="s">
        <v>23</v>
      </c>
      <c r="H417" s="13" t="s">
        <v>33</v>
      </c>
      <c r="I417" s="13" t="s">
        <v>84</v>
      </c>
      <c r="J417" s="13">
        <v>2</v>
      </c>
      <c r="K417" s="21">
        <v>1133</v>
      </c>
      <c r="L417" s="21">
        <v>2266</v>
      </c>
      <c r="M417" s="23">
        <v>0.25</v>
      </c>
      <c r="N417" s="21">
        <v>566</v>
      </c>
      <c r="O417" s="21">
        <v>1700</v>
      </c>
      <c r="P417" s="13">
        <v>3.2</v>
      </c>
      <c r="Q417" s="13" t="s">
        <v>26</v>
      </c>
    </row>
    <row r="418" spans="1:17" x14ac:dyDescent="0.25">
      <c r="A418" s="13" t="s">
        <v>667</v>
      </c>
      <c r="B418" s="14">
        <v>46033</v>
      </c>
      <c r="C418" s="13" t="s">
        <v>91</v>
      </c>
      <c r="D418" s="13" t="s">
        <v>110</v>
      </c>
      <c r="E418" s="13" t="s">
        <v>53</v>
      </c>
      <c r="F418" s="13" t="s">
        <v>119</v>
      </c>
      <c r="G418" s="13" t="s">
        <v>32</v>
      </c>
      <c r="H418" s="13" t="s">
        <v>104</v>
      </c>
      <c r="I418" s="13" t="s">
        <v>84</v>
      </c>
      <c r="J418" s="13">
        <v>4</v>
      </c>
      <c r="K418" s="21">
        <v>2800</v>
      </c>
      <c r="L418" s="21">
        <v>11200</v>
      </c>
      <c r="M418" s="23">
        <v>0</v>
      </c>
      <c r="N418" s="21">
        <v>0</v>
      </c>
      <c r="O418" s="21">
        <v>11200</v>
      </c>
      <c r="P418" s="13">
        <v>4.8</v>
      </c>
      <c r="Q418" s="13" t="s">
        <v>26</v>
      </c>
    </row>
    <row r="419" spans="1:17" x14ac:dyDescent="0.25">
      <c r="A419" s="13" t="s">
        <v>668</v>
      </c>
      <c r="B419" s="14">
        <v>46033</v>
      </c>
      <c r="C419" s="13" t="s">
        <v>51</v>
      </c>
      <c r="D419" s="13" t="s">
        <v>97</v>
      </c>
      <c r="E419" s="13" t="s">
        <v>71</v>
      </c>
      <c r="F419" s="13" t="s">
        <v>43</v>
      </c>
      <c r="G419" s="13" t="s">
        <v>32</v>
      </c>
      <c r="H419" s="13" t="s">
        <v>104</v>
      </c>
      <c r="I419" s="13" t="s">
        <v>84</v>
      </c>
      <c r="J419" s="13">
        <v>3</v>
      </c>
      <c r="K419" s="21">
        <v>176</v>
      </c>
      <c r="L419" s="21">
        <v>528</v>
      </c>
      <c r="M419" s="23">
        <v>0.25</v>
      </c>
      <c r="N419" s="21">
        <v>132</v>
      </c>
      <c r="O419" s="21">
        <v>396</v>
      </c>
      <c r="P419" s="13">
        <v>3.3</v>
      </c>
      <c r="Q419" s="13" t="s">
        <v>75</v>
      </c>
    </row>
    <row r="420" spans="1:17" x14ac:dyDescent="0.25">
      <c r="A420" s="13" t="s">
        <v>669</v>
      </c>
      <c r="B420" s="14">
        <v>46034</v>
      </c>
      <c r="C420" s="13" t="s">
        <v>91</v>
      </c>
      <c r="D420" s="13" t="s">
        <v>110</v>
      </c>
      <c r="E420" s="13" t="s">
        <v>42</v>
      </c>
      <c r="F420" s="13" t="s">
        <v>79</v>
      </c>
      <c r="G420" s="13" t="s">
        <v>23</v>
      </c>
      <c r="H420" s="13" t="s">
        <v>24</v>
      </c>
      <c r="I420" s="13" t="s">
        <v>34</v>
      </c>
      <c r="J420" s="13">
        <v>1</v>
      </c>
      <c r="K420" s="21">
        <v>2944</v>
      </c>
      <c r="L420" s="21">
        <v>2944</v>
      </c>
      <c r="M420" s="23">
        <v>0.25</v>
      </c>
      <c r="N420" s="21">
        <v>736</v>
      </c>
      <c r="O420" s="21">
        <v>2208</v>
      </c>
      <c r="P420" s="13">
        <v>3.9</v>
      </c>
      <c r="Q420" s="13" t="s">
        <v>26</v>
      </c>
    </row>
    <row r="421" spans="1:17" x14ac:dyDescent="0.25">
      <c r="A421" s="13" t="s">
        <v>671</v>
      </c>
      <c r="B421" s="14">
        <v>46034</v>
      </c>
      <c r="C421" s="13" t="s">
        <v>63</v>
      </c>
      <c r="D421" s="13" t="s">
        <v>134</v>
      </c>
      <c r="E421" s="13" t="s">
        <v>78</v>
      </c>
      <c r="F421" s="13" t="s">
        <v>22</v>
      </c>
      <c r="G421" s="13" t="s">
        <v>44</v>
      </c>
      <c r="H421" s="13" t="s">
        <v>33</v>
      </c>
      <c r="I421" s="13" t="s">
        <v>84</v>
      </c>
      <c r="J421" s="13">
        <v>4</v>
      </c>
      <c r="K421" s="21">
        <v>904</v>
      </c>
      <c r="L421" s="21">
        <v>3616</v>
      </c>
      <c r="M421" s="23">
        <v>0.05</v>
      </c>
      <c r="N421" s="21">
        <v>181</v>
      </c>
      <c r="O421" s="21">
        <v>3435</v>
      </c>
      <c r="P421" s="13">
        <v>4</v>
      </c>
      <c r="Q421" s="13" t="s">
        <v>26</v>
      </c>
    </row>
    <row r="422" spans="1:17" x14ac:dyDescent="0.25">
      <c r="A422" s="13" t="s">
        <v>672</v>
      </c>
      <c r="B422" s="14">
        <v>46034</v>
      </c>
      <c r="C422" s="13" t="s">
        <v>28</v>
      </c>
      <c r="D422" s="13" t="s">
        <v>163</v>
      </c>
      <c r="E422" s="13" t="s">
        <v>53</v>
      </c>
      <c r="F422" s="13" t="s">
        <v>22</v>
      </c>
      <c r="G422" s="13" t="s">
        <v>23</v>
      </c>
      <c r="H422" s="13" t="s">
        <v>33</v>
      </c>
      <c r="I422" s="13" t="s">
        <v>25</v>
      </c>
      <c r="J422" s="13">
        <v>1</v>
      </c>
      <c r="K422" s="21">
        <v>1156</v>
      </c>
      <c r="L422" s="21">
        <v>1156</v>
      </c>
      <c r="M422" s="23">
        <v>0</v>
      </c>
      <c r="N422" s="21">
        <v>0</v>
      </c>
      <c r="O422" s="21">
        <v>1156</v>
      </c>
      <c r="P422" s="13">
        <v>4.9000000000000004</v>
      </c>
      <c r="Q422" s="13" t="s">
        <v>26</v>
      </c>
    </row>
    <row r="423" spans="1:17" x14ac:dyDescent="0.25">
      <c r="A423" s="13" t="s">
        <v>673</v>
      </c>
      <c r="B423" s="14">
        <v>46034</v>
      </c>
      <c r="C423" s="13" t="s">
        <v>51</v>
      </c>
      <c r="D423" s="13" t="s">
        <v>52</v>
      </c>
      <c r="E423" s="13" t="s">
        <v>60</v>
      </c>
      <c r="F423" s="13" t="s">
        <v>43</v>
      </c>
      <c r="G423" s="13" t="s">
        <v>23</v>
      </c>
      <c r="H423" s="13" t="s">
        <v>33</v>
      </c>
      <c r="I423" s="13" t="s">
        <v>84</v>
      </c>
      <c r="J423" s="13">
        <v>5</v>
      </c>
      <c r="K423" s="21">
        <v>661</v>
      </c>
      <c r="L423" s="21">
        <v>3305</v>
      </c>
      <c r="M423" s="23">
        <v>0.2</v>
      </c>
      <c r="N423" s="21">
        <v>661</v>
      </c>
      <c r="O423" s="21">
        <v>2644</v>
      </c>
      <c r="P423" s="13">
        <v>3.2</v>
      </c>
      <c r="Q423" s="13" t="s">
        <v>26</v>
      </c>
    </row>
    <row r="424" spans="1:17" x14ac:dyDescent="0.25">
      <c r="A424" s="13" t="s">
        <v>674</v>
      </c>
      <c r="B424" s="14">
        <v>46034</v>
      </c>
      <c r="C424" s="13" t="s">
        <v>51</v>
      </c>
      <c r="D424" s="13" t="s">
        <v>97</v>
      </c>
      <c r="E424" s="13" t="s">
        <v>48</v>
      </c>
      <c r="F424" s="13" t="s">
        <v>83</v>
      </c>
      <c r="G424" s="13" t="s">
        <v>44</v>
      </c>
      <c r="H424" s="13" t="s">
        <v>24</v>
      </c>
      <c r="I424" s="13" t="s">
        <v>45</v>
      </c>
      <c r="J424" s="13">
        <v>2</v>
      </c>
      <c r="K424" s="21">
        <v>458</v>
      </c>
      <c r="L424" s="21">
        <v>916</v>
      </c>
      <c r="M424" s="23">
        <v>0.1</v>
      </c>
      <c r="N424" s="21">
        <v>92</v>
      </c>
      <c r="O424" s="21">
        <v>824</v>
      </c>
      <c r="P424" s="13">
        <v>4.2</v>
      </c>
      <c r="Q424" s="13" t="s">
        <v>26</v>
      </c>
    </row>
    <row r="425" spans="1:17" x14ac:dyDescent="0.25">
      <c r="A425" s="13" t="s">
        <v>675</v>
      </c>
      <c r="B425" s="14">
        <v>46036</v>
      </c>
      <c r="C425" s="13" t="s">
        <v>51</v>
      </c>
      <c r="D425" s="13" t="s">
        <v>70</v>
      </c>
      <c r="E425" s="13" t="s">
        <v>78</v>
      </c>
      <c r="F425" s="13" t="s">
        <v>22</v>
      </c>
      <c r="G425" s="13" t="s">
        <v>23</v>
      </c>
      <c r="H425" s="13" t="s">
        <v>33</v>
      </c>
      <c r="I425" s="13" t="s">
        <v>98</v>
      </c>
      <c r="J425" s="13">
        <v>5</v>
      </c>
      <c r="K425" s="21">
        <v>226</v>
      </c>
      <c r="L425" s="21">
        <v>1130</v>
      </c>
      <c r="M425" s="23">
        <v>0</v>
      </c>
      <c r="N425" s="21">
        <v>0</v>
      </c>
      <c r="O425" s="21">
        <v>1130</v>
      </c>
      <c r="P425" s="13">
        <v>3.9</v>
      </c>
      <c r="Q425" s="13" t="s">
        <v>26</v>
      </c>
    </row>
    <row r="426" spans="1:17" x14ac:dyDescent="0.25">
      <c r="A426" s="13" t="s">
        <v>677</v>
      </c>
      <c r="B426" s="14">
        <v>46037</v>
      </c>
      <c r="C426" s="13" t="s">
        <v>19</v>
      </c>
      <c r="D426" s="13" t="s">
        <v>121</v>
      </c>
      <c r="E426" s="13" t="s">
        <v>78</v>
      </c>
      <c r="F426" s="13" t="s">
        <v>22</v>
      </c>
      <c r="G426" s="13" t="s">
        <v>23</v>
      </c>
      <c r="H426" s="13" t="s">
        <v>24</v>
      </c>
      <c r="I426" s="13" t="s">
        <v>34</v>
      </c>
      <c r="J426" s="13">
        <v>5</v>
      </c>
      <c r="K426" s="21">
        <v>538</v>
      </c>
      <c r="L426" s="21">
        <v>2690</v>
      </c>
      <c r="M426" s="23">
        <v>0.3</v>
      </c>
      <c r="N426" s="21">
        <v>807</v>
      </c>
      <c r="O426" s="21">
        <v>1883</v>
      </c>
      <c r="P426" s="13">
        <v>3.2</v>
      </c>
      <c r="Q426" s="13" t="s">
        <v>26</v>
      </c>
    </row>
    <row r="427" spans="1:17" x14ac:dyDescent="0.25">
      <c r="A427" s="13" t="s">
        <v>679</v>
      </c>
      <c r="B427" s="14">
        <v>46037</v>
      </c>
      <c r="C427" s="13" t="s">
        <v>91</v>
      </c>
      <c r="D427" s="13" t="s">
        <v>110</v>
      </c>
      <c r="E427" s="13" t="s">
        <v>30</v>
      </c>
      <c r="F427" s="13" t="s">
        <v>119</v>
      </c>
      <c r="G427" s="13" t="s">
        <v>23</v>
      </c>
      <c r="H427" s="13" t="s">
        <v>24</v>
      </c>
      <c r="I427" s="13" t="s">
        <v>25</v>
      </c>
      <c r="J427" s="13">
        <v>3</v>
      </c>
      <c r="K427" s="21">
        <v>1102</v>
      </c>
      <c r="L427" s="21">
        <v>3306</v>
      </c>
      <c r="M427" s="23">
        <v>0.25</v>
      </c>
      <c r="N427" s="21">
        <v>826</v>
      </c>
      <c r="O427" s="21">
        <v>2480</v>
      </c>
      <c r="P427" s="13">
        <v>4.3</v>
      </c>
      <c r="Q427" s="13" t="s">
        <v>26</v>
      </c>
    </row>
    <row r="428" spans="1:17" x14ac:dyDescent="0.25">
      <c r="A428" s="13" t="s">
        <v>680</v>
      </c>
      <c r="B428" s="14">
        <v>46038</v>
      </c>
      <c r="C428" s="13" t="s">
        <v>63</v>
      </c>
      <c r="D428" s="13" t="s">
        <v>64</v>
      </c>
      <c r="E428" s="13" t="s">
        <v>30</v>
      </c>
      <c r="F428" s="13" t="s">
        <v>43</v>
      </c>
      <c r="G428" s="13" t="s">
        <v>23</v>
      </c>
      <c r="H428" s="13" t="s">
        <v>24</v>
      </c>
      <c r="I428" s="13" t="s">
        <v>84</v>
      </c>
      <c r="J428" s="13">
        <v>5</v>
      </c>
      <c r="K428" s="21">
        <v>2005</v>
      </c>
      <c r="L428" s="21">
        <v>10025</v>
      </c>
      <c r="M428" s="23">
        <v>0.2</v>
      </c>
      <c r="N428" s="21">
        <v>2005</v>
      </c>
      <c r="O428" s="21">
        <v>8020</v>
      </c>
      <c r="P428" s="13">
        <v>4.7</v>
      </c>
      <c r="Q428" s="13" t="s">
        <v>26</v>
      </c>
    </row>
    <row r="429" spans="1:17" x14ac:dyDescent="0.25">
      <c r="A429" s="13" t="s">
        <v>682</v>
      </c>
      <c r="B429" s="14">
        <v>46039</v>
      </c>
      <c r="C429" s="13" t="s">
        <v>28</v>
      </c>
      <c r="D429" s="13" t="s">
        <v>95</v>
      </c>
      <c r="E429" s="13" t="s">
        <v>60</v>
      </c>
      <c r="F429" s="13" t="s">
        <v>72</v>
      </c>
      <c r="G429" s="13" t="s">
        <v>23</v>
      </c>
      <c r="H429" s="13" t="s">
        <v>24</v>
      </c>
      <c r="I429" s="13" t="s">
        <v>34</v>
      </c>
      <c r="J429" s="13">
        <v>4</v>
      </c>
      <c r="K429" s="21">
        <v>1110</v>
      </c>
      <c r="L429" s="21">
        <v>4440</v>
      </c>
      <c r="M429" s="23">
        <v>0</v>
      </c>
      <c r="N429" s="21">
        <v>0</v>
      </c>
      <c r="O429" s="21">
        <v>4440</v>
      </c>
      <c r="P429" s="13">
        <v>5</v>
      </c>
      <c r="Q429" s="13" t="s">
        <v>26</v>
      </c>
    </row>
    <row r="430" spans="1:17" x14ac:dyDescent="0.25">
      <c r="A430" s="13" t="s">
        <v>684</v>
      </c>
      <c r="B430" s="14">
        <v>46041</v>
      </c>
      <c r="C430" s="13" t="s">
        <v>63</v>
      </c>
      <c r="D430" s="13" t="s">
        <v>143</v>
      </c>
      <c r="E430" s="13" t="s">
        <v>37</v>
      </c>
      <c r="F430" s="13" t="s">
        <v>119</v>
      </c>
      <c r="G430" s="13" t="s">
        <v>32</v>
      </c>
      <c r="H430" s="13" t="s">
        <v>24</v>
      </c>
      <c r="I430" s="13" t="s">
        <v>45</v>
      </c>
      <c r="J430" s="13">
        <v>3</v>
      </c>
      <c r="K430" s="21">
        <v>2283</v>
      </c>
      <c r="L430" s="21">
        <v>6849</v>
      </c>
      <c r="M430" s="23">
        <v>0</v>
      </c>
      <c r="N430" s="21">
        <v>0</v>
      </c>
      <c r="O430" s="21">
        <v>6849</v>
      </c>
      <c r="P430" s="13">
        <v>3.8</v>
      </c>
      <c r="Q430" s="13" t="s">
        <v>26</v>
      </c>
    </row>
    <row r="431" spans="1:17" x14ac:dyDescent="0.25">
      <c r="A431" s="13" t="s">
        <v>686</v>
      </c>
      <c r="B431" s="14">
        <v>46041</v>
      </c>
      <c r="C431" s="13" t="s">
        <v>63</v>
      </c>
      <c r="D431" s="13" t="s">
        <v>134</v>
      </c>
      <c r="E431" s="13" t="s">
        <v>101</v>
      </c>
      <c r="F431" s="13" t="s">
        <v>22</v>
      </c>
      <c r="G431" s="13" t="s">
        <v>23</v>
      </c>
      <c r="H431" s="13" t="s">
        <v>24</v>
      </c>
      <c r="I431" s="13" t="s">
        <v>84</v>
      </c>
      <c r="J431" s="13">
        <v>1</v>
      </c>
      <c r="K431" s="21">
        <v>2398</v>
      </c>
      <c r="L431" s="21">
        <v>2398</v>
      </c>
      <c r="M431" s="23">
        <v>0.3</v>
      </c>
      <c r="N431" s="21">
        <v>719</v>
      </c>
      <c r="O431" s="21">
        <v>1679</v>
      </c>
      <c r="P431" s="13">
        <v>4</v>
      </c>
      <c r="Q431" s="13" t="s">
        <v>26</v>
      </c>
    </row>
    <row r="432" spans="1:17" x14ac:dyDescent="0.25">
      <c r="A432" s="13" t="s">
        <v>687</v>
      </c>
      <c r="B432" s="14">
        <v>46041</v>
      </c>
      <c r="C432" s="13" t="s">
        <v>19</v>
      </c>
      <c r="D432" s="13" t="s">
        <v>230</v>
      </c>
      <c r="E432" s="13" t="s">
        <v>48</v>
      </c>
      <c r="F432" s="13" t="s">
        <v>130</v>
      </c>
      <c r="G432" s="13" t="s">
        <v>23</v>
      </c>
      <c r="H432" s="13" t="s">
        <v>33</v>
      </c>
      <c r="I432" s="13" t="s">
        <v>84</v>
      </c>
      <c r="J432" s="13">
        <v>4</v>
      </c>
      <c r="K432" s="21">
        <v>826</v>
      </c>
      <c r="L432" s="21">
        <v>3304</v>
      </c>
      <c r="M432" s="23">
        <v>0.3</v>
      </c>
      <c r="N432" s="21">
        <v>991</v>
      </c>
      <c r="O432" s="21">
        <v>2313</v>
      </c>
      <c r="P432" s="13">
        <v>4.2</v>
      </c>
      <c r="Q432" s="13" t="s">
        <v>75</v>
      </c>
    </row>
    <row r="433" spans="1:17" x14ac:dyDescent="0.25">
      <c r="A433" s="13" t="s">
        <v>688</v>
      </c>
      <c r="B433" s="14">
        <v>46041</v>
      </c>
      <c r="C433" s="13" t="s">
        <v>63</v>
      </c>
      <c r="D433" s="13" t="s">
        <v>143</v>
      </c>
      <c r="E433" s="13" t="s">
        <v>101</v>
      </c>
      <c r="F433" s="13" t="s">
        <v>79</v>
      </c>
      <c r="G433" s="13" t="s">
        <v>32</v>
      </c>
      <c r="H433" s="13" t="s">
        <v>24</v>
      </c>
      <c r="I433" s="13" t="s">
        <v>84</v>
      </c>
      <c r="J433" s="13">
        <v>2</v>
      </c>
      <c r="K433" s="21">
        <v>1093</v>
      </c>
      <c r="L433" s="21">
        <v>2186</v>
      </c>
      <c r="M433" s="23">
        <v>0.1</v>
      </c>
      <c r="N433" s="21">
        <v>219</v>
      </c>
      <c r="O433" s="21">
        <v>1967</v>
      </c>
      <c r="P433" s="13">
        <v>4.9000000000000004</v>
      </c>
      <c r="Q433" s="13" t="s">
        <v>26</v>
      </c>
    </row>
    <row r="434" spans="1:17" x14ac:dyDescent="0.25">
      <c r="A434" s="13" t="s">
        <v>689</v>
      </c>
      <c r="B434" s="14">
        <v>46043</v>
      </c>
      <c r="C434" s="13" t="s">
        <v>28</v>
      </c>
      <c r="D434" s="13" t="s">
        <v>95</v>
      </c>
      <c r="E434" s="13" t="s">
        <v>60</v>
      </c>
      <c r="F434" s="13" t="s">
        <v>119</v>
      </c>
      <c r="G434" s="13" t="s">
        <v>32</v>
      </c>
      <c r="H434" s="13" t="s">
        <v>33</v>
      </c>
      <c r="I434" s="13" t="s">
        <v>84</v>
      </c>
      <c r="J434" s="13">
        <v>5</v>
      </c>
      <c r="K434" s="21">
        <v>216</v>
      </c>
      <c r="L434" s="21">
        <v>1080</v>
      </c>
      <c r="M434" s="23">
        <v>0.25</v>
      </c>
      <c r="N434" s="21">
        <v>270</v>
      </c>
      <c r="O434" s="21">
        <v>810</v>
      </c>
      <c r="P434" s="13">
        <v>3.3</v>
      </c>
      <c r="Q434" s="13" t="s">
        <v>26</v>
      </c>
    </row>
    <row r="435" spans="1:17" x14ac:dyDescent="0.25">
      <c r="A435" s="13" t="s">
        <v>691</v>
      </c>
      <c r="B435" s="14">
        <v>46044</v>
      </c>
      <c r="C435" s="13" t="s">
        <v>51</v>
      </c>
      <c r="D435" s="13" t="s">
        <v>97</v>
      </c>
      <c r="E435" s="13" t="s">
        <v>101</v>
      </c>
      <c r="F435" s="13" t="s">
        <v>79</v>
      </c>
      <c r="G435" s="13" t="s">
        <v>23</v>
      </c>
      <c r="H435" s="13" t="s">
        <v>104</v>
      </c>
      <c r="I435" s="13" t="s">
        <v>25</v>
      </c>
      <c r="J435" s="13">
        <v>3</v>
      </c>
      <c r="K435" s="21">
        <v>433</v>
      </c>
      <c r="L435" s="21">
        <v>1299</v>
      </c>
      <c r="M435" s="23">
        <v>0.15</v>
      </c>
      <c r="N435" s="21">
        <v>195</v>
      </c>
      <c r="O435" s="21">
        <v>1104</v>
      </c>
      <c r="P435" s="13">
        <v>3.2</v>
      </c>
      <c r="Q435" s="13" t="s">
        <v>26</v>
      </c>
    </row>
    <row r="436" spans="1:17" x14ac:dyDescent="0.25">
      <c r="A436" s="13" t="s">
        <v>693</v>
      </c>
      <c r="B436" s="14">
        <v>46044</v>
      </c>
      <c r="C436" s="13" t="s">
        <v>28</v>
      </c>
      <c r="D436" s="13" t="s">
        <v>163</v>
      </c>
      <c r="E436" s="13" t="s">
        <v>71</v>
      </c>
      <c r="F436" s="13" t="s">
        <v>22</v>
      </c>
      <c r="G436" s="13" t="s">
        <v>23</v>
      </c>
      <c r="H436" s="13" t="s">
        <v>24</v>
      </c>
      <c r="I436" s="13" t="s">
        <v>98</v>
      </c>
      <c r="J436" s="13">
        <v>4</v>
      </c>
      <c r="K436" s="21">
        <v>1226</v>
      </c>
      <c r="L436" s="21">
        <v>4904</v>
      </c>
      <c r="M436" s="23">
        <v>0.1</v>
      </c>
      <c r="N436" s="21">
        <v>490</v>
      </c>
      <c r="O436" s="21">
        <v>4414</v>
      </c>
      <c r="P436" s="13">
        <v>4.2</v>
      </c>
      <c r="Q436" s="13" t="s">
        <v>75</v>
      </c>
    </row>
    <row r="437" spans="1:17" x14ac:dyDescent="0.25">
      <c r="A437" s="13" t="s">
        <v>694</v>
      </c>
      <c r="B437" s="14">
        <v>46045</v>
      </c>
      <c r="C437" s="13" t="s">
        <v>19</v>
      </c>
      <c r="D437" s="13" t="s">
        <v>128</v>
      </c>
      <c r="E437" s="13" t="s">
        <v>82</v>
      </c>
      <c r="F437" s="13" t="s">
        <v>130</v>
      </c>
      <c r="G437" s="13" t="s">
        <v>23</v>
      </c>
      <c r="H437" s="13" t="s">
        <v>33</v>
      </c>
      <c r="I437" s="13" t="s">
        <v>84</v>
      </c>
      <c r="J437" s="13">
        <v>2</v>
      </c>
      <c r="K437" s="21">
        <v>773</v>
      </c>
      <c r="L437" s="21">
        <v>1546</v>
      </c>
      <c r="M437" s="23">
        <v>0.2</v>
      </c>
      <c r="N437" s="21">
        <v>309</v>
      </c>
      <c r="O437" s="21">
        <v>1237</v>
      </c>
      <c r="P437" s="13">
        <v>4.0999999999999996</v>
      </c>
      <c r="Q437" s="13" t="s">
        <v>26</v>
      </c>
    </row>
    <row r="438" spans="1:17" x14ac:dyDescent="0.25">
      <c r="A438" s="13" t="s">
        <v>696</v>
      </c>
      <c r="B438" s="14">
        <v>46045</v>
      </c>
      <c r="C438" s="13" t="s">
        <v>19</v>
      </c>
      <c r="D438" s="13" t="s">
        <v>128</v>
      </c>
      <c r="E438" s="13" t="s">
        <v>155</v>
      </c>
      <c r="F438" s="13" t="s">
        <v>61</v>
      </c>
      <c r="G438" s="13" t="s">
        <v>32</v>
      </c>
      <c r="H438" s="13" t="s">
        <v>104</v>
      </c>
      <c r="I438" s="13" t="s">
        <v>98</v>
      </c>
      <c r="J438" s="13">
        <v>5</v>
      </c>
      <c r="K438" s="21">
        <v>703</v>
      </c>
      <c r="L438" s="21">
        <v>3515</v>
      </c>
      <c r="M438" s="23">
        <v>0.25</v>
      </c>
      <c r="N438" s="21">
        <v>879</v>
      </c>
      <c r="O438" s="21">
        <v>2636</v>
      </c>
      <c r="P438" s="13">
        <v>3.8</v>
      </c>
      <c r="Q438" s="13" t="s">
        <v>26</v>
      </c>
    </row>
    <row r="439" spans="1:17" x14ac:dyDescent="0.25">
      <c r="A439" s="13" t="s">
        <v>697</v>
      </c>
      <c r="B439" s="14">
        <v>46046</v>
      </c>
      <c r="C439" s="13" t="s">
        <v>91</v>
      </c>
      <c r="D439" s="13" t="s">
        <v>110</v>
      </c>
      <c r="E439" s="13" t="s">
        <v>60</v>
      </c>
      <c r="F439" s="13" t="s">
        <v>72</v>
      </c>
      <c r="G439" s="13" t="s">
        <v>32</v>
      </c>
      <c r="H439" s="13" t="s">
        <v>33</v>
      </c>
      <c r="I439" s="13" t="s">
        <v>98</v>
      </c>
      <c r="J439" s="13">
        <v>4</v>
      </c>
      <c r="K439" s="21">
        <v>1318</v>
      </c>
      <c r="L439" s="21">
        <v>5272</v>
      </c>
      <c r="M439" s="23">
        <v>0.25</v>
      </c>
      <c r="N439" s="21">
        <v>1318</v>
      </c>
      <c r="O439" s="21">
        <v>3954</v>
      </c>
      <c r="P439" s="13">
        <v>4.4000000000000004</v>
      </c>
      <c r="Q439" s="13" t="s">
        <v>26</v>
      </c>
    </row>
    <row r="440" spans="1:17" x14ac:dyDescent="0.25">
      <c r="A440" s="13" t="s">
        <v>699</v>
      </c>
      <c r="B440" s="14">
        <v>46046</v>
      </c>
      <c r="C440" s="13" t="s">
        <v>91</v>
      </c>
      <c r="D440" s="13" t="s">
        <v>125</v>
      </c>
      <c r="E440" s="13" t="s">
        <v>155</v>
      </c>
      <c r="F440" s="13" t="s">
        <v>79</v>
      </c>
      <c r="G440" s="13" t="s">
        <v>32</v>
      </c>
      <c r="H440" s="13" t="s">
        <v>24</v>
      </c>
      <c r="I440" s="13" t="s">
        <v>98</v>
      </c>
      <c r="J440" s="13">
        <v>3</v>
      </c>
      <c r="K440" s="21">
        <v>2226</v>
      </c>
      <c r="L440" s="21">
        <v>6678</v>
      </c>
      <c r="M440" s="23">
        <v>0.25</v>
      </c>
      <c r="N440" s="21">
        <v>1670</v>
      </c>
      <c r="O440" s="21">
        <v>5008</v>
      </c>
      <c r="P440" s="13">
        <v>4.4000000000000004</v>
      </c>
      <c r="Q440" s="13" t="s">
        <v>26</v>
      </c>
    </row>
    <row r="441" spans="1:17" x14ac:dyDescent="0.25">
      <c r="A441" s="13" t="s">
        <v>700</v>
      </c>
      <c r="B441" s="14">
        <v>46046</v>
      </c>
      <c r="C441" s="13" t="s">
        <v>40</v>
      </c>
      <c r="D441" s="13" t="s">
        <v>113</v>
      </c>
      <c r="E441" s="13" t="s">
        <v>78</v>
      </c>
      <c r="F441" s="13" t="s">
        <v>43</v>
      </c>
      <c r="G441" s="13" t="s">
        <v>23</v>
      </c>
      <c r="H441" s="13" t="s">
        <v>33</v>
      </c>
      <c r="I441" s="13" t="s">
        <v>25</v>
      </c>
      <c r="J441" s="13">
        <v>2</v>
      </c>
      <c r="K441" s="21">
        <v>398</v>
      </c>
      <c r="L441" s="21">
        <v>796</v>
      </c>
      <c r="M441" s="23">
        <v>0.3</v>
      </c>
      <c r="N441" s="21">
        <v>239</v>
      </c>
      <c r="O441" s="21">
        <v>557</v>
      </c>
      <c r="P441" s="13">
        <v>4</v>
      </c>
      <c r="Q441" s="13" t="s">
        <v>26</v>
      </c>
    </row>
    <row r="442" spans="1:17" x14ac:dyDescent="0.25">
      <c r="A442" s="13" t="s">
        <v>701</v>
      </c>
      <c r="B442" s="14">
        <v>46048</v>
      </c>
      <c r="C442" s="13" t="s">
        <v>28</v>
      </c>
      <c r="D442" s="13" t="s">
        <v>163</v>
      </c>
      <c r="E442" s="13" t="s">
        <v>60</v>
      </c>
      <c r="F442" s="13" t="s">
        <v>61</v>
      </c>
      <c r="G442" s="13" t="s">
        <v>32</v>
      </c>
      <c r="H442" s="13" t="s">
        <v>33</v>
      </c>
      <c r="I442" s="13" t="s">
        <v>84</v>
      </c>
      <c r="J442" s="13">
        <v>1</v>
      </c>
      <c r="K442" s="21">
        <v>521</v>
      </c>
      <c r="L442" s="21">
        <v>521</v>
      </c>
      <c r="M442" s="23">
        <v>0.15</v>
      </c>
      <c r="N442" s="21">
        <v>78</v>
      </c>
      <c r="O442" s="21">
        <v>443</v>
      </c>
      <c r="P442" s="13">
        <v>3.4</v>
      </c>
      <c r="Q442" s="13" t="s">
        <v>26</v>
      </c>
    </row>
    <row r="443" spans="1:17" x14ac:dyDescent="0.25">
      <c r="A443" s="13" t="s">
        <v>703</v>
      </c>
      <c r="B443" s="14">
        <v>46049</v>
      </c>
      <c r="C443" s="13" t="s">
        <v>91</v>
      </c>
      <c r="D443" s="13" t="s">
        <v>92</v>
      </c>
      <c r="E443" s="13" t="s">
        <v>60</v>
      </c>
      <c r="F443" s="13" t="s">
        <v>72</v>
      </c>
      <c r="G443" s="13" t="s">
        <v>23</v>
      </c>
      <c r="H443" s="13" t="s">
        <v>33</v>
      </c>
      <c r="I443" s="13" t="s">
        <v>34</v>
      </c>
      <c r="J443" s="13">
        <v>2</v>
      </c>
      <c r="K443" s="21">
        <v>1172</v>
      </c>
      <c r="L443" s="21">
        <v>2344</v>
      </c>
      <c r="M443" s="23">
        <v>0.05</v>
      </c>
      <c r="N443" s="21">
        <v>117</v>
      </c>
      <c r="O443" s="21">
        <v>2227</v>
      </c>
      <c r="P443" s="13">
        <v>4.9000000000000004</v>
      </c>
      <c r="Q443" s="13" t="s">
        <v>26</v>
      </c>
    </row>
    <row r="444" spans="1:17" x14ac:dyDescent="0.25">
      <c r="A444" s="13" t="s">
        <v>705</v>
      </c>
      <c r="B444" s="14">
        <v>46049</v>
      </c>
      <c r="C444" s="13" t="s">
        <v>63</v>
      </c>
      <c r="D444" s="13" t="s">
        <v>134</v>
      </c>
      <c r="E444" s="13" t="s">
        <v>82</v>
      </c>
      <c r="F444" s="13" t="s">
        <v>130</v>
      </c>
      <c r="G444" s="13" t="s">
        <v>44</v>
      </c>
      <c r="H444" s="13" t="s">
        <v>104</v>
      </c>
      <c r="I444" s="13" t="s">
        <v>84</v>
      </c>
      <c r="J444" s="13">
        <v>2</v>
      </c>
      <c r="K444" s="21">
        <v>923</v>
      </c>
      <c r="L444" s="21">
        <v>1846</v>
      </c>
      <c r="M444" s="23">
        <v>0.25</v>
      </c>
      <c r="N444" s="21">
        <v>462</v>
      </c>
      <c r="O444" s="21">
        <v>1384</v>
      </c>
      <c r="P444" s="13">
        <v>3.8</v>
      </c>
      <c r="Q444" s="13" t="s">
        <v>26</v>
      </c>
    </row>
    <row r="445" spans="1:17" x14ac:dyDescent="0.25">
      <c r="A445" s="13" t="s">
        <v>706</v>
      </c>
      <c r="B445" s="14">
        <v>46050</v>
      </c>
      <c r="C445" s="13" t="s">
        <v>28</v>
      </c>
      <c r="D445" s="13" t="s">
        <v>29</v>
      </c>
      <c r="E445" s="13" t="s">
        <v>42</v>
      </c>
      <c r="F445" s="13" t="s">
        <v>65</v>
      </c>
      <c r="G445" s="13" t="s">
        <v>23</v>
      </c>
      <c r="H445" s="13" t="s">
        <v>33</v>
      </c>
      <c r="I445" s="13" t="s">
        <v>98</v>
      </c>
      <c r="J445" s="13">
        <v>2</v>
      </c>
      <c r="K445" s="21">
        <v>888</v>
      </c>
      <c r="L445" s="21">
        <v>1776</v>
      </c>
      <c r="M445" s="23">
        <v>0.15</v>
      </c>
      <c r="N445" s="21">
        <v>266</v>
      </c>
      <c r="O445" s="21">
        <v>1510</v>
      </c>
      <c r="P445" s="13">
        <v>4.2</v>
      </c>
      <c r="Q445" s="13" t="s">
        <v>26</v>
      </c>
    </row>
    <row r="446" spans="1:17" x14ac:dyDescent="0.25">
      <c r="A446" s="13" t="s">
        <v>708</v>
      </c>
      <c r="B446" s="14">
        <v>46050</v>
      </c>
      <c r="C446" s="13" t="s">
        <v>63</v>
      </c>
      <c r="D446" s="13" t="s">
        <v>143</v>
      </c>
      <c r="E446" s="13" t="s">
        <v>82</v>
      </c>
      <c r="F446" s="13" t="s">
        <v>61</v>
      </c>
      <c r="G446" s="13" t="s">
        <v>32</v>
      </c>
      <c r="H446" s="13" t="s">
        <v>24</v>
      </c>
      <c r="I446" s="13" t="s">
        <v>45</v>
      </c>
      <c r="J446" s="13">
        <v>1</v>
      </c>
      <c r="K446" s="21">
        <v>2139</v>
      </c>
      <c r="L446" s="21">
        <v>2139</v>
      </c>
      <c r="M446" s="23">
        <v>0.3</v>
      </c>
      <c r="N446" s="21">
        <v>642</v>
      </c>
      <c r="O446" s="21">
        <v>1497</v>
      </c>
      <c r="P446" s="13">
        <v>4.8</v>
      </c>
      <c r="Q446" s="13" t="s">
        <v>26</v>
      </c>
    </row>
    <row r="447" spans="1:17" x14ac:dyDescent="0.25">
      <c r="A447" s="13" t="s">
        <v>709</v>
      </c>
      <c r="B447" s="14">
        <v>46050</v>
      </c>
      <c r="C447" s="13" t="s">
        <v>19</v>
      </c>
      <c r="D447" s="13" t="s">
        <v>121</v>
      </c>
      <c r="E447" s="13" t="s">
        <v>60</v>
      </c>
      <c r="F447" s="13" t="s">
        <v>72</v>
      </c>
      <c r="G447" s="13" t="s">
        <v>23</v>
      </c>
      <c r="H447" s="13" t="s">
        <v>24</v>
      </c>
      <c r="I447" s="13" t="s">
        <v>45</v>
      </c>
      <c r="J447" s="13">
        <v>3</v>
      </c>
      <c r="K447" s="21">
        <v>333</v>
      </c>
      <c r="L447" s="21">
        <v>999</v>
      </c>
      <c r="M447" s="23">
        <v>0.1</v>
      </c>
      <c r="N447" s="21">
        <v>100</v>
      </c>
      <c r="O447" s="21">
        <v>899</v>
      </c>
      <c r="P447" s="13">
        <v>3.5</v>
      </c>
      <c r="Q447" s="13" t="s">
        <v>26</v>
      </c>
    </row>
    <row r="448" spans="1:17" x14ac:dyDescent="0.25">
      <c r="A448" s="13" t="s">
        <v>710</v>
      </c>
      <c r="B448" s="14">
        <v>46050</v>
      </c>
      <c r="C448" s="13" t="s">
        <v>28</v>
      </c>
      <c r="D448" s="13" t="s">
        <v>95</v>
      </c>
      <c r="E448" s="13" t="s">
        <v>101</v>
      </c>
      <c r="F448" s="13" t="s">
        <v>43</v>
      </c>
      <c r="G448" s="13" t="s">
        <v>23</v>
      </c>
      <c r="H448" s="13" t="s">
        <v>33</v>
      </c>
      <c r="I448" s="13" t="s">
        <v>34</v>
      </c>
      <c r="J448" s="13">
        <v>2</v>
      </c>
      <c r="K448" s="21">
        <v>1056</v>
      </c>
      <c r="L448" s="21">
        <v>2112</v>
      </c>
      <c r="M448" s="23">
        <v>0</v>
      </c>
      <c r="N448" s="21">
        <v>0</v>
      </c>
      <c r="O448" s="21">
        <v>2112</v>
      </c>
      <c r="P448" s="13">
        <v>3.4</v>
      </c>
      <c r="Q448" s="13" t="s">
        <v>26</v>
      </c>
    </row>
    <row r="449" spans="1:17" x14ac:dyDescent="0.25">
      <c r="A449" s="13" t="s">
        <v>711</v>
      </c>
      <c r="B449" s="14">
        <v>46051</v>
      </c>
      <c r="C449" s="13" t="s">
        <v>63</v>
      </c>
      <c r="D449" s="13" t="s">
        <v>143</v>
      </c>
      <c r="E449" s="13" t="s">
        <v>155</v>
      </c>
      <c r="F449" s="13" t="s">
        <v>61</v>
      </c>
      <c r="G449" s="13" t="s">
        <v>23</v>
      </c>
      <c r="H449" s="13" t="s">
        <v>33</v>
      </c>
      <c r="I449" s="13" t="s">
        <v>45</v>
      </c>
      <c r="J449" s="13">
        <v>4</v>
      </c>
      <c r="K449" s="21">
        <v>692</v>
      </c>
      <c r="L449" s="21">
        <v>2768</v>
      </c>
      <c r="M449" s="23">
        <v>0.2</v>
      </c>
      <c r="N449" s="21">
        <v>554</v>
      </c>
      <c r="O449" s="21">
        <v>2214</v>
      </c>
      <c r="P449" s="13">
        <v>4.3</v>
      </c>
      <c r="Q449" s="13" t="s">
        <v>26</v>
      </c>
    </row>
    <row r="450" spans="1:17" x14ac:dyDescent="0.25">
      <c r="A450" s="13" t="s">
        <v>713</v>
      </c>
      <c r="B450" s="14">
        <v>46051</v>
      </c>
      <c r="C450" s="13" t="s">
        <v>40</v>
      </c>
      <c r="D450" s="13" t="s">
        <v>68</v>
      </c>
      <c r="E450" s="13" t="s">
        <v>101</v>
      </c>
      <c r="F450" s="13" t="s">
        <v>31</v>
      </c>
      <c r="G450" s="13" t="s">
        <v>23</v>
      </c>
      <c r="H450" s="13" t="s">
        <v>33</v>
      </c>
      <c r="I450" s="13" t="s">
        <v>34</v>
      </c>
      <c r="J450" s="13">
        <v>5</v>
      </c>
      <c r="K450" s="21">
        <v>901</v>
      </c>
      <c r="L450" s="21">
        <v>4505</v>
      </c>
      <c r="M450" s="23">
        <v>0.1</v>
      </c>
      <c r="N450" s="21">
        <v>450</v>
      </c>
      <c r="O450" s="21">
        <v>4055</v>
      </c>
      <c r="P450" s="13">
        <v>4.7</v>
      </c>
      <c r="Q450" s="13" t="s">
        <v>26</v>
      </c>
    </row>
    <row r="451" spans="1:17" x14ac:dyDescent="0.25">
      <c r="A451" s="13" t="s">
        <v>714</v>
      </c>
      <c r="B451" s="14">
        <v>46052</v>
      </c>
      <c r="C451" s="13" t="s">
        <v>91</v>
      </c>
      <c r="D451" s="13" t="s">
        <v>110</v>
      </c>
      <c r="E451" s="13" t="s">
        <v>78</v>
      </c>
      <c r="F451" s="13" t="s">
        <v>65</v>
      </c>
      <c r="G451" s="13" t="s">
        <v>23</v>
      </c>
      <c r="H451" s="13" t="s">
        <v>33</v>
      </c>
      <c r="I451" s="13" t="s">
        <v>45</v>
      </c>
      <c r="J451" s="13">
        <v>5</v>
      </c>
      <c r="K451" s="21">
        <v>2519</v>
      </c>
      <c r="L451" s="21">
        <v>12595</v>
      </c>
      <c r="M451" s="23">
        <v>0.1</v>
      </c>
      <c r="N451" s="21">
        <v>1260</v>
      </c>
      <c r="O451" s="21">
        <v>11335</v>
      </c>
      <c r="P451" s="13">
        <v>4.9000000000000004</v>
      </c>
      <c r="Q451" s="13" t="s">
        <v>26</v>
      </c>
    </row>
    <row r="452" spans="1:17" x14ac:dyDescent="0.25">
      <c r="A452" s="13" t="s">
        <v>716</v>
      </c>
      <c r="B452" s="14">
        <v>46053</v>
      </c>
      <c r="C452" s="13" t="s">
        <v>40</v>
      </c>
      <c r="D452" s="13" t="s">
        <v>47</v>
      </c>
      <c r="E452" s="13" t="s">
        <v>71</v>
      </c>
      <c r="F452" s="13" t="s">
        <v>61</v>
      </c>
      <c r="G452" s="13" t="s">
        <v>32</v>
      </c>
      <c r="H452" s="13" t="s">
        <v>24</v>
      </c>
      <c r="I452" s="13" t="s">
        <v>84</v>
      </c>
      <c r="J452" s="13">
        <v>2</v>
      </c>
      <c r="K452" s="21">
        <v>1344</v>
      </c>
      <c r="L452" s="21">
        <v>2688</v>
      </c>
      <c r="M452" s="23">
        <v>0.1</v>
      </c>
      <c r="N452" s="21">
        <v>269</v>
      </c>
      <c r="O452" s="21">
        <v>2419</v>
      </c>
      <c r="P452" s="13">
        <v>4</v>
      </c>
      <c r="Q452" s="13" t="s">
        <v>26</v>
      </c>
    </row>
    <row r="453" spans="1:17" x14ac:dyDescent="0.25">
      <c r="A453" s="13" t="s">
        <v>718</v>
      </c>
      <c r="B453" s="14">
        <v>46053</v>
      </c>
      <c r="C453" s="13" t="s">
        <v>91</v>
      </c>
      <c r="D453" s="13" t="s">
        <v>125</v>
      </c>
      <c r="E453" s="13" t="s">
        <v>60</v>
      </c>
      <c r="F453" s="13" t="s">
        <v>43</v>
      </c>
      <c r="G453" s="13" t="s">
        <v>23</v>
      </c>
      <c r="H453" s="13" t="s">
        <v>24</v>
      </c>
      <c r="I453" s="13" t="s">
        <v>98</v>
      </c>
      <c r="J453" s="13">
        <v>2</v>
      </c>
      <c r="K453" s="21">
        <v>1357</v>
      </c>
      <c r="L453" s="21">
        <v>2714</v>
      </c>
      <c r="M453" s="23">
        <v>0.25</v>
      </c>
      <c r="N453" s="21">
        <v>678</v>
      </c>
      <c r="O453" s="21">
        <v>2036</v>
      </c>
      <c r="P453" s="13">
        <v>3.6</v>
      </c>
      <c r="Q453" s="13" t="s">
        <v>26</v>
      </c>
    </row>
    <row r="454" spans="1:17" x14ac:dyDescent="0.25">
      <c r="A454" s="13" t="s">
        <v>719</v>
      </c>
      <c r="B454" s="14">
        <v>46055</v>
      </c>
      <c r="C454" s="13" t="s">
        <v>19</v>
      </c>
      <c r="D454" s="13" t="s">
        <v>20</v>
      </c>
      <c r="E454" s="13" t="s">
        <v>71</v>
      </c>
      <c r="F454" s="13" t="s">
        <v>79</v>
      </c>
      <c r="G454" s="13" t="s">
        <v>23</v>
      </c>
      <c r="H454" s="13" t="s">
        <v>24</v>
      </c>
      <c r="I454" s="13" t="s">
        <v>45</v>
      </c>
      <c r="J454" s="13">
        <v>2</v>
      </c>
      <c r="K454" s="21">
        <v>500</v>
      </c>
      <c r="L454" s="21">
        <v>1000</v>
      </c>
      <c r="M454" s="23">
        <v>0.3</v>
      </c>
      <c r="N454" s="21">
        <v>300</v>
      </c>
      <c r="O454" s="21">
        <v>700</v>
      </c>
      <c r="P454" s="13">
        <v>4.2</v>
      </c>
      <c r="Q454" s="13" t="s">
        <v>26</v>
      </c>
    </row>
    <row r="455" spans="1:17" x14ac:dyDescent="0.25">
      <c r="A455" s="13" t="s">
        <v>721</v>
      </c>
      <c r="B455" s="14">
        <v>46055</v>
      </c>
      <c r="C455" s="13" t="s">
        <v>63</v>
      </c>
      <c r="D455" s="13" t="s">
        <v>134</v>
      </c>
      <c r="E455" s="13" t="s">
        <v>155</v>
      </c>
      <c r="F455" s="13" t="s">
        <v>43</v>
      </c>
      <c r="G455" s="13" t="s">
        <v>23</v>
      </c>
      <c r="H455" s="13" t="s">
        <v>104</v>
      </c>
      <c r="I455" s="13" t="s">
        <v>45</v>
      </c>
      <c r="J455" s="13">
        <v>5</v>
      </c>
      <c r="K455" s="21">
        <v>1241</v>
      </c>
      <c r="L455" s="21">
        <v>6205</v>
      </c>
      <c r="M455" s="23">
        <v>0.2</v>
      </c>
      <c r="N455" s="21">
        <v>1241</v>
      </c>
      <c r="O455" s="21">
        <v>4964</v>
      </c>
      <c r="P455" s="13">
        <v>4.9000000000000004</v>
      </c>
      <c r="Q455" s="13" t="s">
        <v>26</v>
      </c>
    </row>
    <row r="456" spans="1:17" x14ac:dyDescent="0.25">
      <c r="A456" s="13" t="s">
        <v>722</v>
      </c>
      <c r="B456" s="14">
        <v>46056</v>
      </c>
      <c r="C456" s="13" t="s">
        <v>28</v>
      </c>
      <c r="D456" s="13" t="s">
        <v>163</v>
      </c>
      <c r="E456" s="13" t="s">
        <v>78</v>
      </c>
      <c r="F456" s="13" t="s">
        <v>72</v>
      </c>
      <c r="G456" s="13" t="s">
        <v>23</v>
      </c>
      <c r="H456" s="13" t="s">
        <v>33</v>
      </c>
      <c r="I456" s="13" t="s">
        <v>45</v>
      </c>
      <c r="J456" s="13">
        <v>1</v>
      </c>
      <c r="K456" s="21">
        <v>415</v>
      </c>
      <c r="L456" s="21">
        <v>415</v>
      </c>
      <c r="M456" s="23">
        <v>0</v>
      </c>
      <c r="N456" s="21">
        <v>0</v>
      </c>
      <c r="O456" s="21">
        <v>415</v>
      </c>
      <c r="P456" s="13">
        <v>4.5999999999999996</v>
      </c>
      <c r="Q456" s="13" t="s">
        <v>26</v>
      </c>
    </row>
    <row r="457" spans="1:17" x14ac:dyDescent="0.25">
      <c r="A457" s="13" t="s">
        <v>724</v>
      </c>
      <c r="B457" s="14">
        <v>46056</v>
      </c>
      <c r="C457" s="13" t="s">
        <v>63</v>
      </c>
      <c r="D457" s="13" t="s">
        <v>134</v>
      </c>
      <c r="E457" s="13" t="s">
        <v>42</v>
      </c>
      <c r="F457" s="13" t="s">
        <v>31</v>
      </c>
      <c r="G457" s="13" t="s">
        <v>32</v>
      </c>
      <c r="H457" s="13" t="s">
        <v>24</v>
      </c>
      <c r="I457" s="13" t="s">
        <v>98</v>
      </c>
      <c r="J457" s="13">
        <v>4</v>
      </c>
      <c r="K457" s="21">
        <v>2431</v>
      </c>
      <c r="L457" s="21">
        <v>9724</v>
      </c>
      <c r="M457" s="23">
        <v>0.05</v>
      </c>
      <c r="N457" s="21">
        <v>486</v>
      </c>
      <c r="O457" s="21">
        <v>9238</v>
      </c>
      <c r="P457" s="13">
        <v>3.7</v>
      </c>
      <c r="Q457" s="13" t="s">
        <v>26</v>
      </c>
    </row>
    <row r="458" spans="1:17" x14ac:dyDescent="0.25">
      <c r="A458" s="13" t="s">
        <v>725</v>
      </c>
      <c r="B458" s="14">
        <v>46056</v>
      </c>
      <c r="C458" s="13" t="s">
        <v>91</v>
      </c>
      <c r="D458" s="13" t="s">
        <v>110</v>
      </c>
      <c r="E458" s="13" t="s">
        <v>42</v>
      </c>
      <c r="F458" s="13" t="s">
        <v>61</v>
      </c>
      <c r="G458" s="13" t="s">
        <v>23</v>
      </c>
      <c r="H458" s="13" t="s">
        <v>33</v>
      </c>
      <c r="I458" s="13" t="s">
        <v>98</v>
      </c>
      <c r="J458" s="13">
        <v>5</v>
      </c>
      <c r="K458" s="21">
        <v>1181</v>
      </c>
      <c r="L458" s="21">
        <v>5905</v>
      </c>
      <c r="M458" s="23">
        <v>0.3</v>
      </c>
      <c r="N458" s="21">
        <v>1772</v>
      </c>
      <c r="O458" s="21">
        <v>4133</v>
      </c>
      <c r="P458" s="13">
        <v>4.5999999999999996</v>
      </c>
      <c r="Q458" s="13" t="s">
        <v>75</v>
      </c>
    </row>
    <row r="459" spans="1:17" x14ac:dyDescent="0.25">
      <c r="A459" s="13" t="s">
        <v>726</v>
      </c>
      <c r="B459" s="14">
        <v>46057</v>
      </c>
      <c r="C459" s="13" t="s">
        <v>19</v>
      </c>
      <c r="D459" s="13" t="s">
        <v>230</v>
      </c>
      <c r="E459" s="13" t="s">
        <v>82</v>
      </c>
      <c r="F459" s="13" t="s">
        <v>119</v>
      </c>
      <c r="G459" s="13" t="s">
        <v>23</v>
      </c>
      <c r="H459" s="13" t="s">
        <v>24</v>
      </c>
      <c r="I459" s="13" t="s">
        <v>34</v>
      </c>
      <c r="J459" s="13">
        <v>3</v>
      </c>
      <c r="K459" s="21">
        <v>411</v>
      </c>
      <c r="L459" s="21">
        <v>1233</v>
      </c>
      <c r="M459" s="23">
        <v>0.15</v>
      </c>
      <c r="N459" s="21">
        <v>185</v>
      </c>
      <c r="O459" s="21">
        <v>1048</v>
      </c>
      <c r="P459" s="13">
        <v>4.8</v>
      </c>
      <c r="Q459" s="13" t="s">
        <v>26</v>
      </c>
    </row>
    <row r="460" spans="1:17" x14ac:dyDescent="0.25">
      <c r="A460" s="13" t="s">
        <v>728</v>
      </c>
      <c r="B460" s="14">
        <v>46058</v>
      </c>
      <c r="C460" s="13" t="s">
        <v>28</v>
      </c>
      <c r="D460" s="13" t="s">
        <v>29</v>
      </c>
      <c r="E460" s="13" t="s">
        <v>48</v>
      </c>
      <c r="F460" s="13" t="s">
        <v>72</v>
      </c>
      <c r="G460" s="13" t="s">
        <v>23</v>
      </c>
      <c r="H460" s="13" t="s">
        <v>24</v>
      </c>
      <c r="I460" s="13" t="s">
        <v>34</v>
      </c>
      <c r="J460" s="13">
        <v>2</v>
      </c>
      <c r="K460" s="21">
        <v>215</v>
      </c>
      <c r="L460" s="21">
        <v>430</v>
      </c>
      <c r="M460" s="23">
        <v>0.25</v>
      </c>
      <c r="N460" s="21">
        <v>108</v>
      </c>
      <c r="O460" s="21">
        <v>322</v>
      </c>
      <c r="P460" s="13">
        <v>3.8</v>
      </c>
      <c r="Q460" s="13" t="s">
        <v>26</v>
      </c>
    </row>
    <row r="461" spans="1:17" x14ac:dyDescent="0.25">
      <c r="A461" s="13" t="s">
        <v>730</v>
      </c>
      <c r="B461" s="14">
        <v>46058</v>
      </c>
      <c r="C461" s="13" t="s">
        <v>40</v>
      </c>
      <c r="D461" s="13" t="s">
        <v>68</v>
      </c>
      <c r="E461" s="13" t="s">
        <v>53</v>
      </c>
      <c r="F461" s="13" t="s">
        <v>79</v>
      </c>
      <c r="G461" s="13" t="s">
        <v>23</v>
      </c>
      <c r="H461" s="13" t="s">
        <v>33</v>
      </c>
      <c r="I461" s="13" t="s">
        <v>34</v>
      </c>
      <c r="J461" s="13">
        <v>1</v>
      </c>
      <c r="K461" s="21">
        <v>785</v>
      </c>
      <c r="L461" s="21">
        <v>785</v>
      </c>
      <c r="M461" s="23">
        <v>0.1</v>
      </c>
      <c r="N461" s="21">
        <v>78</v>
      </c>
      <c r="O461" s="21">
        <v>707</v>
      </c>
      <c r="P461" s="13">
        <v>3.5</v>
      </c>
      <c r="Q461" s="13" t="s">
        <v>75</v>
      </c>
    </row>
    <row r="462" spans="1:17" x14ac:dyDescent="0.25">
      <c r="A462" s="13" t="s">
        <v>731</v>
      </c>
      <c r="B462" s="14">
        <v>46059</v>
      </c>
      <c r="C462" s="13" t="s">
        <v>40</v>
      </c>
      <c r="D462" s="13" t="s">
        <v>113</v>
      </c>
      <c r="E462" s="13" t="s">
        <v>30</v>
      </c>
      <c r="F462" s="13" t="s">
        <v>119</v>
      </c>
      <c r="G462" s="13" t="s">
        <v>23</v>
      </c>
      <c r="H462" s="13" t="s">
        <v>33</v>
      </c>
      <c r="I462" s="13" t="s">
        <v>25</v>
      </c>
      <c r="J462" s="13">
        <v>1</v>
      </c>
      <c r="K462" s="21">
        <v>372</v>
      </c>
      <c r="L462" s="21">
        <v>372</v>
      </c>
      <c r="M462" s="23">
        <v>0.25</v>
      </c>
      <c r="N462" s="21">
        <v>93</v>
      </c>
      <c r="O462" s="21">
        <v>279</v>
      </c>
      <c r="P462" s="13">
        <v>3.8</v>
      </c>
      <c r="Q462" s="13" t="s">
        <v>26</v>
      </c>
    </row>
    <row r="463" spans="1:17" x14ac:dyDescent="0.25">
      <c r="A463" s="13" t="s">
        <v>733</v>
      </c>
      <c r="B463" s="14">
        <v>46059</v>
      </c>
      <c r="C463" s="13" t="s">
        <v>91</v>
      </c>
      <c r="D463" s="13" t="s">
        <v>125</v>
      </c>
      <c r="E463" s="13" t="s">
        <v>37</v>
      </c>
      <c r="F463" s="13" t="s">
        <v>65</v>
      </c>
      <c r="G463" s="13" t="s">
        <v>32</v>
      </c>
      <c r="H463" s="13" t="s">
        <v>33</v>
      </c>
      <c r="I463" s="13" t="s">
        <v>98</v>
      </c>
      <c r="J463" s="13">
        <v>3</v>
      </c>
      <c r="K463" s="21">
        <v>970</v>
      </c>
      <c r="L463" s="21">
        <v>2910</v>
      </c>
      <c r="M463" s="23">
        <v>0.2</v>
      </c>
      <c r="N463" s="21">
        <v>582</v>
      </c>
      <c r="O463" s="21">
        <v>2328</v>
      </c>
      <c r="P463" s="13">
        <v>4</v>
      </c>
      <c r="Q463" s="13" t="s">
        <v>26</v>
      </c>
    </row>
    <row r="464" spans="1:17" x14ac:dyDescent="0.25">
      <c r="A464" s="13" t="s">
        <v>734</v>
      </c>
      <c r="B464" s="14">
        <v>46059</v>
      </c>
      <c r="C464" s="13" t="s">
        <v>19</v>
      </c>
      <c r="D464" s="13" t="s">
        <v>230</v>
      </c>
      <c r="E464" s="13" t="s">
        <v>101</v>
      </c>
      <c r="F464" s="13" t="s">
        <v>79</v>
      </c>
      <c r="G464" s="13" t="s">
        <v>23</v>
      </c>
      <c r="H464" s="13" t="s">
        <v>24</v>
      </c>
      <c r="I464" s="13" t="s">
        <v>84</v>
      </c>
      <c r="J464" s="13">
        <v>4</v>
      </c>
      <c r="K464" s="21">
        <v>416</v>
      </c>
      <c r="L464" s="21">
        <v>1664</v>
      </c>
      <c r="M464" s="23">
        <v>0.15</v>
      </c>
      <c r="N464" s="21">
        <v>250</v>
      </c>
      <c r="O464" s="21">
        <v>1414</v>
      </c>
      <c r="P464" s="13">
        <v>4.9000000000000004</v>
      </c>
      <c r="Q464" s="13" t="s">
        <v>26</v>
      </c>
    </row>
    <row r="465" spans="1:17" x14ac:dyDescent="0.25">
      <c r="A465" s="13" t="s">
        <v>735</v>
      </c>
      <c r="B465" s="14">
        <v>46059</v>
      </c>
      <c r="C465" s="13" t="s">
        <v>19</v>
      </c>
      <c r="D465" s="13" t="s">
        <v>230</v>
      </c>
      <c r="E465" s="13" t="s">
        <v>30</v>
      </c>
      <c r="F465" s="13" t="s">
        <v>119</v>
      </c>
      <c r="G465" s="13" t="s">
        <v>32</v>
      </c>
      <c r="H465" s="13" t="s">
        <v>33</v>
      </c>
      <c r="I465" s="13" t="s">
        <v>84</v>
      </c>
      <c r="J465" s="13">
        <v>4</v>
      </c>
      <c r="K465" s="21">
        <v>800</v>
      </c>
      <c r="L465" s="21">
        <v>3200</v>
      </c>
      <c r="M465" s="23">
        <v>0.25</v>
      </c>
      <c r="N465" s="21">
        <v>800</v>
      </c>
      <c r="O465" s="21">
        <v>2400</v>
      </c>
      <c r="P465" s="13">
        <v>3.7</v>
      </c>
      <c r="Q465" s="13" t="s">
        <v>75</v>
      </c>
    </row>
    <row r="466" spans="1:17" x14ac:dyDescent="0.25">
      <c r="A466" s="13" t="s">
        <v>736</v>
      </c>
      <c r="B466" s="14">
        <v>46059</v>
      </c>
      <c r="C466" s="13" t="s">
        <v>51</v>
      </c>
      <c r="D466" s="13" t="s">
        <v>52</v>
      </c>
      <c r="E466" s="13" t="s">
        <v>37</v>
      </c>
      <c r="F466" s="13" t="s">
        <v>72</v>
      </c>
      <c r="G466" s="13" t="s">
        <v>23</v>
      </c>
      <c r="H466" s="13" t="s">
        <v>24</v>
      </c>
      <c r="I466" s="13" t="s">
        <v>45</v>
      </c>
      <c r="J466" s="13">
        <v>4</v>
      </c>
      <c r="K466" s="21">
        <v>448</v>
      </c>
      <c r="L466" s="21">
        <v>1792</v>
      </c>
      <c r="M466" s="23">
        <v>0</v>
      </c>
      <c r="N466" s="21">
        <v>0</v>
      </c>
      <c r="O466" s="21">
        <v>1792</v>
      </c>
      <c r="P466" s="13">
        <v>3.5</v>
      </c>
      <c r="Q466" s="13" t="s">
        <v>26</v>
      </c>
    </row>
    <row r="467" spans="1:17" x14ac:dyDescent="0.25">
      <c r="A467" s="13" t="s">
        <v>737</v>
      </c>
      <c r="B467" s="14">
        <v>46059</v>
      </c>
      <c r="C467" s="13" t="s">
        <v>91</v>
      </c>
      <c r="D467" s="13" t="s">
        <v>92</v>
      </c>
      <c r="E467" s="13" t="s">
        <v>53</v>
      </c>
      <c r="F467" s="13" t="s">
        <v>72</v>
      </c>
      <c r="G467" s="13" t="s">
        <v>32</v>
      </c>
      <c r="H467" s="13" t="s">
        <v>24</v>
      </c>
      <c r="I467" s="13" t="s">
        <v>98</v>
      </c>
      <c r="J467" s="13">
        <v>2</v>
      </c>
      <c r="K467" s="21">
        <v>1574</v>
      </c>
      <c r="L467" s="21">
        <v>3148</v>
      </c>
      <c r="M467" s="23">
        <v>0.05</v>
      </c>
      <c r="N467" s="21">
        <v>157</v>
      </c>
      <c r="O467" s="21">
        <v>2991</v>
      </c>
      <c r="P467" s="13">
        <v>3.9</v>
      </c>
      <c r="Q467" s="13" t="s">
        <v>26</v>
      </c>
    </row>
    <row r="468" spans="1:17" x14ac:dyDescent="0.25">
      <c r="A468" s="13" t="s">
        <v>738</v>
      </c>
      <c r="B468" s="14">
        <v>46059</v>
      </c>
      <c r="C468" s="13" t="s">
        <v>51</v>
      </c>
      <c r="D468" s="13" t="s">
        <v>52</v>
      </c>
      <c r="E468" s="13" t="s">
        <v>78</v>
      </c>
      <c r="F468" s="13" t="s">
        <v>31</v>
      </c>
      <c r="G468" s="13" t="s">
        <v>32</v>
      </c>
      <c r="H468" s="13" t="s">
        <v>33</v>
      </c>
      <c r="I468" s="13" t="s">
        <v>45</v>
      </c>
      <c r="J468" s="13">
        <v>3</v>
      </c>
      <c r="K468" s="21">
        <v>178</v>
      </c>
      <c r="L468" s="21">
        <v>534</v>
      </c>
      <c r="M468" s="23">
        <v>0</v>
      </c>
      <c r="N468" s="21">
        <v>0</v>
      </c>
      <c r="O468" s="21">
        <v>534</v>
      </c>
      <c r="P468" s="13">
        <v>4.2</v>
      </c>
      <c r="Q468" s="13" t="s">
        <v>26</v>
      </c>
    </row>
    <row r="469" spans="1:17" x14ac:dyDescent="0.25">
      <c r="A469" s="13" t="s">
        <v>739</v>
      </c>
      <c r="B469" s="14">
        <v>46059</v>
      </c>
      <c r="C469" s="13" t="s">
        <v>19</v>
      </c>
      <c r="D469" s="13" t="s">
        <v>128</v>
      </c>
      <c r="E469" s="13" t="s">
        <v>21</v>
      </c>
      <c r="F469" s="13" t="s">
        <v>31</v>
      </c>
      <c r="G469" s="13" t="s">
        <v>23</v>
      </c>
      <c r="H469" s="13" t="s">
        <v>24</v>
      </c>
      <c r="I469" s="13" t="s">
        <v>25</v>
      </c>
      <c r="J469" s="13">
        <v>5</v>
      </c>
      <c r="K469" s="21">
        <v>723</v>
      </c>
      <c r="L469" s="21">
        <v>3615</v>
      </c>
      <c r="M469" s="23">
        <v>0.25</v>
      </c>
      <c r="N469" s="21">
        <v>904</v>
      </c>
      <c r="O469" s="21">
        <v>2711</v>
      </c>
      <c r="P469" s="13">
        <v>4.2</v>
      </c>
      <c r="Q469" s="13" t="s">
        <v>26</v>
      </c>
    </row>
    <row r="470" spans="1:17" x14ac:dyDescent="0.25">
      <c r="A470" s="13" t="s">
        <v>740</v>
      </c>
      <c r="B470" s="14">
        <v>46060</v>
      </c>
      <c r="C470" s="13" t="s">
        <v>91</v>
      </c>
      <c r="D470" s="13" t="s">
        <v>125</v>
      </c>
      <c r="E470" s="13" t="s">
        <v>21</v>
      </c>
      <c r="F470" s="13" t="s">
        <v>43</v>
      </c>
      <c r="G470" s="13" t="s">
        <v>23</v>
      </c>
      <c r="H470" s="13" t="s">
        <v>33</v>
      </c>
      <c r="I470" s="13" t="s">
        <v>34</v>
      </c>
      <c r="J470" s="13">
        <v>4</v>
      </c>
      <c r="K470" s="21">
        <v>561</v>
      </c>
      <c r="L470" s="21">
        <v>2244</v>
      </c>
      <c r="M470" s="23">
        <v>0.15</v>
      </c>
      <c r="N470" s="21">
        <v>337</v>
      </c>
      <c r="O470" s="21">
        <v>1907</v>
      </c>
      <c r="P470" s="13">
        <v>3.6</v>
      </c>
      <c r="Q470" s="13" t="s">
        <v>26</v>
      </c>
    </row>
    <row r="471" spans="1:17" x14ac:dyDescent="0.25">
      <c r="A471" s="13" t="s">
        <v>742</v>
      </c>
      <c r="B471" s="14">
        <v>46061</v>
      </c>
      <c r="C471" s="13" t="s">
        <v>40</v>
      </c>
      <c r="D471" s="13" t="s">
        <v>47</v>
      </c>
      <c r="E471" s="13" t="s">
        <v>30</v>
      </c>
      <c r="F471" s="13" t="s">
        <v>119</v>
      </c>
      <c r="G471" s="13" t="s">
        <v>23</v>
      </c>
      <c r="H471" s="13" t="s">
        <v>33</v>
      </c>
      <c r="I471" s="13" t="s">
        <v>98</v>
      </c>
      <c r="J471" s="13">
        <v>1</v>
      </c>
      <c r="K471" s="21">
        <v>774</v>
      </c>
      <c r="L471" s="21">
        <v>774</v>
      </c>
      <c r="M471" s="23">
        <v>0.05</v>
      </c>
      <c r="N471" s="21">
        <v>39</v>
      </c>
      <c r="O471" s="21">
        <v>735</v>
      </c>
      <c r="P471" s="13">
        <v>3.2</v>
      </c>
      <c r="Q471" s="13" t="s">
        <v>26</v>
      </c>
    </row>
    <row r="472" spans="1:17" x14ac:dyDescent="0.25">
      <c r="A472" s="13" t="s">
        <v>744</v>
      </c>
      <c r="B472" s="14">
        <v>46061</v>
      </c>
      <c r="C472" s="13" t="s">
        <v>63</v>
      </c>
      <c r="D472" s="13" t="s">
        <v>134</v>
      </c>
      <c r="E472" s="13" t="s">
        <v>53</v>
      </c>
      <c r="F472" s="13" t="s">
        <v>31</v>
      </c>
      <c r="G472" s="13" t="s">
        <v>23</v>
      </c>
      <c r="H472" s="13" t="s">
        <v>24</v>
      </c>
      <c r="I472" s="13" t="s">
        <v>84</v>
      </c>
      <c r="J472" s="13">
        <v>4</v>
      </c>
      <c r="K472" s="21">
        <v>1863</v>
      </c>
      <c r="L472" s="21">
        <v>7452</v>
      </c>
      <c r="M472" s="23">
        <v>0.25</v>
      </c>
      <c r="N472" s="21">
        <v>1863</v>
      </c>
      <c r="O472" s="21">
        <v>5589</v>
      </c>
      <c r="P472" s="13">
        <v>4.9000000000000004</v>
      </c>
      <c r="Q472" s="13" t="s">
        <v>26</v>
      </c>
    </row>
    <row r="473" spans="1:17" x14ac:dyDescent="0.25">
      <c r="A473" s="13" t="s">
        <v>745</v>
      </c>
      <c r="B473" s="14">
        <v>46061</v>
      </c>
      <c r="C473" s="13" t="s">
        <v>28</v>
      </c>
      <c r="D473" s="13" t="s">
        <v>29</v>
      </c>
      <c r="E473" s="13" t="s">
        <v>53</v>
      </c>
      <c r="F473" s="13" t="s">
        <v>72</v>
      </c>
      <c r="G473" s="13" t="s">
        <v>23</v>
      </c>
      <c r="H473" s="13" t="s">
        <v>104</v>
      </c>
      <c r="I473" s="13" t="s">
        <v>84</v>
      </c>
      <c r="J473" s="13">
        <v>2</v>
      </c>
      <c r="K473" s="21">
        <v>410</v>
      </c>
      <c r="L473" s="21">
        <v>820</v>
      </c>
      <c r="M473" s="23">
        <v>0.15</v>
      </c>
      <c r="N473" s="21">
        <v>123</v>
      </c>
      <c r="O473" s="21">
        <v>697</v>
      </c>
      <c r="P473" s="13">
        <v>4.4000000000000004</v>
      </c>
      <c r="Q473" s="13" t="s">
        <v>26</v>
      </c>
    </row>
    <row r="474" spans="1:17" x14ac:dyDescent="0.25">
      <c r="A474" s="13" t="s">
        <v>746</v>
      </c>
      <c r="B474" s="14">
        <v>46062</v>
      </c>
      <c r="C474" s="13" t="s">
        <v>51</v>
      </c>
      <c r="D474" s="13" t="s">
        <v>52</v>
      </c>
      <c r="E474" s="13" t="s">
        <v>42</v>
      </c>
      <c r="F474" s="13" t="s">
        <v>65</v>
      </c>
      <c r="G474" s="13" t="s">
        <v>32</v>
      </c>
      <c r="H474" s="13" t="s">
        <v>33</v>
      </c>
      <c r="I474" s="13" t="s">
        <v>34</v>
      </c>
      <c r="J474" s="13">
        <v>5</v>
      </c>
      <c r="K474" s="21">
        <v>610</v>
      </c>
      <c r="L474" s="21">
        <v>3050</v>
      </c>
      <c r="M474" s="23">
        <v>0.25</v>
      </c>
      <c r="N474" s="21">
        <v>762</v>
      </c>
      <c r="O474" s="21">
        <v>2288</v>
      </c>
      <c r="P474" s="13">
        <v>4.4000000000000004</v>
      </c>
      <c r="Q474" s="13" t="s">
        <v>26</v>
      </c>
    </row>
    <row r="475" spans="1:17" x14ac:dyDescent="0.25">
      <c r="A475" s="13" t="s">
        <v>748</v>
      </c>
      <c r="B475" s="14">
        <v>46065</v>
      </c>
      <c r="C475" s="13" t="s">
        <v>63</v>
      </c>
      <c r="D475" s="13" t="s">
        <v>134</v>
      </c>
      <c r="E475" s="13" t="s">
        <v>42</v>
      </c>
      <c r="F475" s="13" t="s">
        <v>83</v>
      </c>
      <c r="G475" s="13" t="s">
        <v>44</v>
      </c>
      <c r="H475" s="13" t="s">
        <v>33</v>
      </c>
      <c r="I475" s="13" t="s">
        <v>45</v>
      </c>
      <c r="J475" s="13">
        <v>5</v>
      </c>
      <c r="K475" s="21">
        <v>2220</v>
      </c>
      <c r="L475" s="21">
        <v>11100</v>
      </c>
      <c r="M475" s="23">
        <v>0.3</v>
      </c>
      <c r="N475" s="21">
        <v>3330</v>
      </c>
      <c r="O475" s="21">
        <v>7770</v>
      </c>
      <c r="P475" s="13">
        <v>3.3</v>
      </c>
      <c r="Q475" s="13" t="s">
        <v>26</v>
      </c>
    </row>
    <row r="476" spans="1:17" x14ac:dyDescent="0.25">
      <c r="A476" s="13" t="s">
        <v>750</v>
      </c>
      <c r="B476" s="14">
        <v>46065</v>
      </c>
      <c r="C476" s="13" t="s">
        <v>51</v>
      </c>
      <c r="D476" s="13" t="s">
        <v>52</v>
      </c>
      <c r="E476" s="13" t="s">
        <v>78</v>
      </c>
      <c r="F476" s="13" t="s">
        <v>119</v>
      </c>
      <c r="G476" s="13" t="s">
        <v>44</v>
      </c>
      <c r="H476" s="13" t="s">
        <v>24</v>
      </c>
      <c r="I476" s="13" t="s">
        <v>45</v>
      </c>
      <c r="J476" s="13">
        <v>3</v>
      </c>
      <c r="K476" s="21">
        <v>446</v>
      </c>
      <c r="L476" s="21">
        <v>1338</v>
      </c>
      <c r="M476" s="23">
        <v>0.1</v>
      </c>
      <c r="N476" s="21">
        <v>134</v>
      </c>
      <c r="O476" s="21">
        <v>1204</v>
      </c>
      <c r="P476" s="13">
        <v>3.6</v>
      </c>
      <c r="Q476" s="13" t="s">
        <v>26</v>
      </c>
    </row>
    <row r="477" spans="1:17" x14ac:dyDescent="0.25">
      <c r="A477" s="13" t="s">
        <v>751</v>
      </c>
      <c r="B477" s="14">
        <v>46065</v>
      </c>
      <c r="C477" s="13" t="s">
        <v>19</v>
      </c>
      <c r="D477" s="13" t="s">
        <v>230</v>
      </c>
      <c r="E477" s="13" t="s">
        <v>21</v>
      </c>
      <c r="F477" s="13" t="s">
        <v>83</v>
      </c>
      <c r="G477" s="13" t="s">
        <v>23</v>
      </c>
      <c r="H477" s="13" t="s">
        <v>33</v>
      </c>
      <c r="I477" s="13" t="s">
        <v>84</v>
      </c>
      <c r="J477" s="13">
        <v>1</v>
      </c>
      <c r="K477" s="21">
        <v>390</v>
      </c>
      <c r="L477" s="21">
        <v>390</v>
      </c>
      <c r="M477" s="23">
        <v>0.25</v>
      </c>
      <c r="N477" s="21">
        <v>98</v>
      </c>
      <c r="O477" s="21">
        <v>292</v>
      </c>
      <c r="P477" s="13">
        <v>4.3</v>
      </c>
      <c r="Q477" s="13" t="s">
        <v>26</v>
      </c>
    </row>
    <row r="478" spans="1:17" x14ac:dyDescent="0.25">
      <c r="A478" s="13" t="s">
        <v>752</v>
      </c>
      <c r="B478" s="14">
        <v>46066</v>
      </c>
      <c r="C478" s="13" t="s">
        <v>40</v>
      </c>
      <c r="D478" s="13" t="s">
        <v>47</v>
      </c>
      <c r="E478" s="13" t="s">
        <v>78</v>
      </c>
      <c r="F478" s="13" t="s">
        <v>22</v>
      </c>
      <c r="G478" s="13" t="s">
        <v>23</v>
      </c>
      <c r="H478" s="13" t="s">
        <v>33</v>
      </c>
      <c r="I478" s="13" t="s">
        <v>98</v>
      </c>
      <c r="J478" s="13">
        <v>2</v>
      </c>
      <c r="K478" s="21">
        <v>527</v>
      </c>
      <c r="L478" s="21">
        <v>1054</v>
      </c>
      <c r="M478" s="23">
        <v>0.15</v>
      </c>
      <c r="N478" s="21">
        <v>158</v>
      </c>
      <c r="O478" s="21">
        <v>896</v>
      </c>
      <c r="P478" s="13">
        <v>4.5</v>
      </c>
      <c r="Q478" s="13" t="s">
        <v>26</v>
      </c>
    </row>
    <row r="479" spans="1:17" x14ac:dyDescent="0.25">
      <c r="A479" s="13" t="s">
        <v>754</v>
      </c>
      <c r="B479" s="14">
        <v>46067</v>
      </c>
      <c r="C479" s="13" t="s">
        <v>40</v>
      </c>
      <c r="D479" s="13" t="s">
        <v>113</v>
      </c>
      <c r="E479" s="13" t="s">
        <v>71</v>
      </c>
      <c r="F479" s="13" t="s">
        <v>72</v>
      </c>
      <c r="G479" s="13" t="s">
        <v>44</v>
      </c>
      <c r="H479" s="13" t="s">
        <v>24</v>
      </c>
      <c r="I479" s="13" t="s">
        <v>45</v>
      </c>
      <c r="J479" s="13">
        <v>3</v>
      </c>
      <c r="K479" s="21">
        <v>1023</v>
      </c>
      <c r="L479" s="21">
        <v>3069</v>
      </c>
      <c r="M479" s="23">
        <v>0.2</v>
      </c>
      <c r="N479" s="21">
        <v>614</v>
      </c>
      <c r="O479" s="21">
        <v>2455</v>
      </c>
      <c r="P479" s="13">
        <v>4.9000000000000004</v>
      </c>
      <c r="Q479" s="13" t="s">
        <v>26</v>
      </c>
    </row>
    <row r="480" spans="1:17" x14ac:dyDescent="0.25">
      <c r="A480" s="13" t="s">
        <v>756</v>
      </c>
      <c r="B480" s="14">
        <v>46067</v>
      </c>
      <c r="C480" s="13" t="s">
        <v>28</v>
      </c>
      <c r="D480" s="13" t="s">
        <v>36</v>
      </c>
      <c r="E480" s="13" t="s">
        <v>60</v>
      </c>
      <c r="F480" s="13" t="s">
        <v>31</v>
      </c>
      <c r="G480" s="13" t="s">
        <v>23</v>
      </c>
      <c r="H480" s="13" t="s">
        <v>33</v>
      </c>
      <c r="I480" s="13" t="s">
        <v>84</v>
      </c>
      <c r="J480" s="13">
        <v>3</v>
      </c>
      <c r="K480" s="21">
        <v>748</v>
      </c>
      <c r="L480" s="21">
        <v>2244</v>
      </c>
      <c r="M480" s="23">
        <v>0.2</v>
      </c>
      <c r="N480" s="21">
        <v>449</v>
      </c>
      <c r="O480" s="21">
        <v>1795</v>
      </c>
      <c r="P480" s="13">
        <v>4.0999999999999996</v>
      </c>
      <c r="Q480" s="13" t="s">
        <v>26</v>
      </c>
    </row>
    <row r="481" spans="1:17" x14ac:dyDescent="0.25">
      <c r="A481" s="13" t="s">
        <v>757</v>
      </c>
      <c r="B481" s="14">
        <v>46069</v>
      </c>
      <c r="C481" s="13" t="s">
        <v>28</v>
      </c>
      <c r="D481" s="13" t="s">
        <v>95</v>
      </c>
      <c r="E481" s="13" t="s">
        <v>60</v>
      </c>
      <c r="F481" s="13" t="s">
        <v>83</v>
      </c>
      <c r="G481" s="13" t="s">
        <v>32</v>
      </c>
      <c r="H481" s="13" t="s">
        <v>33</v>
      </c>
      <c r="I481" s="13" t="s">
        <v>45</v>
      </c>
      <c r="J481" s="13">
        <v>3</v>
      </c>
      <c r="K481" s="21">
        <v>231</v>
      </c>
      <c r="L481" s="21">
        <v>693</v>
      </c>
      <c r="M481" s="23">
        <v>0.3</v>
      </c>
      <c r="N481" s="21">
        <v>208</v>
      </c>
      <c r="O481" s="21">
        <v>485</v>
      </c>
      <c r="P481" s="13">
        <v>3.8</v>
      </c>
      <c r="Q481" s="13" t="s">
        <v>26</v>
      </c>
    </row>
    <row r="482" spans="1:17" x14ac:dyDescent="0.25">
      <c r="A482" s="13" t="s">
        <v>759</v>
      </c>
      <c r="B482" s="14">
        <v>46069</v>
      </c>
      <c r="C482" s="13" t="s">
        <v>40</v>
      </c>
      <c r="D482" s="13" t="s">
        <v>41</v>
      </c>
      <c r="E482" s="13" t="s">
        <v>42</v>
      </c>
      <c r="F482" s="13" t="s">
        <v>79</v>
      </c>
      <c r="G482" s="13" t="s">
        <v>23</v>
      </c>
      <c r="H482" s="13" t="s">
        <v>24</v>
      </c>
      <c r="I482" s="13" t="s">
        <v>84</v>
      </c>
      <c r="J482" s="13">
        <v>2</v>
      </c>
      <c r="K482" s="21">
        <v>633</v>
      </c>
      <c r="L482" s="21">
        <v>1266</v>
      </c>
      <c r="M482" s="23">
        <v>0.25</v>
      </c>
      <c r="N482" s="21">
        <v>316</v>
      </c>
      <c r="O482" s="21">
        <v>950</v>
      </c>
      <c r="P482" s="13">
        <v>4.7</v>
      </c>
      <c r="Q482" s="13" t="s">
        <v>26</v>
      </c>
    </row>
    <row r="483" spans="1:17" x14ac:dyDescent="0.25">
      <c r="A483" s="13" t="s">
        <v>760</v>
      </c>
      <c r="B483" s="14">
        <v>46069</v>
      </c>
      <c r="C483" s="13" t="s">
        <v>91</v>
      </c>
      <c r="D483" s="13" t="s">
        <v>125</v>
      </c>
      <c r="E483" s="13" t="s">
        <v>37</v>
      </c>
      <c r="F483" s="13" t="s">
        <v>79</v>
      </c>
      <c r="G483" s="13" t="s">
        <v>23</v>
      </c>
      <c r="H483" s="13" t="s">
        <v>24</v>
      </c>
      <c r="I483" s="13" t="s">
        <v>45</v>
      </c>
      <c r="J483" s="13">
        <v>1</v>
      </c>
      <c r="K483" s="21">
        <v>1334</v>
      </c>
      <c r="L483" s="21">
        <v>1334</v>
      </c>
      <c r="M483" s="23">
        <v>0</v>
      </c>
      <c r="N483" s="21">
        <v>0</v>
      </c>
      <c r="O483" s="21">
        <v>1334</v>
      </c>
      <c r="P483" s="13">
        <v>4.3</v>
      </c>
      <c r="Q483" s="13" t="s">
        <v>26</v>
      </c>
    </row>
    <row r="484" spans="1:17" x14ac:dyDescent="0.25">
      <c r="A484" s="13" t="s">
        <v>761</v>
      </c>
      <c r="B484" s="14">
        <v>46070</v>
      </c>
      <c r="C484" s="13" t="s">
        <v>63</v>
      </c>
      <c r="D484" s="13" t="s">
        <v>134</v>
      </c>
      <c r="E484" s="13" t="s">
        <v>82</v>
      </c>
      <c r="F484" s="13" t="s">
        <v>72</v>
      </c>
      <c r="G484" s="13" t="s">
        <v>32</v>
      </c>
      <c r="H484" s="13" t="s">
        <v>24</v>
      </c>
      <c r="I484" s="13" t="s">
        <v>25</v>
      </c>
      <c r="J484" s="13">
        <v>3</v>
      </c>
      <c r="K484" s="21">
        <v>947</v>
      </c>
      <c r="L484" s="21">
        <v>2841</v>
      </c>
      <c r="M484" s="23">
        <v>0</v>
      </c>
      <c r="N484" s="21">
        <v>0</v>
      </c>
      <c r="O484" s="21">
        <v>2841</v>
      </c>
      <c r="P484" s="13">
        <v>3.3</v>
      </c>
      <c r="Q484" s="13" t="s">
        <v>26</v>
      </c>
    </row>
    <row r="485" spans="1:17" x14ac:dyDescent="0.25">
      <c r="A485" s="13" t="s">
        <v>763</v>
      </c>
      <c r="B485" s="14">
        <v>46071</v>
      </c>
      <c r="C485" s="13" t="s">
        <v>51</v>
      </c>
      <c r="D485" s="13" t="s">
        <v>70</v>
      </c>
      <c r="E485" s="13" t="s">
        <v>37</v>
      </c>
      <c r="F485" s="13" t="s">
        <v>31</v>
      </c>
      <c r="G485" s="13" t="s">
        <v>23</v>
      </c>
      <c r="H485" s="13" t="s">
        <v>33</v>
      </c>
      <c r="I485" s="13" t="s">
        <v>25</v>
      </c>
      <c r="J485" s="13">
        <v>5</v>
      </c>
      <c r="K485" s="21">
        <v>450</v>
      </c>
      <c r="L485" s="21">
        <v>2250</v>
      </c>
      <c r="M485" s="23">
        <v>0.3</v>
      </c>
      <c r="N485" s="21">
        <v>675</v>
      </c>
      <c r="O485" s="21">
        <v>1575</v>
      </c>
      <c r="P485" s="13">
        <v>3.8</v>
      </c>
      <c r="Q485" s="13" t="s">
        <v>26</v>
      </c>
    </row>
    <row r="486" spans="1:17" x14ac:dyDescent="0.25">
      <c r="A486" s="13" t="s">
        <v>765</v>
      </c>
      <c r="B486" s="14">
        <v>46072</v>
      </c>
      <c r="C486" s="13" t="s">
        <v>40</v>
      </c>
      <c r="D486" s="13" t="s">
        <v>47</v>
      </c>
      <c r="E486" s="13" t="s">
        <v>21</v>
      </c>
      <c r="F486" s="13" t="s">
        <v>130</v>
      </c>
      <c r="G486" s="13" t="s">
        <v>44</v>
      </c>
      <c r="H486" s="13" t="s">
        <v>33</v>
      </c>
      <c r="I486" s="13" t="s">
        <v>84</v>
      </c>
      <c r="J486" s="13">
        <v>3</v>
      </c>
      <c r="K486" s="21">
        <v>490</v>
      </c>
      <c r="L486" s="21">
        <v>1470</v>
      </c>
      <c r="M486" s="23">
        <v>0.1</v>
      </c>
      <c r="N486" s="21">
        <v>147</v>
      </c>
      <c r="O486" s="21">
        <v>1323</v>
      </c>
      <c r="P486" s="13">
        <v>3.4</v>
      </c>
      <c r="Q486" s="13" t="s">
        <v>26</v>
      </c>
    </row>
    <row r="487" spans="1:17" x14ac:dyDescent="0.25">
      <c r="A487" s="13" t="s">
        <v>767</v>
      </c>
      <c r="B487" s="14">
        <v>46072</v>
      </c>
      <c r="C487" s="13" t="s">
        <v>51</v>
      </c>
      <c r="D487" s="13" t="s">
        <v>52</v>
      </c>
      <c r="E487" s="13" t="s">
        <v>21</v>
      </c>
      <c r="F487" s="13" t="s">
        <v>130</v>
      </c>
      <c r="G487" s="13" t="s">
        <v>32</v>
      </c>
      <c r="H487" s="13" t="s">
        <v>24</v>
      </c>
      <c r="I487" s="13" t="s">
        <v>98</v>
      </c>
      <c r="J487" s="13">
        <v>4</v>
      </c>
      <c r="K487" s="21">
        <v>788</v>
      </c>
      <c r="L487" s="21">
        <v>3152</v>
      </c>
      <c r="M487" s="23">
        <v>0</v>
      </c>
      <c r="N487" s="21">
        <v>0</v>
      </c>
      <c r="O487" s="21">
        <v>3152</v>
      </c>
      <c r="P487" s="13">
        <v>4.2</v>
      </c>
      <c r="Q487" s="13" t="s">
        <v>26</v>
      </c>
    </row>
    <row r="488" spans="1:17" x14ac:dyDescent="0.25">
      <c r="A488" s="13" t="s">
        <v>768</v>
      </c>
      <c r="B488" s="14">
        <v>46072</v>
      </c>
      <c r="C488" s="13" t="s">
        <v>40</v>
      </c>
      <c r="D488" s="13" t="s">
        <v>57</v>
      </c>
      <c r="E488" s="13" t="s">
        <v>78</v>
      </c>
      <c r="F488" s="13" t="s">
        <v>65</v>
      </c>
      <c r="G488" s="13" t="s">
        <v>32</v>
      </c>
      <c r="H488" s="13" t="s">
        <v>33</v>
      </c>
      <c r="I488" s="13" t="s">
        <v>45</v>
      </c>
      <c r="J488" s="13">
        <v>4</v>
      </c>
      <c r="K488" s="21">
        <v>577</v>
      </c>
      <c r="L488" s="21">
        <v>2308</v>
      </c>
      <c r="M488" s="23">
        <v>0.05</v>
      </c>
      <c r="N488" s="21">
        <v>115</v>
      </c>
      <c r="O488" s="21">
        <v>2193</v>
      </c>
      <c r="P488" s="13">
        <v>3.5</v>
      </c>
      <c r="Q488" s="13" t="s">
        <v>26</v>
      </c>
    </row>
    <row r="489" spans="1:17" x14ac:dyDescent="0.25">
      <c r="A489" s="13" t="s">
        <v>769</v>
      </c>
      <c r="B489" s="14">
        <v>46073</v>
      </c>
      <c r="C489" s="13" t="s">
        <v>63</v>
      </c>
      <c r="D489" s="13" t="s">
        <v>64</v>
      </c>
      <c r="E489" s="13" t="s">
        <v>21</v>
      </c>
      <c r="F489" s="13" t="s">
        <v>61</v>
      </c>
      <c r="G489" s="13" t="s">
        <v>23</v>
      </c>
      <c r="H489" s="13" t="s">
        <v>33</v>
      </c>
      <c r="I489" s="13" t="s">
        <v>84</v>
      </c>
      <c r="J489" s="13">
        <v>1</v>
      </c>
      <c r="K489" s="21">
        <v>1133</v>
      </c>
      <c r="L489" s="21">
        <v>1133</v>
      </c>
      <c r="M489" s="23">
        <v>0.05</v>
      </c>
      <c r="N489" s="21">
        <v>57</v>
      </c>
      <c r="O489" s="21">
        <v>1076</v>
      </c>
      <c r="P489" s="13">
        <v>4.8</v>
      </c>
      <c r="Q489" s="13" t="s">
        <v>26</v>
      </c>
    </row>
    <row r="490" spans="1:17" x14ac:dyDescent="0.25">
      <c r="A490" s="13" t="s">
        <v>771</v>
      </c>
      <c r="B490" s="14">
        <v>46073</v>
      </c>
      <c r="C490" s="13" t="s">
        <v>63</v>
      </c>
      <c r="D490" s="13" t="s">
        <v>64</v>
      </c>
      <c r="E490" s="13" t="s">
        <v>60</v>
      </c>
      <c r="F490" s="13" t="s">
        <v>130</v>
      </c>
      <c r="G490" s="13" t="s">
        <v>23</v>
      </c>
      <c r="H490" s="13" t="s">
        <v>33</v>
      </c>
      <c r="I490" s="13" t="s">
        <v>45</v>
      </c>
      <c r="J490" s="13">
        <v>4</v>
      </c>
      <c r="K490" s="21">
        <v>1840</v>
      </c>
      <c r="L490" s="21">
        <v>7360</v>
      </c>
      <c r="M490" s="23">
        <v>0.15</v>
      </c>
      <c r="N490" s="21">
        <v>1104</v>
      </c>
      <c r="O490" s="21">
        <v>6256</v>
      </c>
      <c r="P490" s="13">
        <v>4.5</v>
      </c>
      <c r="Q490" s="13" t="s">
        <v>26</v>
      </c>
    </row>
    <row r="491" spans="1:17" x14ac:dyDescent="0.25">
      <c r="A491" s="13" t="s">
        <v>772</v>
      </c>
      <c r="B491" s="14">
        <v>46073</v>
      </c>
      <c r="C491" s="13" t="s">
        <v>63</v>
      </c>
      <c r="D491" s="13" t="s">
        <v>64</v>
      </c>
      <c r="E491" s="13" t="s">
        <v>60</v>
      </c>
      <c r="F491" s="13" t="s">
        <v>119</v>
      </c>
      <c r="G491" s="13" t="s">
        <v>44</v>
      </c>
      <c r="H491" s="13" t="s">
        <v>104</v>
      </c>
      <c r="I491" s="13" t="s">
        <v>25</v>
      </c>
      <c r="J491" s="13">
        <v>4</v>
      </c>
      <c r="K491" s="21">
        <v>1703</v>
      </c>
      <c r="L491" s="21">
        <v>6812</v>
      </c>
      <c r="M491" s="23">
        <v>0.2</v>
      </c>
      <c r="N491" s="21">
        <v>1362</v>
      </c>
      <c r="O491" s="21">
        <v>5450</v>
      </c>
      <c r="P491" s="13">
        <v>5</v>
      </c>
      <c r="Q491" s="13" t="s">
        <v>26</v>
      </c>
    </row>
    <row r="492" spans="1:17" x14ac:dyDescent="0.25">
      <c r="A492" s="13" t="s">
        <v>773</v>
      </c>
      <c r="B492" s="14">
        <v>46073</v>
      </c>
      <c r="C492" s="13" t="s">
        <v>28</v>
      </c>
      <c r="D492" s="13" t="s">
        <v>77</v>
      </c>
      <c r="E492" s="13" t="s">
        <v>155</v>
      </c>
      <c r="F492" s="13" t="s">
        <v>31</v>
      </c>
      <c r="G492" s="13" t="s">
        <v>44</v>
      </c>
      <c r="H492" s="13" t="s">
        <v>33</v>
      </c>
      <c r="I492" s="13" t="s">
        <v>98</v>
      </c>
      <c r="J492" s="13">
        <v>1</v>
      </c>
      <c r="K492" s="21">
        <v>963</v>
      </c>
      <c r="L492" s="21">
        <v>963</v>
      </c>
      <c r="M492" s="23">
        <v>0.15</v>
      </c>
      <c r="N492" s="21">
        <v>144</v>
      </c>
      <c r="O492" s="21">
        <v>819</v>
      </c>
      <c r="P492" s="13">
        <v>4.0999999999999996</v>
      </c>
      <c r="Q492" s="13" t="s">
        <v>26</v>
      </c>
    </row>
    <row r="493" spans="1:17" x14ac:dyDescent="0.25">
      <c r="A493" s="13" t="s">
        <v>774</v>
      </c>
      <c r="B493" s="14">
        <v>46074</v>
      </c>
      <c r="C493" s="13" t="s">
        <v>63</v>
      </c>
      <c r="D493" s="13" t="s">
        <v>134</v>
      </c>
      <c r="E493" s="13" t="s">
        <v>48</v>
      </c>
      <c r="F493" s="13" t="s">
        <v>72</v>
      </c>
      <c r="G493" s="13" t="s">
        <v>23</v>
      </c>
      <c r="H493" s="13" t="s">
        <v>24</v>
      </c>
      <c r="I493" s="13" t="s">
        <v>25</v>
      </c>
      <c r="J493" s="13">
        <v>4</v>
      </c>
      <c r="K493" s="21">
        <v>1130</v>
      </c>
      <c r="L493" s="21">
        <v>4520</v>
      </c>
      <c r="M493" s="23">
        <v>0.25</v>
      </c>
      <c r="N493" s="21">
        <v>1130</v>
      </c>
      <c r="O493" s="21">
        <v>3390</v>
      </c>
      <c r="P493" s="13">
        <v>3.9</v>
      </c>
      <c r="Q493" s="13" t="s">
        <v>26</v>
      </c>
    </row>
    <row r="494" spans="1:17" x14ac:dyDescent="0.25">
      <c r="A494" s="13" t="s">
        <v>776</v>
      </c>
      <c r="B494" s="14">
        <v>46074</v>
      </c>
      <c r="C494" s="13" t="s">
        <v>91</v>
      </c>
      <c r="D494" s="13" t="s">
        <v>110</v>
      </c>
      <c r="E494" s="13" t="s">
        <v>42</v>
      </c>
      <c r="F494" s="13" t="s">
        <v>119</v>
      </c>
      <c r="G494" s="13" t="s">
        <v>23</v>
      </c>
      <c r="H494" s="13" t="s">
        <v>33</v>
      </c>
      <c r="I494" s="13" t="s">
        <v>84</v>
      </c>
      <c r="J494" s="13">
        <v>2</v>
      </c>
      <c r="K494" s="21">
        <v>558</v>
      </c>
      <c r="L494" s="21">
        <v>1116</v>
      </c>
      <c r="M494" s="23">
        <v>0.05</v>
      </c>
      <c r="N494" s="21">
        <v>56</v>
      </c>
      <c r="O494" s="21">
        <v>1060</v>
      </c>
      <c r="P494" s="13">
        <v>3.9</v>
      </c>
      <c r="Q494" s="13" t="s">
        <v>26</v>
      </c>
    </row>
    <row r="495" spans="1:17" x14ac:dyDescent="0.25">
      <c r="A495" s="13" t="s">
        <v>777</v>
      </c>
      <c r="B495" s="14">
        <v>46075</v>
      </c>
      <c r="C495" s="13" t="s">
        <v>19</v>
      </c>
      <c r="D495" s="13" t="s">
        <v>230</v>
      </c>
      <c r="E495" s="13" t="s">
        <v>21</v>
      </c>
      <c r="F495" s="13" t="s">
        <v>72</v>
      </c>
      <c r="G495" s="13" t="s">
        <v>23</v>
      </c>
      <c r="H495" s="13" t="s">
        <v>33</v>
      </c>
      <c r="I495" s="13" t="s">
        <v>45</v>
      </c>
      <c r="J495" s="13">
        <v>2</v>
      </c>
      <c r="K495" s="21">
        <v>549</v>
      </c>
      <c r="L495" s="21">
        <v>1098</v>
      </c>
      <c r="M495" s="23">
        <v>0.1</v>
      </c>
      <c r="N495" s="21">
        <v>110</v>
      </c>
      <c r="O495" s="21">
        <v>988</v>
      </c>
      <c r="P495" s="13">
        <v>4.7</v>
      </c>
      <c r="Q495" s="13" t="s">
        <v>26</v>
      </c>
    </row>
    <row r="496" spans="1:17" x14ac:dyDescent="0.25">
      <c r="A496" s="13" t="s">
        <v>779</v>
      </c>
      <c r="B496" s="14">
        <v>46075</v>
      </c>
      <c r="C496" s="13" t="s">
        <v>63</v>
      </c>
      <c r="D496" s="13" t="s">
        <v>134</v>
      </c>
      <c r="E496" s="13" t="s">
        <v>78</v>
      </c>
      <c r="F496" s="13" t="s">
        <v>83</v>
      </c>
      <c r="G496" s="13" t="s">
        <v>23</v>
      </c>
      <c r="H496" s="13" t="s">
        <v>104</v>
      </c>
      <c r="I496" s="13" t="s">
        <v>25</v>
      </c>
      <c r="J496" s="13">
        <v>4</v>
      </c>
      <c r="K496" s="21">
        <v>1697</v>
      </c>
      <c r="L496" s="21">
        <v>6788</v>
      </c>
      <c r="M496" s="23">
        <v>0.2</v>
      </c>
      <c r="N496" s="21">
        <v>1358</v>
      </c>
      <c r="O496" s="21">
        <v>5430</v>
      </c>
      <c r="P496" s="13">
        <v>3.7</v>
      </c>
      <c r="Q496" s="13" t="s">
        <v>26</v>
      </c>
    </row>
    <row r="497" spans="1:17" x14ac:dyDescent="0.25">
      <c r="A497" s="13" t="s">
        <v>780</v>
      </c>
      <c r="B497" s="14">
        <v>46075</v>
      </c>
      <c r="C497" s="13" t="s">
        <v>28</v>
      </c>
      <c r="D497" s="13" t="s">
        <v>29</v>
      </c>
      <c r="E497" s="13" t="s">
        <v>37</v>
      </c>
      <c r="F497" s="13" t="s">
        <v>83</v>
      </c>
      <c r="G497" s="13" t="s">
        <v>23</v>
      </c>
      <c r="H497" s="13" t="s">
        <v>24</v>
      </c>
      <c r="I497" s="13" t="s">
        <v>25</v>
      </c>
      <c r="J497" s="13">
        <v>4</v>
      </c>
      <c r="K497" s="21">
        <v>939</v>
      </c>
      <c r="L497" s="21">
        <v>3756</v>
      </c>
      <c r="M497" s="23">
        <v>0.05</v>
      </c>
      <c r="N497" s="21">
        <v>188</v>
      </c>
      <c r="O497" s="21">
        <v>3568</v>
      </c>
      <c r="P497" s="13">
        <v>4.3</v>
      </c>
      <c r="Q497" s="13" t="s">
        <v>26</v>
      </c>
    </row>
    <row r="498" spans="1:17" x14ac:dyDescent="0.25">
      <c r="A498" s="13" t="s">
        <v>781</v>
      </c>
      <c r="B498" s="14">
        <v>46075</v>
      </c>
      <c r="C498" s="13" t="s">
        <v>19</v>
      </c>
      <c r="D498" s="13" t="s">
        <v>121</v>
      </c>
      <c r="E498" s="13" t="s">
        <v>37</v>
      </c>
      <c r="F498" s="13" t="s">
        <v>130</v>
      </c>
      <c r="G498" s="13" t="s">
        <v>23</v>
      </c>
      <c r="H498" s="13" t="s">
        <v>33</v>
      </c>
      <c r="I498" s="13" t="s">
        <v>45</v>
      </c>
      <c r="J498" s="13">
        <v>4</v>
      </c>
      <c r="K498" s="21">
        <v>174</v>
      </c>
      <c r="L498" s="21">
        <v>696</v>
      </c>
      <c r="M498" s="23">
        <v>0.25</v>
      </c>
      <c r="N498" s="21">
        <v>174</v>
      </c>
      <c r="O498" s="21">
        <v>522</v>
      </c>
      <c r="P498" s="13">
        <v>4</v>
      </c>
      <c r="Q498" s="13" t="s">
        <v>26</v>
      </c>
    </row>
    <row r="499" spans="1:17" x14ac:dyDescent="0.25">
      <c r="A499" s="13" t="s">
        <v>782</v>
      </c>
      <c r="B499" s="14">
        <v>46076</v>
      </c>
      <c r="C499" s="13" t="s">
        <v>19</v>
      </c>
      <c r="D499" s="13" t="s">
        <v>230</v>
      </c>
      <c r="E499" s="13" t="s">
        <v>71</v>
      </c>
      <c r="F499" s="13" t="s">
        <v>83</v>
      </c>
      <c r="G499" s="13" t="s">
        <v>23</v>
      </c>
      <c r="H499" s="13" t="s">
        <v>24</v>
      </c>
      <c r="I499" s="13" t="s">
        <v>34</v>
      </c>
      <c r="J499" s="13">
        <v>3</v>
      </c>
      <c r="K499" s="21">
        <v>962</v>
      </c>
      <c r="L499" s="21">
        <v>2886</v>
      </c>
      <c r="M499" s="23">
        <v>0.3</v>
      </c>
      <c r="N499" s="21">
        <v>866</v>
      </c>
      <c r="O499" s="21">
        <v>2020</v>
      </c>
      <c r="P499" s="13">
        <v>4.3</v>
      </c>
      <c r="Q499" s="13" t="s">
        <v>26</v>
      </c>
    </row>
    <row r="500" spans="1:17" x14ac:dyDescent="0.25">
      <c r="A500" s="13" t="s">
        <v>784</v>
      </c>
      <c r="B500" s="14">
        <v>46076</v>
      </c>
      <c r="C500" s="13" t="s">
        <v>28</v>
      </c>
      <c r="D500" s="13" t="s">
        <v>77</v>
      </c>
      <c r="E500" s="13" t="s">
        <v>60</v>
      </c>
      <c r="F500" s="13" t="s">
        <v>65</v>
      </c>
      <c r="G500" s="13" t="s">
        <v>32</v>
      </c>
      <c r="H500" s="13" t="s">
        <v>24</v>
      </c>
      <c r="I500" s="13" t="s">
        <v>34</v>
      </c>
      <c r="J500" s="13">
        <v>5</v>
      </c>
      <c r="K500" s="21">
        <v>243</v>
      </c>
      <c r="L500" s="21">
        <v>1215</v>
      </c>
      <c r="M500" s="23">
        <v>0.3</v>
      </c>
      <c r="N500" s="21">
        <v>364</v>
      </c>
      <c r="O500" s="21">
        <v>851</v>
      </c>
      <c r="P500" s="13">
        <v>4.7</v>
      </c>
      <c r="Q500" s="13" t="s">
        <v>26</v>
      </c>
    </row>
    <row r="501" spans="1:17" x14ac:dyDescent="0.25">
      <c r="A501" s="13" t="s">
        <v>785</v>
      </c>
      <c r="B501" s="14">
        <v>46077</v>
      </c>
      <c r="C501" s="13" t="s">
        <v>40</v>
      </c>
      <c r="D501" s="13" t="s">
        <v>68</v>
      </c>
      <c r="E501" s="13" t="s">
        <v>42</v>
      </c>
      <c r="F501" s="13" t="s">
        <v>72</v>
      </c>
      <c r="G501" s="13" t="s">
        <v>23</v>
      </c>
      <c r="H501" s="13" t="s">
        <v>24</v>
      </c>
      <c r="I501" s="13" t="s">
        <v>25</v>
      </c>
      <c r="J501" s="13">
        <v>1</v>
      </c>
      <c r="K501" s="21">
        <v>647</v>
      </c>
      <c r="L501" s="21">
        <v>647</v>
      </c>
      <c r="M501" s="23">
        <v>0.15</v>
      </c>
      <c r="N501" s="21">
        <v>97</v>
      </c>
      <c r="O501" s="21">
        <v>550</v>
      </c>
      <c r="P501" s="13">
        <v>4.8</v>
      </c>
      <c r="Q501" s="13" t="s">
        <v>26</v>
      </c>
    </row>
    <row r="502" spans="1:17" x14ac:dyDescent="0.25">
      <c r="A502" s="13" t="s">
        <v>787</v>
      </c>
      <c r="B502" s="14">
        <v>46078</v>
      </c>
      <c r="C502" s="13" t="s">
        <v>51</v>
      </c>
      <c r="D502" s="13" t="s">
        <v>52</v>
      </c>
      <c r="E502" s="13" t="s">
        <v>101</v>
      </c>
      <c r="F502" s="13" t="s">
        <v>130</v>
      </c>
      <c r="G502" s="13" t="s">
        <v>23</v>
      </c>
      <c r="H502" s="13" t="s">
        <v>33</v>
      </c>
      <c r="I502" s="13" t="s">
        <v>34</v>
      </c>
      <c r="J502" s="13">
        <v>1</v>
      </c>
      <c r="K502" s="21">
        <v>524</v>
      </c>
      <c r="L502" s="21">
        <v>524</v>
      </c>
      <c r="M502" s="23">
        <v>0.1</v>
      </c>
      <c r="N502" s="21">
        <v>52</v>
      </c>
      <c r="O502" s="21">
        <v>472</v>
      </c>
      <c r="P502" s="13">
        <v>4.3</v>
      </c>
      <c r="Q502" s="13" t="s">
        <v>26</v>
      </c>
    </row>
    <row r="503" spans="1:17" x14ac:dyDescent="0.25">
      <c r="A503" s="13" t="s">
        <v>789</v>
      </c>
      <c r="B503" s="14">
        <v>46081</v>
      </c>
      <c r="C503" s="13" t="s">
        <v>28</v>
      </c>
      <c r="D503" s="13" t="s">
        <v>163</v>
      </c>
      <c r="E503" s="13" t="s">
        <v>82</v>
      </c>
      <c r="F503" s="13" t="s">
        <v>72</v>
      </c>
      <c r="G503" s="13" t="s">
        <v>32</v>
      </c>
      <c r="H503" s="13" t="s">
        <v>24</v>
      </c>
      <c r="I503" s="13" t="s">
        <v>34</v>
      </c>
      <c r="J503" s="13">
        <v>3</v>
      </c>
      <c r="K503" s="21">
        <v>384</v>
      </c>
      <c r="L503" s="21">
        <v>1152</v>
      </c>
      <c r="M503" s="23">
        <v>0.2</v>
      </c>
      <c r="N503" s="21">
        <v>230</v>
      </c>
      <c r="O503" s="21">
        <v>922</v>
      </c>
      <c r="P503" s="13">
        <v>4.9000000000000004</v>
      </c>
      <c r="Q503" s="13" t="s">
        <v>26</v>
      </c>
    </row>
    <row r="504" spans="1:17" x14ac:dyDescent="0.25">
      <c r="A504" s="13" t="s">
        <v>791</v>
      </c>
      <c r="B504" s="14">
        <v>46081</v>
      </c>
      <c r="C504" s="13" t="s">
        <v>51</v>
      </c>
      <c r="D504" s="13" t="s">
        <v>97</v>
      </c>
      <c r="E504" s="13" t="s">
        <v>53</v>
      </c>
      <c r="F504" s="13" t="s">
        <v>119</v>
      </c>
      <c r="G504" s="13" t="s">
        <v>32</v>
      </c>
      <c r="H504" s="13" t="s">
        <v>24</v>
      </c>
      <c r="I504" s="13" t="s">
        <v>84</v>
      </c>
      <c r="J504" s="13">
        <v>1</v>
      </c>
      <c r="K504" s="21">
        <v>371</v>
      </c>
      <c r="L504" s="21">
        <v>371</v>
      </c>
      <c r="M504" s="23">
        <v>0.3</v>
      </c>
      <c r="N504" s="21">
        <v>111</v>
      </c>
      <c r="O504" s="21">
        <v>260</v>
      </c>
      <c r="P504" s="13">
        <v>4.3</v>
      </c>
      <c r="Q504" s="13" t="s">
        <v>26</v>
      </c>
    </row>
    <row r="505" spans="1:17" x14ac:dyDescent="0.25">
      <c r="A505" s="13" t="s">
        <v>792</v>
      </c>
      <c r="B505" s="14">
        <v>46082</v>
      </c>
      <c r="C505" s="13" t="s">
        <v>28</v>
      </c>
      <c r="D505" s="13" t="s">
        <v>77</v>
      </c>
      <c r="E505" s="13" t="s">
        <v>30</v>
      </c>
      <c r="F505" s="13" t="s">
        <v>61</v>
      </c>
      <c r="G505" s="13" t="s">
        <v>32</v>
      </c>
      <c r="H505" s="13" t="s">
        <v>33</v>
      </c>
      <c r="I505" s="13" t="s">
        <v>34</v>
      </c>
      <c r="J505" s="13">
        <v>3</v>
      </c>
      <c r="K505" s="21">
        <v>513</v>
      </c>
      <c r="L505" s="21">
        <v>1539</v>
      </c>
      <c r="M505" s="23">
        <v>0</v>
      </c>
      <c r="N505" s="21">
        <v>0</v>
      </c>
      <c r="O505" s="21">
        <v>1539</v>
      </c>
      <c r="P505" s="13">
        <v>4.8</v>
      </c>
      <c r="Q505" s="13" t="s">
        <v>26</v>
      </c>
    </row>
    <row r="506" spans="1:17" x14ac:dyDescent="0.25">
      <c r="A506" s="13" t="s">
        <v>794</v>
      </c>
      <c r="B506" s="14">
        <v>46082</v>
      </c>
      <c r="C506" s="13" t="s">
        <v>28</v>
      </c>
      <c r="D506" s="13" t="s">
        <v>36</v>
      </c>
      <c r="E506" s="13" t="s">
        <v>78</v>
      </c>
      <c r="F506" s="13" t="s">
        <v>79</v>
      </c>
      <c r="G506" s="13" t="s">
        <v>32</v>
      </c>
      <c r="H506" s="13" t="s">
        <v>33</v>
      </c>
      <c r="I506" s="13" t="s">
        <v>34</v>
      </c>
      <c r="J506" s="13">
        <v>1</v>
      </c>
      <c r="K506" s="21">
        <v>637</v>
      </c>
      <c r="L506" s="21">
        <v>637</v>
      </c>
      <c r="M506" s="23">
        <v>0.15</v>
      </c>
      <c r="N506" s="21">
        <v>96</v>
      </c>
      <c r="O506" s="21">
        <v>541</v>
      </c>
      <c r="P506" s="13">
        <v>4.5999999999999996</v>
      </c>
      <c r="Q506" s="13" t="s">
        <v>26</v>
      </c>
    </row>
    <row r="507" spans="1:17" x14ac:dyDescent="0.25">
      <c r="A507" s="13" t="s">
        <v>795</v>
      </c>
      <c r="B507" s="14">
        <v>46082</v>
      </c>
      <c r="C507" s="13" t="s">
        <v>51</v>
      </c>
      <c r="D507" s="13" t="s">
        <v>52</v>
      </c>
      <c r="E507" s="13" t="s">
        <v>82</v>
      </c>
      <c r="F507" s="13" t="s">
        <v>79</v>
      </c>
      <c r="G507" s="13" t="s">
        <v>32</v>
      </c>
      <c r="H507" s="13" t="s">
        <v>104</v>
      </c>
      <c r="I507" s="13" t="s">
        <v>98</v>
      </c>
      <c r="J507" s="13">
        <v>5</v>
      </c>
      <c r="K507" s="21">
        <v>638</v>
      </c>
      <c r="L507" s="21">
        <v>3190</v>
      </c>
      <c r="M507" s="23">
        <v>0</v>
      </c>
      <c r="N507" s="21">
        <v>0</v>
      </c>
      <c r="O507" s="21">
        <v>3190</v>
      </c>
      <c r="P507" s="13">
        <v>4.0999999999999996</v>
      </c>
      <c r="Q507" s="13" t="s">
        <v>26</v>
      </c>
    </row>
    <row r="508" spans="1:17" x14ac:dyDescent="0.25">
      <c r="A508" s="13" t="s">
        <v>796</v>
      </c>
      <c r="B508" s="14">
        <v>46082</v>
      </c>
      <c r="C508" s="13" t="s">
        <v>28</v>
      </c>
      <c r="D508" s="13" t="s">
        <v>95</v>
      </c>
      <c r="E508" s="13" t="s">
        <v>53</v>
      </c>
      <c r="F508" s="13" t="s">
        <v>130</v>
      </c>
      <c r="G508" s="13" t="s">
        <v>44</v>
      </c>
      <c r="H508" s="13" t="s">
        <v>33</v>
      </c>
      <c r="I508" s="13" t="s">
        <v>45</v>
      </c>
      <c r="J508" s="13">
        <v>5</v>
      </c>
      <c r="K508" s="21">
        <v>1184</v>
      </c>
      <c r="L508" s="21">
        <v>5920</v>
      </c>
      <c r="M508" s="23">
        <v>0.25</v>
      </c>
      <c r="N508" s="21">
        <v>1480</v>
      </c>
      <c r="O508" s="21">
        <v>4440</v>
      </c>
      <c r="P508" s="13">
        <v>4.0999999999999996</v>
      </c>
      <c r="Q508" s="13" t="s">
        <v>26</v>
      </c>
    </row>
    <row r="509" spans="1:17" x14ac:dyDescent="0.25">
      <c r="A509" s="13" t="s">
        <v>797</v>
      </c>
      <c r="B509" s="14">
        <v>46082</v>
      </c>
      <c r="C509" s="13" t="s">
        <v>51</v>
      </c>
      <c r="D509" s="13" t="s">
        <v>52</v>
      </c>
      <c r="E509" s="13" t="s">
        <v>155</v>
      </c>
      <c r="F509" s="13" t="s">
        <v>61</v>
      </c>
      <c r="G509" s="13" t="s">
        <v>23</v>
      </c>
      <c r="H509" s="13" t="s">
        <v>24</v>
      </c>
      <c r="I509" s="13" t="s">
        <v>34</v>
      </c>
      <c r="J509" s="13">
        <v>2</v>
      </c>
      <c r="K509" s="21">
        <v>412</v>
      </c>
      <c r="L509" s="21">
        <v>824</v>
      </c>
      <c r="M509" s="23">
        <v>0.05</v>
      </c>
      <c r="N509" s="21">
        <v>41</v>
      </c>
      <c r="O509" s="21">
        <v>783</v>
      </c>
      <c r="P509" s="13">
        <v>3.8</v>
      </c>
      <c r="Q509" s="13" t="s">
        <v>26</v>
      </c>
    </row>
    <row r="510" spans="1:17" x14ac:dyDescent="0.25">
      <c r="A510" s="13" t="s">
        <v>798</v>
      </c>
      <c r="B510" s="14">
        <v>46083</v>
      </c>
      <c r="C510" s="13" t="s">
        <v>40</v>
      </c>
      <c r="D510" s="13" t="s">
        <v>41</v>
      </c>
      <c r="E510" s="13" t="s">
        <v>42</v>
      </c>
      <c r="F510" s="13" t="s">
        <v>61</v>
      </c>
      <c r="G510" s="13" t="s">
        <v>32</v>
      </c>
      <c r="H510" s="13" t="s">
        <v>24</v>
      </c>
      <c r="I510" s="13" t="s">
        <v>25</v>
      </c>
      <c r="J510" s="13">
        <v>3</v>
      </c>
      <c r="K510" s="21">
        <v>1201</v>
      </c>
      <c r="L510" s="21">
        <v>3603</v>
      </c>
      <c r="M510" s="23">
        <v>0</v>
      </c>
      <c r="N510" s="21">
        <v>0</v>
      </c>
      <c r="O510" s="21">
        <v>3603</v>
      </c>
      <c r="P510" s="13">
        <v>4.4000000000000004</v>
      </c>
      <c r="Q510" s="13" t="s">
        <v>26</v>
      </c>
    </row>
    <row r="511" spans="1:17" x14ac:dyDescent="0.25">
      <c r="A511" s="13" t="s">
        <v>800</v>
      </c>
      <c r="B511" s="14">
        <v>46084</v>
      </c>
      <c r="C511" s="13" t="s">
        <v>63</v>
      </c>
      <c r="D511" s="13" t="s">
        <v>64</v>
      </c>
      <c r="E511" s="13" t="s">
        <v>53</v>
      </c>
      <c r="F511" s="13" t="s">
        <v>83</v>
      </c>
      <c r="G511" s="13" t="s">
        <v>23</v>
      </c>
      <c r="H511" s="13" t="s">
        <v>24</v>
      </c>
      <c r="I511" s="13" t="s">
        <v>34</v>
      </c>
      <c r="J511" s="13">
        <v>1</v>
      </c>
      <c r="K511" s="21">
        <v>1393</v>
      </c>
      <c r="L511" s="21">
        <v>1393</v>
      </c>
      <c r="M511" s="23">
        <v>0</v>
      </c>
      <c r="N511" s="21">
        <v>0</v>
      </c>
      <c r="O511" s="21">
        <v>1393</v>
      </c>
      <c r="P511" s="13">
        <v>3.8</v>
      </c>
      <c r="Q511" s="13" t="s">
        <v>26</v>
      </c>
    </row>
    <row r="512" spans="1:17" x14ac:dyDescent="0.25">
      <c r="A512" s="13" t="s">
        <v>802</v>
      </c>
      <c r="B512" s="14">
        <v>46084</v>
      </c>
      <c r="C512" s="13" t="s">
        <v>63</v>
      </c>
      <c r="D512" s="13" t="s">
        <v>143</v>
      </c>
      <c r="E512" s="13" t="s">
        <v>155</v>
      </c>
      <c r="F512" s="13" t="s">
        <v>83</v>
      </c>
      <c r="G512" s="13" t="s">
        <v>23</v>
      </c>
      <c r="H512" s="13" t="s">
        <v>33</v>
      </c>
      <c r="I512" s="13" t="s">
        <v>98</v>
      </c>
      <c r="J512" s="13">
        <v>3</v>
      </c>
      <c r="K512" s="21">
        <v>687</v>
      </c>
      <c r="L512" s="21">
        <v>2061</v>
      </c>
      <c r="M512" s="23">
        <v>0.2</v>
      </c>
      <c r="N512" s="21">
        <v>412</v>
      </c>
      <c r="O512" s="21">
        <v>1649</v>
      </c>
      <c r="P512" s="13">
        <v>4.5</v>
      </c>
      <c r="Q512" s="13" t="s">
        <v>26</v>
      </c>
    </row>
    <row r="513" spans="1:17" x14ac:dyDescent="0.25">
      <c r="A513" s="13" t="s">
        <v>803</v>
      </c>
      <c r="B513" s="14">
        <v>46084</v>
      </c>
      <c r="C513" s="13" t="s">
        <v>40</v>
      </c>
      <c r="D513" s="13" t="s">
        <v>113</v>
      </c>
      <c r="E513" s="13" t="s">
        <v>37</v>
      </c>
      <c r="F513" s="13" t="s">
        <v>43</v>
      </c>
      <c r="G513" s="13" t="s">
        <v>32</v>
      </c>
      <c r="H513" s="13" t="s">
        <v>33</v>
      </c>
      <c r="I513" s="13" t="s">
        <v>34</v>
      </c>
      <c r="J513" s="13">
        <v>3</v>
      </c>
      <c r="K513" s="21">
        <v>596</v>
      </c>
      <c r="L513" s="21">
        <v>1788</v>
      </c>
      <c r="M513" s="23">
        <v>0.15</v>
      </c>
      <c r="N513" s="21">
        <v>268</v>
      </c>
      <c r="O513" s="21">
        <v>1520</v>
      </c>
      <c r="P513" s="13">
        <v>3.6</v>
      </c>
      <c r="Q513" s="13" t="s">
        <v>26</v>
      </c>
    </row>
    <row r="514" spans="1:17" x14ac:dyDescent="0.25">
      <c r="A514" s="13" t="s">
        <v>804</v>
      </c>
      <c r="B514" s="14">
        <v>46085</v>
      </c>
      <c r="C514" s="13" t="s">
        <v>63</v>
      </c>
      <c r="D514" s="13" t="s">
        <v>143</v>
      </c>
      <c r="E514" s="13" t="s">
        <v>53</v>
      </c>
      <c r="F514" s="13" t="s">
        <v>79</v>
      </c>
      <c r="G514" s="13" t="s">
        <v>23</v>
      </c>
      <c r="H514" s="13" t="s">
        <v>24</v>
      </c>
      <c r="I514" s="13" t="s">
        <v>45</v>
      </c>
      <c r="J514" s="13">
        <v>1</v>
      </c>
      <c r="K514" s="21">
        <v>1183</v>
      </c>
      <c r="L514" s="21">
        <v>1183</v>
      </c>
      <c r="M514" s="23">
        <v>0.25</v>
      </c>
      <c r="N514" s="21">
        <v>296</v>
      </c>
      <c r="O514" s="21">
        <v>887</v>
      </c>
      <c r="P514" s="13">
        <v>4.2</v>
      </c>
      <c r="Q514" s="13" t="s">
        <v>26</v>
      </c>
    </row>
    <row r="515" spans="1:17" x14ac:dyDescent="0.25">
      <c r="A515" s="13" t="s">
        <v>806</v>
      </c>
      <c r="B515" s="14">
        <v>46087</v>
      </c>
      <c r="C515" s="13" t="s">
        <v>28</v>
      </c>
      <c r="D515" s="13" t="s">
        <v>36</v>
      </c>
      <c r="E515" s="13" t="s">
        <v>30</v>
      </c>
      <c r="F515" s="13" t="s">
        <v>83</v>
      </c>
      <c r="G515" s="13" t="s">
        <v>23</v>
      </c>
      <c r="H515" s="13" t="s">
        <v>33</v>
      </c>
      <c r="I515" s="13" t="s">
        <v>98</v>
      </c>
      <c r="J515" s="13">
        <v>5</v>
      </c>
      <c r="K515" s="21">
        <v>719</v>
      </c>
      <c r="L515" s="21">
        <v>3595</v>
      </c>
      <c r="M515" s="23">
        <v>0.3</v>
      </c>
      <c r="N515" s="21">
        <v>1078</v>
      </c>
      <c r="O515" s="21">
        <v>2517</v>
      </c>
      <c r="P515" s="13">
        <v>4.0999999999999996</v>
      </c>
      <c r="Q515" s="13" t="s">
        <v>26</v>
      </c>
    </row>
    <row r="516" spans="1:17" x14ac:dyDescent="0.25">
      <c r="A516" s="13" t="s">
        <v>808</v>
      </c>
      <c r="B516" s="14">
        <v>46088</v>
      </c>
      <c r="C516" s="13" t="s">
        <v>51</v>
      </c>
      <c r="D516" s="13" t="s">
        <v>97</v>
      </c>
      <c r="E516" s="13" t="s">
        <v>42</v>
      </c>
      <c r="F516" s="13" t="s">
        <v>83</v>
      </c>
      <c r="G516" s="13" t="s">
        <v>23</v>
      </c>
      <c r="H516" s="13" t="s">
        <v>33</v>
      </c>
      <c r="I516" s="13" t="s">
        <v>45</v>
      </c>
      <c r="J516" s="13">
        <v>3</v>
      </c>
      <c r="K516" s="21">
        <v>584</v>
      </c>
      <c r="L516" s="21">
        <v>1752</v>
      </c>
      <c r="M516" s="23">
        <v>0.3</v>
      </c>
      <c r="N516" s="21">
        <v>526</v>
      </c>
      <c r="O516" s="21">
        <v>1226</v>
      </c>
      <c r="P516" s="13">
        <v>3.9</v>
      </c>
      <c r="Q516" s="13" t="s">
        <v>26</v>
      </c>
    </row>
    <row r="517" spans="1:17" x14ac:dyDescent="0.25">
      <c r="A517" s="13" t="s">
        <v>810</v>
      </c>
      <c r="B517" s="14">
        <v>46089</v>
      </c>
      <c r="C517" s="13" t="s">
        <v>28</v>
      </c>
      <c r="D517" s="13" t="s">
        <v>29</v>
      </c>
      <c r="E517" s="13" t="s">
        <v>53</v>
      </c>
      <c r="F517" s="13" t="s">
        <v>83</v>
      </c>
      <c r="G517" s="13" t="s">
        <v>32</v>
      </c>
      <c r="H517" s="13" t="s">
        <v>33</v>
      </c>
      <c r="I517" s="13" t="s">
        <v>98</v>
      </c>
      <c r="J517" s="13">
        <v>1</v>
      </c>
      <c r="K517" s="21">
        <v>383</v>
      </c>
      <c r="L517" s="21">
        <v>383</v>
      </c>
      <c r="M517" s="23">
        <v>0.15</v>
      </c>
      <c r="N517" s="21">
        <v>57</v>
      </c>
      <c r="O517" s="21">
        <v>326</v>
      </c>
      <c r="P517" s="13">
        <v>4.5999999999999996</v>
      </c>
      <c r="Q517" s="13" t="s">
        <v>26</v>
      </c>
    </row>
    <row r="518" spans="1:17" x14ac:dyDescent="0.25">
      <c r="A518" s="13" t="s">
        <v>812</v>
      </c>
      <c r="B518" s="14">
        <v>46090</v>
      </c>
      <c r="C518" s="13" t="s">
        <v>19</v>
      </c>
      <c r="D518" s="13" t="s">
        <v>121</v>
      </c>
      <c r="E518" s="13" t="s">
        <v>82</v>
      </c>
      <c r="F518" s="13" t="s">
        <v>130</v>
      </c>
      <c r="G518" s="13" t="s">
        <v>23</v>
      </c>
      <c r="H518" s="13" t="s">
        <v>33</v>
      </c>
      <c r="I518" s="13" t="s">
        <v>45</v>
      </c>
      <c r="J518" s="13">
        <v>5</v>
      </c>
      <c r="K518" s="21">
        <v>503</v>
      </c>
      <c r="L518" s="21">
        <v>2515</v>
      </c>
      <c r="M518" s="23">
        <v>0.1</v>
      </c>
      <c r="N518" s="21">
        <v>252</v>
      </c>
      <c r="O518" s="21">
        <v>2263</v>
      </c>
      <c r="P518" s="13">
        <v>4.5</v>
      </c>
      <c r="Q518" s="13" t="s">
        <v>26</v>
      </c>
    </row>
    <row r="519" spans="1:17" x14ac:dyDescent="0.25">
      <c r="A519" s="13" t="s">
        <v>814</v>
      </c>
      <c r="B519" s="14">
        <v>46091</v>
      </c>
      <c r="C519" s="13" t="s">
        <v>40</v>
      </c>
      <c r="D519" s="13" t="s">
        <v>113</v>
      </c>
      <c r="E519" s="13" t="s">
        <v>60</v>
      </c>
      <c r="F519" s="13" t="s">
        <v>72</v>
      </c>
      <c r="G519" s="13" t="s">
        <v>23</v>
      </c>
      <c r="H519" s="13" t="s">
        <v>104</v>
      </c>
      <c r="I519" s="13" t="s">
        <v>84</v>
      </c>
      <c r="J519" s="13">
        <v>4</v>
      </c>
      <c r="K519" s="21">
        <v>843</v>
      </c>
      <c r="L519" s="21">
        <v>3372</v>
      </c>
      <c r="M519" s="23">
        <v>0.25</v>
      </c>
      <c r="N519" s="21">
        <v>843</v>
      </c>
      <c r="O519" s="21">
        <v>2529</v>
      </c>
      <c r="P519" s="13">
        <v>4.9000000000000004</v>
      </c>
      <c r="Q519" s="13" t="s">
        <v>26</v>
      </c>
    </row>
    <row r="520" spans="1:17" x14ac:dyDescent="0.25">
      <c r="A520" s="13" t="s">
        <v>816</v>
      </c>
      <c r="B520" s="14">
        <v>46091</v>
      </c>
      <c r="C520" s="13" t="s">
        <v>28</v>
      </c>
      <c r="D520" s="13" t="s">
        <v>29</v>
      </c>
      <c r="E520" s="13" t="s">
        <v>42</v>
      </c>
      <c r="F520" s="13" t="s">
        <v>22</v>
      </c>
      <c r="G520" s="13" t="s">
        <v>23</v>
      </c>
      <c r="H520" s="13" t="s">
        <v>33</v>
      </c>
      <c r="I520" s="13" t="s">
        <v>25</v>
      </c>
      <c r="J520" s="13">
        <v>1</v>
      </c>
      <c r="K520" s="21">
        <v>455</v>
      </c>
      <c r="L520" s="21">
        <v>455</v>
      </c>
      <c r="M520" s="23">
        <v>0.05</v>
      </c>
      <c r="N520" s="21">
        <v>23</v>
      </c>
      <c r="O520" s="21">
        <v>432</v>
      </c>
      <c r="P520" s="13">
        <v>3.2</v>
      </c>
      <c r="Q520" s="13" t="s">
        <v>26</v>
      </c>
    </row>
    <row r="521" spans="1:17" x14ac:dyDescent="0.25">
      <c r="A521" s="13" t="s">
        <v>817</v>
      </c>
      <c r="B521" s="14">
        <v>46092</v>
      </c>
      <c r="C521" s="13" t="s">
        <v>63</v>
      </c>
      <c r="D521" s="13" t="s">
        <v>134</v>
      </c>
      <c r="E521" s="13" t="s">
        <v>21</v>
      </c>
      <c r="F521" s="13" t="s">
        <v>83</v>
      </c>
      <c r="G521" s="13" t="s">
        <v>23</v>
      </c>
      <c r="H521" s="13" t="s">
        <v>33</v>
      </c>
      <c r="I521" s="13" t="s">
        <v>45</v>
      </c>
      <c r="J521" s="13">
        <v>2</v>
      </c>
      <c r="K521" s="21">
        <v>678</v>
      </c>
      <c r="L521" s="21">
        <v>1356</v>
      </c>
      <c r="M521" s="23">
        <v>0.1</v>
      </c>
      <c r="N521" s="21">
        <v>136</v>
      </c>
      <c r="O521" s="21">
        <v>1220</v>
      </c>
      <c r="P521" s="13">
        <v>3.6</v>
      </c>
      <c r="Q521" s="13" t="s">
        <v>75</v>
      </c>
    </row>
    <row r="522" spans="1:17" x14ac:dyDescent="0.25">
      <c r="A522" s="13" t="s">
        <v>819</v>
      </c>
      <c r="B522" s="14">
        <v>46092</v>
      </c>
      <c r="C522" s="13" t="s">
        <v>19</v>
      </c>
      <c r="D522" s="13" t="s">
        <v>20</v>
      </c>
      <c r="E522" s="13" t="s">
        <v>155</v>
      </c>
      <c r="F522" s="13" t="s">
        <v>43</v>
      </c>
      <c r="G522" s="13" t="s">
        <v>23</v>
      </c>
      <c r="H522" s="13" t="s">
        <v>104</v>
      </c>
      <c r="I522" s="13" t="s">
        <v>98</v>
      </c>
      <c r="J522" s="13">
        <v>2</v>
      </c>
      <c r="K522" s="21">
        <v>995</v>
      </c>
      <c r="L522" s="21">
        <v>1990</v>
      </c>
      <c r="M522" s="23">
        <v>0.1</v>
      </c>
      <c r="N522" s="21">
        <v>199</v>
      </c>
      <c r="O522" s="21">
        <v>1791</v>
      </c>
      <c r="P522" s="13">
        <v>4.5</v>
      </c>
      <c r="Q522" s="13" t="s">
        <v>26</v>
      </c>
    </row>
    <row r="523" spans="1:17" x14ac:dyDescent="0.25">
      <c r="A523" s="13" t="s">
        <v>820</v>
      </c>
      <c r="B523" s="14">
        <v>46094</v>
      </c>
      <c r="C523" s="13" t="s">
        <v>40</v>
      </c>
      <c r="D523" s="13" t="s">
        <v>41</v>
      </c>
      <c r="E523" s="13" t="s">
        <v>82</v>
      </c>
      <c r="F523" s="13" t="s">
        <v>79</v>
      </c>
      <c r="G523" s="13" t="s">
        <v>44</v>
      </c>
      <c r="H523" s="13" t="s">
        <v>33</v>
      </c>
      <c r="I523" s="13" t="s">
        <v>34</v>
      </c>
      <c r="J523" s="13">
        <v>3</v>
      </c>
      <c r="K523" s="21">
        <v>802</v>
      </c>
      <c r="L523" s="21">
        <v>2406</v>
      </c>
      <c r="M523" s="23">
        <v>0.2</v>
      </c>
      <c r="N523" s="21">
        <v>481</v>
      </c>
      <c r="O523" s="21">
        <v>1925</v>
      </c>
      <c r="P523" s="13">
        <v>3.6</v>
      </c>
      <c r="Q523" s="13" t="s">
        <v>26</v>
      </c>
    </row>
    <row r="524" spans="1:17" x14ac:dyDescent="0.25">
      <c r="A524" s="13" t="s">
        <v>822</v>
      </c>
      <c r="B524" s="14">
        <v>46094</v>
      </c>
      <c r="C524" s="13" t="s">
        <v>51</v>
      </c>
      <c r="D524" s="13" t="s">
        <v>70</v>
      </c>
      <c r="E524" s="13" t="s">
        <v>53</v>
      </c>
      <c r="F524" s="13" t="s">
        <v>61</v>
      </c>
      <c r="G524" s="13" t="s">
        <v>32</v>
      </c>
      <c r="H524" s="13" t="s">
        <v>24</v>
      </c>
      <c r="I524" s="13" t="s">
        <v>98</v>
      </c>
      <c r="J524" s="13">
        <v>2</v>
      </c>
      <c r="K524" s="21">
        <v>752</v>
      </c>
      <c r="L524" s="21">
        <v>1504</v>
      </c>
      <c r="M524" s="23">
        <v>0.15</v>
      </c>
      <c r="N524" s="21">
        <v>226</v>
      </c>
      <c r="O524" s="21">
        <v>1278</v>
      </c>
      <c r="P524" s="13">
        <v>4.8</v>
      </c>
      <c r="Q524" s="13" t="s">
        <v>26</v>
      </c>
    </row>
    <row r="525" spans="1:17" x14ac:dyDescent="0.25">
      <c r="A525" s="13" t="s">
        <v>823</v>
      </c>
      <c r="B525" s="14">
        <v>46094</v>
      </c>
      <c r="C525" s="13" t="s">
        <v>91</v>
      </c>
      <c r="D525" s="13" t="s">
        <v>110</v>
      </c>
      <c r="E525" s="13" t="s">
        <v>78</v>
      </c>
      <c r="F525" s="13" t="s">
        <v>79</v>
      </c>
      <c r="G525" s="13" t="s">
        <v>23</v>
      </c>
      <c r="H525" s="13" t="s">
        <v>33</v>
      </c>
      <c r="I525" s="13" t="s">
        <v>98</v>
      </c>
      <c r="J525" s="13">
        <v>2</v>
      </c>
      <c r="K525" s="21">
        <v>2295</v>
      </c>
      <c r="L525" s="21">
        <v>4590</v>
      </c>
      <c r="M525" s="23">
        <v>0.1</v>
      </c>
      <c r="N525" s="21">
        <v>459</v>
      </c>
      <c r="O525" s="21">
        <v>4131</v>
      </c>
      <c r="P525" s="13">
        <v>4</v>
      </c>
      <c r="Q525" s="13" t="s">
        <v>26</v>
      </c>
    </row>
    <row r="526" spans="1:17" x14ac:dyDescent="0.25">
      <c r="A526" s="13" t="s">
        <v>824</v>
      </c>
      <c r="B526" s="14">
        <v>46095</v>
      </c>
      <c r="C526" s="13" t="s">
        <v>19</v>
      </c>
      <c r="D526" s="13" t="s">
        <v>121</v>
      </c>
      <c r="E526" s="13" t="s">
        <v>60</v>
      </c>
      <c r="F526" s="13" t="s">
        <v>22</v>
      </c>
      <c r="G526" s="13" t="s">
        <v>23</v>
      </c>
      <c r="H526" s="13" t="s">
        <v>24</v>
      </c>
      <c r="I526" s="13" t="s">
        <v>34</v>
      </c>
      <c r="J526" s="13">
        <v>2</v>
      </c>
      <c r="K526" s="21">
        <v>233</v>
      </c>
      <c r="L526" s="21">
        <v>466</v>
      </c>
      <c r="M526" s="23">
        <v>0</v>
      </c>
      <c r="N526" s="21">
        <v>0</v>
      </c>
      <c r="O526" s="21">
        <v>466</v>
      </c>
      <c r="P526" s="13">
        <v>3.8</v>
      </c>
      <c r="Q526" s="13" t="s">
        <v>26</v>
      </c>
    </row>
    <row r="527" spans="1:17" x14ac:dyDescent="0.25">
      <c r="A527" s="13" t="s">
        <v>826</v>
      </c>
      <c r="B527" s="14">
        <v>46095</v>
      </c>
      <c r="C527" s="13" t="s">
        <v>63</v>
      </c>
      <c r="D527" s="13" t="s">
        <v>134</v>
      </c>
      <c r="E527" s="13" t="s">
        <v>48</v>
      </c>
      <c r="F527" s="13" t="s">
        <v>79</v>
      </c>
      <c r="G527" s="13" t="s">
        <v>44</v>
      </c>
      <c r="H527" s="13" t="s">
        <v>104</v>
      </c>
      <c r="I527" s="13" t="s">
        <v>25</v>
      </c>
      <c r="J527" s="13">
        <v>2</v>
      </c>
      <c r="K527" s="21">
        <v>1488</v>
      </c>
      <c r="L527" s="21">
        <v>2976</v>
      </c>
      <c r="M527" s="23">
        <v>0.2</v>
      </c>
      <c r="N527" s="21">
        <v>595</v>
      </c>
      <c r="O527" s="21">
        <v>2381</v>
      </c>
      <c r="P527" s="13">
        <v>3.8</v>
      </c>
      <c r="Q527" s="13" t="s">
        <v>26</v>
      </c>
    </row>
    <row r="528" spans="1:17" x14ac:dyDescent="0.25">
      <c r="A528" s="13" t="s">
        <v>827</v>
      </c>
      <c r="B528" s="14">
        <v>46095</v>
      </c>
      <c r="C528" s="13" t="s">
        <v>63</v>
      </c>
      <c r="D528" s="13" t="s">
        <v>64</v>
      </c>
      <c r="E528" s="13" t="s">
        <v>60</v>
      </c>
      <c r="F528" s="13" t="s">
        <v>31</v>
      </c>
      <c r="G528" s="13" t="s">
        <v>23</v>
      </c>
      <c r="H528" s="13" t="s">
        <v>24</v>
      </c>
      <c r="I528" s="13" t="s">
        <v>34</v>
      </c>
      <c r="J528" s="13">
        <v>5</v>
      </c>
      <c r="K528" s="21">
        <v>1678</v>
      </c>
      <c r="L528" s="21">
        <v>8390</v>
      </c>
      <c r="M528" s="23">
        <v>0.05</v>
      </c>
      <c r="N528" s="21">
        <v>420</v>
      </c>
      <c r="O528" s="21">
        <v>7970</v>
      </c>
      <c r="P528" s="13">
        <v>3.9</v>
      </c>
      <c r="Q528" s="13" t="s">
        <v>26</v>
      </c>
    </row>
    <row r="529" spans="1:17" x14ac:dyDescent="0.25">
      <c r="A529" s="13" t="s">
        <v>828</v>
      </c>
      <c r="B529" s="14">
        <v>46096</v>
      </c>
      <c r="C529" s="13" t="s">
        <v>91</v>
      </c>
      <c r="D529" s="13" t="s">
        <v>125</v>
      </c>
      <c r="E529" s="13" t="s">
        <v>53</v>
      </c>
      <c r="F529" s="13" t="s">
        <v>119</v>
      </c>
      <c r="G529" s="13" t="s">
        <v>23</v>
      </c>
      <c r="H529" s="13" t="s">
        <v>24</v>
      </c>
      <c r="I529" s="13" t="s">
        <v>34</v>
      </c>
      <c r="J529" s="13">
        <v>5</v>
      </c>
      <c r="K529" s="21">
        <v>1047</v>
      </c>
      <c r="L529" s="21">
        <v>5235</v>
      </c>
      <c r="M529" s="23">
        <v>0.3</v>
      </c>
      <c r="N529" s="21">
        <v>1570</v>
      </c>
      <c r="O529" s="21">
        <v>3665</v>
      </c>
      <c r="P529" s="13">
        <v>4.5999999999999996</v>
      </c>
      <c r="Q529" s="13" t="s">
        <v>26</v>
      </c>
    </row>
    <row r="530" spans="1:17" x14ac:dyDescent="0.25">
      <c r="A530" s="13" t="s">
        <v>830</v>
      </c>
      <c r="B530" s="14">
        <v>46097</v>
      </c>
      <c r="C530" s="13" t="s">
        <v>40</v>
      </c>
      <c r="D530" s="13" t="s">
        <v>113</v>
      </c>
      <c r="E530" s="13" t="s">
        <v>42</v>
      </c>
      <c r="F530" s="13" t="s">
        <v>61</v>
      </c>
      <c r="G530" s="13" t="s">
        <v>23</v>
      </c>
      <c r="H530" s="13" t="s">
        <v>33</v>
      </c>
      <c r="I530" s="13" t="s">
        <v>45</v>
      </c>
      <c r="J530" s="13">
        <v>1</v>
      </c>
      <c r="K530" s="21">
        <v>516</v>
      </c>
      <c r="L530" s="21">
        <v>516</v>
      </c>
      <c r="M530" s="23">
        <v>0.1</v>
      </c>
      <c r="N530" s="21">
        <v>52</v>
      </c>
      <c r="O530" s="21">
        <v>464</v>
      </c>
      <c r="P530" s="13">
        <v>5</v>
      </c>
      <c r="Q530" s="13" t="s">
        <v>26</v>
      </c>
    </row>
    <row r="531" spans="1:17" x14ac:dyDescent="0.25">
      <c r="A531" s="13" t="s">
        <v>832</v>
      </c>
      <c r="B531" s="14">
        <v>46097</v>
      </c>
      <c r="C531" s="13" t="s">
        <v>28</v>
      </c>
      <c r="D531" s="13" t="s">
        <v>77</v>
      </c>
      <c r="E531" s="13" t="s">
        <v>71</v>
      </c>
      <c r="F531" s="13" t="s">
        <v>61</v>
      </c>
      <c r="G531" s="13" t="s">
        <v>23</v>
      </c>
      <c r="H531" s="13" t="s">
        <v>33</v>
      </c>
      <c r="I531" s="13" t="s">
        <v>45</v>
      </c>
      <c r="J531" s="13">
        <v>4</v>
      </c>
      <c r="K531" s="21">
        <v>383</v>
      </c>
      <c r="L531" s="21">
        <v>1532</v>
      </c>
      <c r="M531" s="23">
        <v>0.2</v>
      </c>
      <c r="N531" s="21">
        <v>306</v>
      </c>
      <c r="O531" s="21">
        <v>1226</v>
      </c>
      <c r="P531" s="13">
        <v>3.3</v>
      </c>
      <c r="Q531" s="13" t="s">
        <v>26</v>
      </c>
    </row>
    <row r="532" spans="1:17" x14ac:dyDescent="0.25">
      <c r="A532" s="13" t="s">
        <v>833</v>
      </c>
      <c r="B532" s="14">
        <v>46097</v>
      </c>
      <c r="C532" s="13" t="s">
        <v>91</v>
      </c>
      <c r="D532" s="13" t="s">
        <v>92</v>
      </c>
      <c r="E532" s="13" t="s">
        <v>155</v>
      </c>
      <c r="F532" s="13" t="s">
        <v>43</v>
      </c>
      <c r="G532" s="13" t="s">
        <v>32</v>
      </c>
      <c r="H532" s="13" t="s">
        <v>33</v>
      </c>
      <c r="I532" s="13" t="s">
        <v>84</v>
      </c>
      <c r="J532" s="13">
        <v>4</v>
      </c>
      <c r="K532" s="21">
        <v>1624</v>
      </c>
      <c r="L532" s="21">
        <v>6496</v>
      </c>
      <c r="M532" s="23">
        <v>0.3</v>
      </c>
      <c r="N532" s="21">
        <v>1949</v>
      </c>
      <c r="O532" s="21">
        <v>4547</v>
      </c>
      <c r="P532" s="13">
        <v>3.6</v>
      </c>
      <c r="Q532" s="13" t="s">
        <v>26</v>
      </c>
    </row>
    <row r="533" spans="1:17" x14ac:dyDescent="0.25">
      <c r="A533" s="13" t="s">
        <v>834</v>
      </c>
      <c r="B533" s="14">
        <v>46098</v>
      </c>
      <c r="C533" s="13" t="s">
        <v>40</v>
      </c>
      <c r="D533" s="13" t="s">
        <v>41</v>
      </c>
      <c r="E533" s="13" t="s">
        <v>53</v>
      </c>
      <c r="F533" s="13" t="s">
        <v>43</v>
      </c>
      <c r="G533" s="13" t="s">
        <v>23</v>
      </c>
      <c r="H533" s="13" t="s">
        <v>33</v>
      </c>
      <c r="I533" s="13" t="s">
        <v>25</v>
      </c>
      <c r="J533" s="13">
        <v>4</v>
      </c>
      <c r="K533" s="21">
        <v>1390</v>
      </c>
      <c r="L533" s="21">
        <v>5560</v>
      </c>
      <c r="M533" s="23">
        <v>0.2</v>
      </c>
      <c r="N533" s="21">
        <v>1112</v>
      </c>
      <c r="O533" s="21">
        <v>4448</v>
      </c>
      <c r="P533" s="13">
        <v>4.4000000000000004</v>
      </c>
      <c r="Q533" s="13" t="s">
        <v>26</v>
      </c>
    </row>
    <row r="534" spans="1:17" x14ac:dyDescent="0.25">
      <c r="A534" s="13" t="s">
        <v>836</v>
      </c>
      <c r="B534" s="14">
        <v>46098</v>
      </c>
      <c r="C534" s="13" t="s">
        <v>91</v>
      </c>
      <c r="D534" s="13" t="s">
        <v>92</v>
      </c>
      <c r="E534" s="13" t="s">
        <v>101</v>
      </c>
      <c r="F534" s="13" t="s">
        <v>65</v>
      </c>
      <c r="G534" s="13" t="s">
        <v>32</v>
      </c>
      <c r="H534" s="13" t="s">
        <v>33</v>
      </c>
      <c r="I534" s="13" t="s">
        <v>98</v>
      </c>
      <c r="J534" s="13">
        <v>2</v>
      </c>
      <c r="K534" s="21">
        <v>1233</v>
      </c>
      <c r="L534" s="21">
        <v>2466</v>
      </c>
      <c r="M534" s="23">
        <v>0.15</v>
      </c>
      <c r="N534" s="21">
        <v>370</v>
      </c>
      <c r="O534" s="21">
        <v>2096</v>
      </c>
      <c r="P534" s="13">
        <v>3.4</v>
      </c>
      <c r="Q534" s="13" t="s">
        <v>26</v>
      </c>
    </row>
    <row r="535" spans="1:17" x14ac:dyDescent="0.25">
      <c r="A535" s="13" t="s">
        <v>837</v>
      </c>
      <c r="B535" s="14">
        <v>46098</v>
      </c>
      <c r="C535" s="13" t="s">
        <v>40</v>
      </c>
      <c r="D535" s="13" t="s">
        <v>68</v>
      </c>
      <c r="E535" s="13" t="s">
        <v>155</v>
      </c>
      <c r="F535" s="13" t="s">
        <v>43</v>
      </c>
      <c r="G535" s="13" t="s">
        <v>23</v>
      </c>
      <c r="H535" s="13" t="s">
        <v>104</v>
      </c>
      <c r="I535" s="13" t="s">
        <v>98</v>
      </c>
      <c r="J535" s="13">
        <v>1</v>
      </c>
      <c r="K535" s="21">
        <v>507</v>
      </c>
      <c r="L535" s="21">
        <v>507</v>
      </c>
      <c r="M535" s="23">
        <v>0.3</v>
      </c>
      <c r="N535" s="21">
        <v>152</v>
      </c>
      <c r="O535" s="21">
        <v>355</v>
      </c>
      <c r="P535" s="13">
        <v>3.6</v>
      </c>
      <c r="Q535" s="13" t="s">
        <v>26</v>
      </c>
    </row>
    <row r="536" spans="1:17" x14ac:dyDescent="0.25">
      <c r="A536" s="13" t="s">
        <v>838</v>
      </c>
      <c r="B536" s="14">
        <v>46098</v>
      </c>
      <c r="C536" s="13" t="s">
        <v>19</v>
      </c>
      <c r="D536" s="13" t="s">
        <v>121</v>
      </c>
      <c r="E536" s="13" t="s">
        <v>101</v>
      </c>
      <c r="F536" s="13" t="s">
        <v>72</v>
      </c>
      <c r="G536" s="13" t="s">
        <v>23</v>
      </c>
      <c r="H536" s="13" t="s">
        <v>33</v>
      </c>
      <c r="I536" s="13" t="s">
        <v>25</v>
      </c>
      <c r="J536" s="13">
        <v>3</v>
      </c>
      <c r="K536" s="21">
        <v>856</v>
      </c>
      <c r="L536" s="21">
        <v>2568</v>
      </c>
      <c r="M536" s="23">
        <v>0</v>
      </c>
      <c r="N536" s="21">
        <v>0</v>
      </c>
      <c r="O536" s="21">
        <v>2568</v>
      </c>
      <c r="P536" s="13">
        <v>4.4000000000000004</v>
      </c>
      <c r="Q536" s="13" t="s">
        <v>75</v>
      </c>
    </row>
    <row r="537" spans="1:17" x14ac:dyDescent="0.25">
      <c r="A537" s="13" t="s">
        <v>839</v>
      </c>
      <c r="B537" s="14">
        <v>46099</v>
      </c>
      <c r="C537" s="13" t="s">
        <v>51</v>
      </c>
      <c r="D537" s="13" t="s">
        <v>52</v>
      </c>
      <c r="E537" s="13" t="s">
        <v>37</v>
      </c>
      <c r="F537" s="13" t="s">
        <v>72</v>
      </c>
      <c r="G537" s="13" t="s">
        <v>32</v>
      </c>
      <c r="H537" s="13" t="s">
        <v>24</v>
      </c>
      <c r="I537" s="13" t="s">
        <v>25</v>
      </c>
      <c r="J537" s="13">
        <v>2</v>
      </c>
      <c r="K537" s="21">
        <v>411</v>
      </c>
      <c r="L537" s="21">
        <v>822</v>
      </c>
      <c r="M537" s="23">
        <v>0.2</v>
      </c>
      <c r="N537" s="21">
        <v>164</v>
      </c>
      <c r="O537" s="21">
        <v>658</v>
      </c>
      <c r="P537" s="13">
        <v>3.6</v>
      </c>
      <c r="Q537" s="13" t="s">
        <v>26</v>
      </c>
    </row>
    <row r="538" spans="1:17" x14ac:dyDescent="0.25">
      <c r="A538" s="13" t="s">
        <v>841</v>
      </c>
      <c r="B538" s="14">
        <v>46100</v>
      </c>
      <c r="C538" s="13" t="s">
        <v>63</v>
      </c>
      <c r="D538" s="13" t="s">
        <v>143</v>
      </c>
      <c r="E538" s="13" t="s">
        <v>71</v>
      </c>
      <c r="F538" s="13" t="s">
        <v>22</v>
      </c>
      <c r="G538" s="13" t="s">
        <v>32</v>
      </c>
      <c r="H538" s="13" t="s">
        <v>33</v>
      </c>
      <c r="I538" s="13" t="s">
        <v>25</v>
      </c>
      <c r="J538" s="13">
        <v>1</v>
      </c>
      <c r="K538" s="21">
        <v>1366</v>
      </c>
      <c r="L538" s="21">
        <v>1366</v>
      </c>
      <c r="M538" s="23">
        <v>0.05</v>
      </c>
      <c r="N538" s="21">
        <v>68</v>
      </c>
      <c r="O538" s="21">
        <v>1298</v>
      </c>
      <c r="P538" s="13">
        <v>3.4</v>
      </c>
      <c r="Q538" s="13" t="s">
        <v>26</v>
      </c>
    </row>
    <row r="539" spans="1:17" x14ac:dyDescent="0.25">
      <c r="A539" s="13" t="s">
        <v>843</v>
      </c>
      <c r="B539" s="14">
        <v>46102</v>
      </c>
      <c r="C539" s="13" t="s">
        <v>51</v>
      </c>
      <c r="D539" s="13" t="s">
        <v>97</v>
      </c>
      <c r="E539" s="13" t="s">
        <v>82</v>
      </c>
      <c r="F539" s="13" t="s">
        <v>31</v>
      </c>
      <c r="G539" s="13" t="s">
        <v>23</v>
      </c>
      <c r="H539" s="13" t="s">
        <v>24</v>
      </c>
      <c r="I539" s="13" t="s">
        <v>98</v>
      </c>
      <c r="J539" s="13">
        <v>2</v>
      </c>
      <c r="K539" s="21">
        <v>627</v>
      </c>
      <c r="L539" s="21">
        <v>1254</v>
      </c>
      <c r="M539" s="23">
        <v>0.15</v>
      </c>
      <c r="N539" s="21">
        <v>188</v>
      </c>
      <c r="O539" s="21">
        <v>1066</v>
      </c>
      <c r="P539" s="13">
        <v>4.9000000000000004</v>
      </c>
      <c r="Q539" s="13" t="s">
        <v>26</v>
      </c>
    </row>
    <row r="540" spans="1:17" x14ac:dyDescent="0.25">
      <c r="A540" s="13" t="s">
        <v>845</v>
      </c>
      <c r="B540" s="14">
        <v>46103</v>
      </c>
      <c r="C540" s="13" t="s">
        <v>51</v>
      </c>
      <c r="D540" s="13" t="s">
        <v>97</v>
      </c>
      <c r="E540" s="13" t="s">
        <v>78</v>
      </c>
      <c r="F540" s="13" t="s">
        <v>65</v>
      </c>
      <c r="G540" s="13" t="s">
        <v>23</v>
      </c>
      <c r="H540" s="13" t="s">
        <v>104</v>
      </c>
      <c r="I540" s="13" t="s">
        <v>98</v>
      </c>
      <c r="J540" s="13">
        <v>4</v>
      </c>
      <c r="K540" s="21">
        <v>378</v>
      </c>
      <c r="L540" s="21">
        <v>1512</v>
      </c>
      <c r="M540" s="23">
        <v>0.3</v>
      </c>
      <c r="N540" s="21">
        <v>454</v>
      </c>
      <c r="O540" s="21">
        <v>1058</v>
      </c>
      <c r="P540" s="13">
        <v>3.8</v>
      </c>
      <c r="Q540" s="13" t="s">
        <v>26</v>
      </c>
    </row>
    <row r="541" spans="1:17" x14ac:dyDescent="0.25">
      <c r="A541" s="13" t="s">
        <v>847</v>
      </c>
      <c r="B541" s="14">
        <v>46103</v>
      </c>
      <c r="C541" s="13" t="s">
        <v>19</v>
      </c>
      <c r="D541" s="13" t="s">
        <v>128</v>
      </c>
      <c r="E541" s="13" t="s">
        <v>78</v>
      </c>
      <c r="F541" s="13" t="s">
        <v>31</v>
      </c>
      <c r="G541" s="13" t="s">
        <v>23</v>
      </c>
      <c r="H541" s="13" t="s">
        <v>24</v>
      </c>
      <c r="I541" s="13" t="s">
        <v>45</v>
      </c>
      <c r="J541" s="13">
        <v>5</v>
      </c>
      <c r="K541" s="21">
        <v>247</v>
      </c>
      <c r="L541" s="21">
        <v>1235</v>
      </c>
      <c r="M541" s="23">
        <v>0.1</v>
      </c>
      <c r="N541" s="21">
        <v>124</v>
      </c>
      <c r="O541" s="21">
        <v>1111</v>
      </c>
      <c r="P541" s="13">
        <v>4.9000000000000004</v>
      </c>
      <c r="Q541" s="13" t="s">
        <v>26</v>
      </c>
    </row>
    <row r="542" spans="1:17" x14ac:dyDescent="0.25">
      <c r="A542" s="13" t="s">
        <v>848</v>
      </c>
      <c r="B542" s="14">
        <v>46103</v>
      </c>
      <c r="C542" s="13" t="s">
        <v>51</v>
      </c>
      <c r="D542" s="13" t="s">
        <v>52</v>
      </c>
      <c r="E542" s="13" t="s">
        <v>155</v>
      </c>
      <c r="F542" s="13" t="s">
        <v>72</v>
      </c>
      <c r="G542" s="13" t="s">
        <v>23</v>
      </c>
      <c r="H542" s="13" t="s">
        <v>33</v>
      </c>
      <c r="I542" s="13" t="s">
        <v>34</v>
      </c>
      <c r="J542" s="13">
        <v>4</v>
      </c>
      <c r="K542" s="21">
        <v>737</v>
      </c>
      <c r="L542" s="21">
        <v>2948</v>
      </c>
      <c r="M542" s="23">
        <v>0.05</v>
      </c>
      <c r="N542" s="21">
        <v>147</v>
      </c>
      <c r="O542" s="21">
        <v>2801</v>
      </c>
      <c r="P542" s="13">
        <v>4.7</v>
      </c>
      <c r="Q542" s="13" t="s">
        <v>26</v>
      </c>
    </row>
    <row r="543" spans="1:17" x14ac:dyDescent="0.25">
      <c r="A543" s="13" t="s">
        <v>849</v>
      </c>
      <c r="B543" s="14">
        <v>46103</v>
      </c>
      <c r="C543" s="13" t="s">
        <v>51</v>
      </c>
      <c r="D543" s="13" t="s">
        <v>70</v>
      </c>
      <c r="E543" s="13" t="s">
        <v>21</v>
      </c>
      <c r="F543" s="13" t="s">
        <v>72</v>
      </c>
      <c r="G543" s="13" t="s">
        <v>23</v>
      </c>
      <c r="H543" s="13" t="s">
        <v>33</v>
      </c>
      <c r="I543" s="13" t="s">
        <v>84</v>
      </c>
      <c r="J543" s="13">
        <v>4</v>
      </c>
      <c r="K543" s="21">
        <v>559</v>
      </c>
      <c r="L543" s="21">
        <v>2236</v>
      </c>
      <c r="M543" s="23">
        <v>0.25</v>
      </c>
      <c r="N543" s="21">
        <v>559</v>
      </c>
      <c r="O543" s="21">
        <v>1677</v>
      </c>
      <c r="P543" s="13">
        <v>4.9000000000000004</v>
      </c>
      <c r="Q543" s="13" t="s">
        <v>26</v>
      </c>
    </row>
    <row r="544" spans="1:17" x14ac:dyDescent="0.25">
      <c r="A544" s="13" t="s">
        <v>850</v>
      </c>
      <c r="B544" s="14">
        <v>46103</v>
      </c>
      <c r="C544" s="13" t="s">
        <v>40</v>
      </c>
      <c r="D544" s="13" t="s">
        <v>47</v>
      </c>
      <c r="E544" s="13" t="s">
        <v>42</v>
      </c>
      <c r="F544" s="13" t="s">
        <v>130</v>
      </c>
      <c r="G544" s="13" t="s">
        <v>44</v>
      </c>
      <c r="H544" s="13" t="s">
        <v>24</v>
      </c>
      <c r="I544" s="13" t="s">
        <v>45</v>
      </c>
      <c r="J544" s="13">
        <v>3</v>
      </c>
      <c r="K544" s="21">
        <v>1227</v>
      </c>
      <c r="L544" s="21">
        <v>3681</v>
      </c>
      <c r="M544" s="23">
        <v>0.1</v>
      </c>
      <c r="N544" s="21">
        <v>368</v>
      </c>
      <c r="O544" s="21">
        <v>3313</v>
      </c>
      <c r="P544" s="13">
        <v>3.8</v>
      </c>
      <c r="Q544" s="13" t="s">
        <v>26</v>
      </c>
    </row>
    <row r="545" spans="1:17" x14ac:dyDescent="0.25">
      <c r="A545" s="13" t="s">
        <v>851</v>
      </c>
      <c r="B545" s="14">
        <v>46104</v>
      </c>
      <c r="C545" s="13" t="s">
        <v>19</v>
      </c>
      <c r="D545" s="13" t="s">
        <v>121</v>
      </c>
      <c r="E545" s="13" t="s">
        <v>30</v>
      </c>
      <c r="F545" s="13" t="s">
        <v>61</v>
      </c>
      <c r="G545" s="13" t="s">
        <v>23</v>
      </c>
      <c r="H545" s="13" t="s">
        <v>33</v>
      </c>
      <c r="I545" s="13" t="s">
        <v>25</v>
      </c>
      <c r="J545" s="13">
        <v>2</v>
      </c>
      <c r="K545" s="21">
        <v>189</v>
      </c>
      <c r="L545" s="21">
        <v>378</v>
      </c>
      <c r="M545" s="23">
        <v>0.15</v>
      </c>
      <c r="N545" s="21">
        <v>57</v>
      </c>
      <c r="O545" s="21">
        <v>321</v>
      </c>
      <c r="P545" s="13">
        <v>4.2</v>
      </c>
      <c r="Q545" s="13" t="s">
        <v>26</v>
      </c>
    </row>
    <row r="546" spans="1:17" x14ac:dyDescent="0.25">
      <c r="A546" s="13" t="s">
        <v>853</v>
      </c>
      <c r="B546" s="14">
        <v>46104</v>
      </c>
      <c r="C546" s="13" t="s">
        <v>51</v>
      </c>
      <c r="D546" s="13" t="s">
        <v>70</v>
      </c>
      <c r="E546" s="13" t="s">
        <v>21</v>
      </c>
      <c r="F546" s="13" t="s">
        <v>61</v>
      </c>
      <c r="G546" s="13" t="s">
        <v>23</v>
      </c>
      <c r="H546" s="13" t="s">
        <v>33</v>
      </c>
      <c r="I546" s="13" t="s">
        <v>98</v>
      </c>
      <c r="J546" s="13">
        <v>4</v>
      </c>
      <c r="K546" s="21">
        <v>614</v>
      </c>
      <c r="L546" s="21">
        <v>2456</v>
      </c>
      <c r="M546" s="23">
        <v>0.15</v>
      </c>
      <c r="N546" s="21">
        <v>368</v>
      </c>
      <c r="O546" s="21">
        <v>2088</v>
      </c>
      <c r="P546" s="13">
        <v>4.0999999999999996</v>
      </c>
      <c r="Q546" s="13" t="s">
        <v>26</v>
      </c>
    </row>
    <row r="547" spans="1:17" x14ac:dyDescent="0.25">
      <c r="A547" s="13" t="s">
        <v>854</v>
      </c>
      <c r="B547" s="14">
        <v>46104</v>
      </c>
      <c r="C547" s="13" t="s">
        <v>40</v>
      </c>
      <c r="D547" s="13" t="s">
        <v>47</v>
      </c>
      <c r="E547" s="13" t="s">
        <v>21</v>
      </c>
      <c r="F547" s="13" t="s">
        <v>61</v>
      </c>
      <c r="G547" s="13" t="s">
        <v>44</v>
      </c>
      <c r="H547" s="13" t="s">
        <v>24</v>
      </c>
      <c r="I547" s="13" t="s">
        <v>98</v>
      </c>
      <c r="J547" s="13">
        <v>4</v>
      </c>
      <c r="K547" s="21">
        <v>1061</v>
      </c>
      <c r="L547" s="21">
        <v>4244</v>
      </c>
      <c r="M547" s="23">
        <v>0.15</v>
      </c>
      <c r="N547" s="21">
        <v>637</v>
      </c>
      <c r="O547" s="21">
        <v>3607</v>
      </c>
      <c r="P547" s="13">
        <v>4.9000000000000004</v>
      </c>
      <c r="Q547" s="13" t="s">
        <v>26</v>
      </c>
    </row>
    <row r="548" spans="1:17" x14ac:dyDescent="0.25">
      <c r="A548" s="13" t="s">
        <v>855</v>
      </c>
      <c r="B548" s="14">
        <v>46105</v>
      </c>
      <c r="C548" s="13" t="s">
        <v>63</v>
      </c>
      <c r="D548" s="13" t="s">
        <v>64</v>
      </c>
      <c r="E548" s="13" t="s">
        <v>42</v>
      </c>
      <c r="F548" s="13" t="s">
        <v>119</v>
      </c>
      <c r="G548" s="13" t="s">
        <v>32</v>
      </c>
      <c r="H548" s="13" t="s">
        <v>104</v>
      </c>
      <c r="I548" s="13" t="s">
        <v>34</v>
      </c>
      <c r="J548" s="13">
        <v>5</v>
      </c>
      <c r="K548" s="21">
        <v>421</v>
      </c>
      <c r="L548" s="21">
        <v>2105</v>
      </c>
      <c r="M548" s="23">
        <v>0</v>
      </c>
      <c r="N548" s="21">
        <v>0</v>
      </c>
      <c r="O548" s="21">
        <v>2105</v>
      </c>
      <c r="P548" s="13">
        <v>4.7</v>
      </c>
      <c r="Q548" s="13" t="s">
        <v>26</v>
      </c>
    </row>
    <row r="549" spans="1:17" x14ac:dyDescent="0.25">
      <c r="A549" s="13" t="s">
        <v>857</v>
      </c>
      <c r="B549" s="14">
        <v>46105</v>
      </c>
      <c r="C549" s="13" t="s">
        <v>40</v>
      </c>
      <c r="D549" s="13" t="s">
        <v>113</v>
      </c>
      <c r="E549" s="13" t="s">
        <v>30</v>
      </c>
      <c r="F549" s="13" t="s">
        <v>61</v>
      </c>
      <c r="G549" s="13" t="s">
        <v>32</v>
      </c>
      <c r="H549" s="13" t="s">
        <v>24</v>
      </c>
      <c r="I549" s="13" t="s">
        <v>45</v>
      </c>
      <c r="J549" s="13">
        <v>4</v>
      </c>
      <c r="K549" s="21">
        <v>905</v>
      </c>
      <c r="L549" s="21">
        <v>3620</v>
      </c>
      <c r="M549" s="23">
        <v>0.2</v>
      </c>
      <c r="N549" s="21">
        <v>724</v>
      </c>
      <c r="O549" s="21">
        <v>2896</v>
      </c>
      <c r="P549" s="13">
        <v>3.8</v>
      </c>
      <c r="Q549" s="13" t="s">
        <v>26</v>
      </c>
    </row>
    <row r="550" spans="1:17" x14ac:dyDescent="0.25">
      <c r="A550" s="13" t="s">
        <v>858</v>
      </c>
      <c r="B550" s="14">
        <v>46105</v>
      </c>
      <c r="C550" s="13" t="s">
        <v>91</v>
      </c>
      <c r="D550" s="13" t="s">
        <v>92</v>
      </c>
      <c r="E550" s="13" t="s">
        <v>30</v>
      </c>
      <c r="F550" s="13" t="s">
        <v>65</v>
      </c>
      <c r="G550" s="13" t="s">
        <v>32</v>
      </c>
      <c r="H550" s="13" t="s">
        <v>33</v>
      </c>
      <c r="I550" s="13" t="s">
        <v>84</v>
      </c>
      <c r="J550" s="13">
        <v>4</v>
      </c>
      <c r="K550" s="21">
        <v>1596</v>
      </c>
      <c r="L550" s="21">
        <v>6384</v>
      </c>
      <c r="M550" s="23">
        <v>0.05</v>
      </c>
      <c r="N550" s="21">
        <v>319</v>
      </c>
      <c r="O550" s="21">
        <v>6065</v>
      </c>
      <c r="P550" s="13">
        <v>4.7</v>
      </c>
      <c r="Q550" s="13" t="s">
        <v>75</v>
      </c>
    </row>
    <row r="551" spans="1:17" x14ac:dyDescent="0.25">
      <c r="A551" s="13" t="s">
        <v>859</v>
      </c>
      <c r="B551" s="14">
        <v>46106</v>
      </c>
      <c r="C551" s="13" t="s">
        <v>28</v>
      </c>
      <c r="D551" s="13" t="s">
        <v>77</v>
      </c>
      <c r="E551" s="13" t="s">
        <v>82</v>
      </c>
      <c r="F551" s="13" t="s">
        <v>65</v>
      </c>
      <c r="G551" s="13" t="s">
        <v>32</v>
      </c>
      <c r="H551" s="13" t="s">
        <v>104</v>
      </c>
      <c r="I551" s="13" t="s">
        <v>45</v>
      </c>
      <c r="J551" s="13">
        <v>4</v>
      </c>
      <c r="K551" s="21">
        <v>678</v>
      </c>
      <c r="L551" s="21">
        <v>2712</v>
      </c>
      <c r="M551" s="23">
        <v>0.25</v>
      </c>
      <c r="N551" s="21">
        <v>678</v>
      </c>
      <c r="O551" s="21">
        <v>2034</v>
      </c>
      <c r="P551" s="13">
        <v>4.3</v>
      </c>
      <c r="Q551" s="13" t="s">
        <v>26</v>
      </c>
    </row>
    <row r="552" spans="1:17" x14ac:dyDescent="0.25">
      <c r="A552" s="13" t="s">
        <v>861</v>
      </c>
      <c r="B552" s="14">
        <v>46106</v>
      </c>
      <c r="C552" s="13" t="s">
        <v>40</v>
      </c>
      <c r="D552" s="13" t="s">
        <v>113</v>
      </c>
      <c r="E552" s="13" t="s">
        <v>42</v>
      </c>
      <c r="F552" s="13" t="s">
        <v>130</v>
      </c>
      <c r="G552" s="13" t="s">
        <v>23</v>
      </c>
      <c r="H552" s="13" t="s">
        <v>33</v>
      </c>
      <c r="I552" s="13" t="s">
        <v>34</v>
      </c>
      <c r="J552" s="13">
        <v>4</v>
      </c>
      <c r="K552" s="21">
        <v>867</v>
      </c>
      <c r="L552" s="21">
        <v>3468</v>
      </c>
      <c r="M552" s="23">
        <v>0.1</v>
      </c>
      <c r="N552" s="21">
        <v>347</v>
      </c>
      <c r="O552" s="21">
        <v>3121</v>
      </c>
      <c r="P552" s="13">
        <v>4.3</v>
      </c>
      <c r="Q552" s="13" t="s">
        <v>26</v>
      </c>
    </row>
    <row r="553" spans="1:17" x14ac:dyDescent="0.25">
      <c r="A553" s="13" t="s">
        <v>862</v>
      </c>
      <c r="B553" s="14">
        <v>46106</v>
      </c>
      <c r="C553" s="13" t="s">
        <v>51</v>
      </c>
      <c r="D553" s="13" t="s">
        <v>52</v>
      </c>
      <c r="E553" s="13" t="s">
        <v>48</v>
      </c>
      <c r="F553" s="13" t="s">
        <v>43</v>
      </c>
      <c r="G553" s="13" t="s">
        <v>44</v>
      </c>
      <c r="H553" s="13" t="s">
        <v>33</v>
      </c>
      <c r="I553" s="13" t="s">
        <v>45</v>
      </c>
      <c r="J553" s="13">
        <v>5</v>
      </c>
      <c r="K553" s="21">
        <v>722</v>
      </c>
      <c r="L553" s="21">
        <v>3610</v>
      </c>
      <c r="M553" s="23">
        <v>0.15</v>
      </c>
      <c r="N553" s="21">
        <v>542</v>
      </c>
      <c r="O553" s="21">
        <v>3068</v>
      </c>
      <c r="P553" s="13">
        <v>3.7</v>
      </c>
      <c r="Q553" s="13" t="s">
        <v>26</v>
      </c>
    </row>
    <row r="554" spans="1:17" x14ac:dyDescent="0.25">
      <c r="A554" s="13" t="s">
        <v>863</v>
      </c>
      <c r="B554" s="14">
        <v>46108</v>
      </c>
      <c r="C554" s="13" t="s">
        <v>63</v>
      </c>
      <c r="D554" s="13" t="s">
        <v>64</v>
      </c>
      <c r="E554" s="13" t="s">
        <v>21</v>
      </c>
      <c r="F554" s="13" t="s">
        <v>43</v>
      </c>
      <c r="G554" s="13" t="s">
        <v>32</v>
      </c>
      <c r="H554" s="13" t="s">
        <v>33</v>
      </c>
      <c r="I554" s="13" t="s">
        <v>25</v>
      </c>
      <c r="J554" s="13">
        <v>2</v>
      </c>
      <c r="K554" s="21">
        <v>2441</v>
      </c>
      <c r="L554" s="21">
        <v>4882</v>
      </c>
      <c r="M554" s="23">
        <v>0.25</v>
      </c>
      <c r="N554" s="21">
        <v>1220</v>
      </c>
      <c r="O554" s="21">
        <v>3662</v>
      </c>
      <c r="P554" s="13">
        <v>3.3</v>
      </c>
      <c r="Q554" s="13" t="s">
        <v>26</v>
      </c>
    </row>
    <row r="555" spans="1:17" x14ac:dyDescent="0.25">
      <c r="A555" s="13" t="s">
        <v>865</v>
      </c>
      <c r="B555" s="14">
        <v>46108</v>
      </c>
      <c r="C555" s="13" t="s">
        <v>63</v>
      </c>
      <c r="D555" s="13" t="s">
        <v>143</v>
      </c>
      <c r="E555" s="13" t="s">
        <v>101</v>
      </c>
      <c r="F555" s="13" t="s">
        <v>43</v>
      </c>
      <c r="G555" s="13" t="s">
        <v>23</v>
      </c>
      <c r="H555" s="13" t="s">
        <v>33</v>
      </c>
      <c r="I555" s="13" t="s">
        <v>98</v>
      </c>
      <c r="J555" s="13">
        <v>1</v>
      </c>
      <c r="K555" s="21">
        <v>629</v>
      </c>
      <c r="L555" s="21">
        <v>629</v>
      </c>
      <c r="M555" s="23">
        <v>0.25</v>
      </c>
      <c r="N555" s="21">
        <v>157</v>
      </c>
      <c r="O555" s="21">
        <v>472</v>
      </c>
      <c r="P555" s="13">
        <v>5</v>
      </c>
      <c r="Q555" s="13" t="s">
        <v>26</v>
      </c>
    </row>
    <row r="556" spans="1:17" x14ac:dyDescent="0.25">
      <c r="A556" s="13" t="s">
        <v>866</v>
      </c>
      <c r="B556" s="14">
        <v>46108</v>
      </c>
      <c r="C556" s="13" t="s">
        <v>63</v>
      </c>
      <c r="D556" s="13" t="s">
        <v>134</v>
      </c>
      <c r="E556" s="13" t="s">
        <v>21</v>
      </c>
      <c r="F556" s="13" t="s">
        <v>22</v>
      </c>
      <c r="G556" s="13" t="s">
        <v>23</v>
      </c>
      <c r="H556" s="13" t="s">
        <v>33</v>
      </c>
      <c r="I556" s="13" t="s">
        <v>25</v>
      </c>
      <c r="J556" s="13">
        <v>4</v>
      </c>
      <c r="K556" s="21">
        <v>1030</v>
      </c>
      <c r="L556" s="21">
        <v>4120</v>
      </c>
      <c r="M556" s="23">
        <v>0.05</v>
      </c>
      <c r="N556" s="21">
        <v>206</v>
      </c>
      <c r="O556" s="21">
        <v>3914</v>
      </c>
      <c r="P556" s="13">
        <v>4.4000000000000004</v>
      </c>
      <c r="Q556" s="13" t="s">
        <v>26</v>
      </c>
    </row>
    <row r="557" spans="1:17" x14ac:dyDescent="0.25">
      <c r="A557" s="13" t="s">
        <v>867</v>
      </c>
      <c r="B557" s="14">
        <v>46109</v>
      </c>
      <c r="C557" s="13" t="s">
        <v>19</v>
      </c>
      <c r="D557" s="13" t="s">
        <v>230</v>
      </c>
      <c r="E557" s="13" t="s">
        <v>71</v>
      </c>
      <c r="F557" s="13" t="s">
        <v>43</v>
      </c>
      <c r="G557" s="13" t="s">
        <v>44</v>
      </c>
      <c r="H557" s="13" t="s">
        <v>33</v>
      </c>
      <c r="I557" s="13" t="s">
        <v>98</v>
      </c>
      <c r="J557" s="13">
        <v>2</v>
      </c>
      <c r="K557" s="21">
        <v>891</v>
      </c>
      <c r="L557" s="21">
        <v>1782</v>
      </c>
      <c r="M557" s="23">
        <v>0</v>
      </c>
      <c r="N557" s="21">
        <v>0</v>
      </c>
      <c r="O557" s="21">
        <v>1782</v>
      </c>
      <c r="P557" s="13">
        <v>4.4000000000000004</v>
      </c>
      <c r="Q557" s="13" t="s">
        <v>26</v>
      </c>
    </row>
    <row r="558" spans="1:17" x14ac:dyDescent="0.25">
      <c r="A558" s="13" t="s">
        <v>869</v>
      </c>
      <c r="B558" s="14">
        <v>46110</v>
      </c>
      <c r="C558" s="13" t="s">
        <v>63</v>
      </c>
      <c r="D558" s="13" t="s">
        <v>134</v>
      </c>
      <c r="E558" s="13" t="s">
        <v>78</v>
      </c>
      <c r="F558" s="13" t="s">
        <v>79</v>
      </c>
      <c r="G558" s="13" t="s">
        <v>23</v>
      </c>
      <c r="H558" s="13" t="s">
        <v>33</v>
      </c>
      <c r="I558" s="13" t="s">
        <v>45</v>
      </c>
      <c r="J558" s="13">
        <v>3</v>
      </c>
      <c r="K558" s="21">
        <v>1916</v>
      </c>
      <c r="L558" s="21">
        <v>5748</v>
      </c>
      <c r="M558" s="23">
        <v>0.25</v>
      </c>
      <c r="N558" s="21">
        <v>1437</v>
      </c>
      <c r="O558" s="21">
        <v>4311</v>
      </c>
      <c r="P558" s="13">
        <v>4.5</v>
      </c>
      <c r="Q558" s="13" t="s">
        <v>26</v>
      </c>
    </row>
    <row r="559" spans="1:17" x14ac:dyDescent="0.25">
      <c r="A559" s="13" t="s">
        <v>871</v>
      </c>
      <c r="B559" s="14">
        <v>46112</v>
      </c>
      <c r="C559" s="13" t="s">
        <v>40</v>
      </c>
      <c r="D559" s="13" t="s">
        <v>113</v>
      </c>
      <c r="E559" s="13" t="s">
        <v>101</v>
      </c>
      <c r="F559" s="13" t="s">
        <v>119</v>
      </c>
      <c r="G559" s="13" t="s">
        <v>23</v>
      </c>
      <c r="H559" s="13" t="s">
        <v>33</v>
      </c>
      <c r="I559" s="13" t="s">
        <v>34</v>
      </c>
      <c r="J559" s="13">
        <v>2</v>
      </c>
      <c r="K559" s="21">
        <v>511</v>
      </c>
      <c r="L559" s="21">
        <v>1022</v>
      </c>
      <c r="M559" s="23">
        <v>0</v>
      </c>
      <c r="N559" s="21">
        <v>0</v>
      </c>
      <c r="O559" s="21">
        <v>1022</v>
      </c>
      <c r="P559" s="13">
        <v>4.9000000000000004</v>
      </c>
      <c r="Q559" s="13" t="s">
        <v>26</v>
      </c>
    </row>
    <row r="560" spans="1:17" x14ac:dyDescent="0.25">
      <c r="A560" s="13" t="s">
        <v>873</v>
      </c>
      <c r="B560" s="14">
        <v>46112</v>
      </c>
      <c r="C560" s="13" t="s">
        <v>63</v>
      </c>
      <c r="D560" s="13" t="s">
        <v>143</v>
      </c>
      <c r="E560" s="13" t="s">
        <v>53</v>
      </c>
      <c r="F560" s="13" t="s">
        <v>72</v>
      </c>
      <c r="G560" s="13" t="s">
        <v>23</v>
      </c>
      <c r="H560" s="13" t="s">
        <v>24</v>
      </c>
      <c r="I560" s="13" t="s">
        <v>98</v>
      </c>
      <c r="J560" s="13">
        <v>2</v>
      </c>
      <c r="K560" s="21">
        <v>759</v>
      </c>
      <c r="L560" s="21">
        <v>1518</v>
      </c>
      <c r="M560" s="23">
        <v>0.2</v>
      </c>
      <c r="N560" s="21">
        <v>304</v>
      </c>
      <c r="O560" s="21">
        <v>1214</v>
      </c>
      <c r="P560" s="13">
        <v>4.5</v>
      </c>
      <c r="Q560" s="13" t="s">
        <v>26</v>
      </c>
    </row>
    <row r="561" spans="1:17" x14ac:dyDescent="0.25">
      <c r="A561" s="13" t="s">
        <v>874</v>
      </c>
      <c r="B561" s="14">
        <v>46112</v>
      </c>
      <c r="C561" s="13" t="s">
        <v>91</v>
      </c>
      <c r="D561" s="13" t="s">
        <v>110</v>
      </c>
      <c r="E561" s="13" t="s">
        <v>53</v>
      </c>
      <c r="F561" s="13" t="s">
        <v>130</v>
      </c>
      <c r="G561" s="13" t="s">
        <v>44</v>
      </c>
      <c r="H561" s="13" t="s">
        <v>33</v>
      </c>
      <c r="I561" s="13" t="s">
        <v>25</v>
      </c>
      <c r="J561" s="13">
        <v>1</v>
      </c>
      <c r="K561" s="21">
        <v>2106</v>
      </c>
      <c r="L561" s="21">
        <v>2106</v>
      </c>
      <c r="M561" s="23">
        <v>0.05</v>
      </c>
      <c r="N561" s="21">
        <v>105</v>
      </c>
      <c r="O561" s="21">
        <v>2001</v>
      </c>
      <c r="P561" s="13">
        <v>4.8</v>
      </c>
      <c r="Q561" s="13" t="s">
        <v>26</v>
      </c>
    </row>
    <row r="562" spans="1:17" x14ac:dyDescent="0.25">
      <c r="A562" s="13" t="s">
        <v>875</v>
      </c>
      <c r="B562" s="14">
        <v>46112</v>
      </c>
      <c r="C562" s="13" t="s">
        <v>40</v>
      </c>
      <c r="D562" s="13" t="s">
        <v>47</v>
      </c>
      <c r="E562" s="13" t="s">
        <v>37</v>
      </c>
      <c r="F562" s="13" t="s">
        <v>130</v>
      </c>
      <c r="G562" s="13" t="s">
        <v>23</v>
      </c>
      <c r="H562" s="13" t="s">
        <v>24</v>
      </c>
      <c r="I562" s="13" t="s">
        <v>34</v>
      </c>
      <c r="J562" s="13">
        <v>2</v>
      </c>
      <c r="K562" s="21">
        <v>1157</v>
      </c>
      <c r="L562" s="21">
        <v>2314</v>
      </c>
      <c r="M562" s="23">
        <v>0.25</v>
      </c>
      <c r="N562" s="21">
        <v>578</v>
      </c>
      <c r="O562" s="21">
        <v>1736</v>
      </c>
      <c r="P562" s="13">
        <v>3.2</v>
      </c>
      <c r="Q562" s="13" t="s">
        <v>26</v>
      </c>
    </row>
    <row r="563" spans="1:17" x14ac:dyDescent="0.25">
      <c r="A563" s="13" t="s">
        <v>876</v>
      </c>
      <c r="B563" s="14">
        <v>46113</v>
      </c>
      <c r="C563" s="13" t="s">
        <v>28</v>
      </c>
      <c r="D563" s="13" t="s">
        <v>163</v>
      </c>
      <c r="E563" s="13" t="s">
        <v>42</v>
      </c>
      <c r="F563" s="13" t="s">
        <v>61</v>
      </c>
      <c r="G563" s="13" t="s">
        <v>23</v>
      </c>
      <c r="H563" s="13" t="s">
        <v>24</v>
      </c>
      <c r="I563" s="13" t="s">
        <v>45</v>
      </c>
      <c r="J563" s="13">
        <v>2</v>
      </c>
      <c r="K563" s="21">
        <v>1161</v>
      </c>
      <c r="L563" s="21">
        <v>2322</v>
      </c>
      <c r="M563" s="23">
        <v>0</v>
      </c>
      <c r="N563" s="21">
        <v>0</v>
      </c>
      <c r="O563" s="21">
        <v>2322</v>
      </c>
      <c r="P563" s="13">
        <v>4</v>
      </c>
      <c r="Q563" s="13" t="s">
        <v>26</v>
      </c>
    </row>
    <row r="564" spans="1:17" x14ac:dyDescent="0.25">
      <c r="A564" s="13" t="s">
        <v>878</v>
      </c>
      <c r="B564" s="14">
        <v>46113</v>
      </c>
      <c r="C564" s="13" t="s">
        <v>91</v>
      </c>
      <c r="D564" s="13" t="s">
        <v>125</v>
      </c>
      <c r="E564" s="13" t="s">
        <v>78</v>
      </c>
      <c r="F564" s="13" t="s">
        <v>83</v>
      </c>
      <c r="G564" s="13" t="s">
        <v>23</v>
      </c>
      <c r="H564" s="13" t="s">
        <v>24</v>
      </c>
      <c r="I564" s="13" t="s">
        <v>98</v>
      </c>
      <c r="J564" s="13">
        <v>5</v>
      </c>
      <c r="K564" s="21">
        <v>598</v>
      </c>
      <c r="L564" s="21">
        <v>2990</v>
      </c>
      <c r="M564" s="23">
        <v>0</v>
      </c>
      <c r="N564" s="21">
        <v>0</v>
      </c>
      <c r="O564" s="21">
        <v>2990</v>
      </c>
      <c r="P564" s="13">
        <v>3.5</v>
      </c>
      <c r="Q564" s="13" t="s">
        <v>26</v>
      </c>
    </row>
    <row r="565" spans="1:17" x14ac:dyDescent="0.25">
      <c r="A565" s="13" t="s">
        <v>879</v>
      </c>
      <c r="B565" s="14">
        <v>46113</v>
      </c>
      <c r="C565" s="13" t="s">
        <v>19</v>
      </c>
      <c r="D565" s="13" t="s">
        <v>121</v>
      </c>
      <c r="E565" s="13" t="s">
        <v>155</v>
      </c>
      <c r="F565" s="13" t="s">
        <v>31</v>
      </c>
      <c r="G565" s="13" t="s">
        <v>23</v>
      </c>
      <c r="H565" s="13" t="s">
        <v>33</v>
      </c>
      <c r="I565" s="13" t="s">
        <v>34</v>
      </c>
      <c r="J565" s="13">
        <v>5</v>
      </c>
      <c r="K565" s="21">
        <v>979</v>
      </c>
      <c r="L565" s="21">
        <v>4895</v>
      </c>
      <c r="M565" s="23">
        <v>0.2</v>
      </c>
      <c r="N565" s="21">
        <v>979</v>
      </c>
      <c r="O565" s="21">
        <v>3916</v>
      </c>
      <c r="P565" s="13">
        <v>4.3</v>
      </c>
      <c r="Q565" s="13" t="s">
        <v>75</v>
      </c>
    </row>
    <row r="566" spans="1:17" x14ac:dyDescent="0.25">
      <c r="A566" s="13" t="s">
        <v>880</v>
      </c>
      <c r="B566" s="14">
        <v>46113</v>
      </c>
      <c r="C566" s="13" t="s">
        <v>91</v>
      </c>
      <c r="D566" s="13" t="s">
        <v>110</v>
      </c>
      <c r="E566" s="13" t="s">
        <v>60</v>
      </c>
      <c r="F566" s="13" t="s">
        <v>72</v>
      </c>
      <c r="G566" s="13" t="s">
        <v>23</v>
      </c>
      <c r="H566" s="13" t="s">
        <v>33</v>
      </c>
      <c r="I566" s="13" t="s">
        <v>34</v>
      </c>
      <c r="J566" s="13">
        <v>5</v>
      </c>
      <c r="K566" s="21">
        <v>1452</v>
      </c>
      <c r="L566" s="21">
        <v>7260</v>
      </c>
      <c r="M566" s="23">
        <v>0.25</v>
      </c>
      <c r="N566" s="21">
        <v>1815</v>
      </c>
      <c r="O566" s="21">
        <v>5445</v>
      </c>
      <c r="P566" s="13">
        <v>4.9000000000000004</v>
      </c>
      <c r="Q566" s="13" t="s">
        <v>26</v>
      </c>
    </row>
    <row r="567" spans="1:17" x14ac:dyDescent="0.25">
      <c r="A567" s="13" t="s">
        <v>881</v>
      </c>
      <c r="B567" s="14">
        <v>46114</v>
      </c>
      <c r="C567" s="13" t="s">
        <v>19</v>
      </c>
      <c r="D567" s="13" t="s">
        <v>128</v>
      </c>
      <c r="E567" s="13" t="s">
        <v>37</v>
      </c>
      <c r="F567" s="13" t="s">
        <v>119</v>
      </c>
      <c r="G567" s="13" t="s">
        <v>23</v>
      </c>
      <c r="H567" s="13" t="s">
        <v>33</v>
      </c>
      <c r="I567" s="13" t="s">
        <v>45</v>
      </c>
      <c r="J567" s="13">
        <v>5</v>
      </c>
      <c r="K567" s="21">
        <v>587</v>
      </c>
      <c r="L567" s="21">
        <v>2935</v>
      </c>
      <c r="M567" s="23">
        <v>0.15</v>
      </c>
      <c r="N567" s="21">
        <v>440</v>
      </c>
      <c r="O567" s="21">
        <v>2495</v>
      </c>
      <c r="P567" s="13">
        <v>3.7</v>
      </c>
      <c r="Q567" s="13" t="s">
        <v>26</v>
      </c>
    </row>
    <row r="568" spans="1:17" x14ac:dyDescent="0.25">
      <c r="A568" s="13" t="s">
        <v>883</v>
      </c>
      <c r="B568" s="14">
        <v>46114</v>
      </c>
      <c r="C568" s="13" t="s">
        <v>19</v>
      </c>
      <c r="D568" s="13" t="s">
        <v>128</v>
      </c>
      <c r="E568" s="13" t="s">
        <v>155</v>
      </c>
      <c r="F568" s="13" t="s">
        <v>83</v>
      </c>
      <c r="G568" s="13" t="s">
        <v>23</v>
      </c>
      <c r="H568" s="13" t="s">
        <v>33</v>
      </c>
      <c r="I568" s="13" t="s">
        <v>34</v>
      </c>
      <c r="J568" s="13">
        <v>5</v>
      </c>
      <c r="K568" s="21">
        <v>560</v>
      </c>
      <c r="L568" s="21">
        <v>2800</v>
      </c>
      <c r="M568" s="23">
        <v>0.25</v>
      </c>
      <c r="N568" s="21">
        <v>700</v>
      </c>
      <c r="O568" s="21">
        <v>2100</v>
      </c>
      <c r="P568" s="13">
        <v>5</v>
      </c>
      <c r="Q568" s="13" t="s">
        <v>26</v>
      </c>
    </row>
    <row r="569" spans="1:17" x14ac:dyDescent="0.25">
      <c r="A569" s="13" t="s">
        <v>884</v>
      </c>
      <c r="B569" s="14">
        <v>46115</v>
      </c>
      <c r="C569" s="13" t="s">
        <v>91</v>
      </c>
      <c r="D569" s="13" t="s">
        <v>110</v>
      </c>
      <c r="E569" s="13" t="s">
        <v>155</v>
      </c>
      <c r="F569" s="13" t="s">
        <v>130</v>
      </c>
      <c r="G569" s="13" t="s">
        <v>44</v>
      </c>
      <c r="H569" s="13" t="s">
        <v>24</v>
      </c>
      <c r="I569" s="13" t="s">
        <v>25</v>
      </c>
      <c r="J569" s="13">
        <v>1</v>
      </c>
      <c r="K569" s="21">
        <v>2385</v>
      </c>
      <c r="L569" s="21">
        <v>2385</v>
      </c>
      <c r="M569" s="23">
        <v>0.05</v>
      </c>
      <c r="N569" s="21">
        <v>119</v>
      </c>
      <c r="O569" s="21">
        <v>2266</v>
      </c>
      <c r="P569" s="13">
        <v>3.6</v>
      </c>
      <c r="Q569" s="13" t="s">
        <v>26</v>
      </c>
    </row>
    <row r="570" spans="1:17" x14ac:dyDescent="0.25">
      <c r="A570" s="13" t="s">
        <v>886</v>
      </c>
      <c r="B570" s="14">
        <v>46115</v>
      </c>
      <c r="C570" s="13" t="s">
        <v>19</v>
      </c>
      <c r="D570" s="13" t="s">
        <v>230</v>
      </c>
      <c r="E570" s="13" t="s">
        <v>21</v>
      </c>
      <c r="F570" s="13" t="s">
        <v>65</v>
      </c>
      <c r="G570" s="13" t="s">
        <v>23</v>
      </c>
      <c r="H570" s="13" t="s">
        <v>24</v>
      </c>
      <c r="I570" s="13" t="s">
        <v>98</v>
      </c>
      <c r="J570" s="13">
        <v>2</v>
      </c>
      <c r="K570" s="21">
        <v>651</v>
      </c>
      <c r="L570" s="21">
        <v>1302</v>
      </c>
      <c r="M570" s="23">
        <v>0.15</v>
      </c>
      <c r="N570" s="21">
        <v>195</v>
      </c>
      <c r="O570" s="21">
        <v>1107</v>
      </c>
      <c r="P570" s="13">
        <v>4.3</v>
      </c>
      <c r="Q570" s="13" t="s">
        <v>26</v>
      </c>
    </row>
    <row r="571" spans="1:17" x14ac:dyDescent="0.25">
      <c r="A571" s="13" t="s">
        <v>887</v>
      </c>
      <c r="B571" s="14">
        <v>46116</v>
      </c>
      <c r="C571" s="13" t="s">
        <v>63</v>
      </c>
      <c r="D571" s="13" t="s">
        <v>134</v>
      </c>
      <c r="E571" s="13" t="s">
        <v>71</v>
      </c>
      <c r="F571" s="13" t="s">
        <v>65</v>
      </c>
      <c r="G571" s="13" t="s">
        <v>32</v>
      </c>
      <c r="H571" s="13" t="s">
        <v>104</v>
      </c>
      <c r="I571" s="13" t="s">
        <v>84</v>
      </c>
      <c r="J571" s="13">
        <v>3</v>
      </c>
      <c r="K571" s="21">
        <v>1467</v>
      </c>
      <c r="L571" s="21">
        <v>4401</v>
      </c>
      <c r="M571" s="23">
        <v>0</v>
      </c>
      <c r="N571" s="21">
        <v>0</v>
      </c>
      <c r="O571" s="21">
        <v>4401</v>
      </c>
      <c r="P571" s="13">
        <v>5</v>
      </c>
      <c r="Q571" s="13" t="s">
        <v>26</v>
      </c>
    </row>
    <row r="572" spans="1:17" x14ac:dyDescent="0.25">
      <c r="A572" s="13" t="s">
        <v>889</v>
      </c>
      <c r="B572" s="14">
        <v>46116</v>
      </c>
      <c r="C572" s="13" t="s">
        <v>51</v>
      </c>
      <c r="D572" s="13" t="s">
        <v>70</v>
      </c>
      <c r="E572" s="13" t="s">
        <v>82</v>
      </c>
      <c r="F572" s="13" t="s">
        <v>130</v>
      </c>
      <c r="G572" s="13" t="s">
        <v>23</v>
      </c>
      <c r="H572" s="13" t="s">
        <v>33</v>
      </c>
      <c r="I572" s="13" t="s">
        <v>25</v>
      </c>
      <c r="J572" s="13">
        <v>1</v>
      </c>
      <c r="K572" s="21">
        <v>646</v>
      </c>
      <c r="L572" s="21">
        <v>646</v>
      </c>
      <c r="M572" s="23">
        <v>0.15</v>
      </c>
      <c r="N572" s="21">
        <v>97</v>
      </c>
      <c r="O572" s="21">
        <v>549</v>
      </c>
      <c r="P572" s="13">
        <v>3.4</v>
      </c>
      <c r="Q572" s="13" t="s">
        <v>26</v>
      </c>
    </row>
    <row r="573" spans="1:17" x14ac:dyDescent="0.25">
      <c r="A573" s="13" t="s">
        <v>890</v>
      </c>
      <c r="B573" s="14">
        <v>46116</v>
      </c>
      <c r="C573" s="13" t="s">
        <v>51</v>
      </c>
      <c r="D573" s="13" t="s">
        <v>70</v>
      </c>
      <c r="E573" s="13" t="s">
        <v>21</v>
      </c>
      <c r="F573" s="13" t="s">
        <v>31</v>
      </c>
      <c r="G573" s="13" t="s">
        <v>23</v>
      </c>
      <c r="H573" s="13" t="s">
        <v>24</v>
      </c>
      <c r="I573" s="13" t="s">
        <v>98</v>
      </c>
      <c r="J573" s="13">
        <v>2</v>
      </c>
      <c r="K573" s="21">
        <v>710</v>
      </c>
      <c r="L573" s="21">
        <v>1420</v>
      </c>
      <c r="M573" s="23">
        <v>0.1</v>
      </c>
      <c r="N573" s="21">
        <v>142</v>
      </c>
      <c r="O573" s="21">
        <v>1278</v>
      </c>
      <c r="P573" s="13">
        <v>4.4000000000000004</v>
      </c>
      <c r="Q573" s="13" t="s">
        <v>26</v>
      </c>
    </row>
    <row r="574" spans="1:17" x14ac:dyDescent="0.25">
      <c r="A574" s="13" t="s">
        <v>891</v>
      </c>
      <c r="B574" s="14">
        <v>46117</v>
      </c>
      <c r="C574" s="13" t="s">
        <v>91</v>
      </c>
      <c r="D574" s="13" t="s">
        <v>92</v>
      </c>
      <c r="E574" s="13" t="s">
        <v>101</v>
      </c>
      <c r="F574" s="13" t="s">
        <v>83</v>
      </c>
      <c r="G574" s="13" t="s">
        <v>23</v>
      </c>
      <c r="H574" s="13" t="s">
        <v>33</v>
      </c>
      <c r="I574" s="13" t="s">
        <v>98</v>
      </c>
      <c r="J574" s="13">
        <v>4</v>
      </c>
      <c r="K574" s="21">
        <v>785</v>
      </c>
      <c r="L574" s="21">
        <v>3140</v>
      </c>
      <c r="M574" s="23">
        <v>0.2</v>
      </c>
      <c r="N574" s="21">
        <v>628</v>
      </c>
      <c r="O574" s="21">
        <v>2512</v>
      </c>
      <c r="P574" s="13">
        <v>4</v>
      </c>
      <c r="Q574" s="13" t="s">
        <v>26</v>
      </c>
    </row>
    <row r="575" spans="1:17" x14ac:dyDescent="0.25">
      <c r="A575" s="13" t="s">
        <v>893</v>
      </c>
      <c r="B575" s="14">
        <v>46117</v>
      </c>
      <c r="C575" s="13" t="s">
        <v>28</v>
      </c>
      <c r="D575" s="13" t="s">
        <v>29</v>
      </c>
      <c r="E575" s="13" t="s">
        <v>82</v>
      </c>
      <c r="F575" s="13" t="s">
        <v>119</v>
      </c>
      <c r="G575" s="13" t="s">
        <v>23</v>
      </c>
      <c r="H575" s="13" t="s">
        <v>33</v>
      </c>
      <c r="I575" s="13" t="s">
        <v>98</v>
      </c>
      <c r="J575" s="13">
        <v>5</v>
      </c>
      <c r="K575" s="21">
        <v>375</v>
      </c>
      <c r="L575" s="21">
        <v>1875</v>
      </c>
      <c r="M575" s="23">
        <v>0.2</v>
      </c>
      <c r="N575" s="21">
        <v>375</v>
      </c>
      <c r="O575" s="21">
        <v>1500</v>
      </c>
      <c r="P575" s="13">
        <v>3.5</v>
      </c>
      <c r="Q575" s="13" t="s">
        <v>26</v>
      </c>
    </row>
    <row r="576" spans="1:17" x14ac:dyDescent="0.25">
      <c r="A576" s="13" t="s">
        <v>894</v>
      </c>
      <c r="B576" s="14">
        <v>46118</v>
      </c>
      <c r="C576" s="13" t="s">
        <v>19</v>
      </c>
      <c r="D576" s="13" t="s">
        <v>121</v>
      </c>
      <c r="E576" s="13" t="s">
        <v>101</v>
      </c>
      <c r="F576" s="13" t="s">
        <v>43</v>
      </c>
      <c r="G576" s="13" t="s">
        <v>23</v>
      </c>
      <c r="H576" s="13" t="s">
        <v>24</v>
      </c>
      <c r="I576" s="13" t="s">
        <v>34</v>
      </c>
      <c r="J576" s="13">
        <v>2</v>
      </c>
      <c r="K576" s="21">
        <v>458</v>
      </c>
      <c r="L576" s="21">
        <v>916</v>
      </c>
      <c r="M576" s="23">
        <v>0.25</v>
      </c>
      <c r="N576" s="21">
        <v>229</v>
      </c>
      <c r="O576" s="21">
        <v>687</v>
      </c>
      <c r="P576" s="13">
        <v>3.9</v>
      </c>
      <c r="Q576" s="13" t="s">
        <v>26</v>
      </c>
    </row>
    <row r="577" spans="1:17" x14ac:dyDescent="0.25">
      <c r="A577" s="13" t="s">
        <v>896</v>
      </c>
      <c r="B577" s="14">
        <v>46120</v>
      </c>
      <c r="C577" s="13" t="s">
        <v>28</v>
      </c>
      <c r="D577" s="13" t="s">
        <v>95</v>
      </c>
      <c r="E577" s="13" t="s">
        <v>155</v>
      </c>
      <c r="F577" s="13" t="s">
        <v>22</v>
      </c>
      <c r="G577" s="13" t="s">
        <v>23</v>
      </c>
      <c r="H577" s="13" t="s">
        <v>33</v>
      </c>
      <c r="I577" s="13" t="s">
        <v>34</v>
      </c>
      <c r="J577" s="13">
        <v>2</v>
      </c>
      <c r="K577" s="21">
        <v>595</v>
      </c>
      <c r="L577" s="21">
        <v>1190</v>
      </c>
      <c r="M577" s="23">
        <v>0</v>
      </c>
      <c r="N577" s="21">
        <v>0</v>
      </c>
      <c r="O577" s="21">
        <v>1190</v>
      </c>
      <c r="P577" s="13">
        <v>4.8</v>
      </c>
      <c r="Q577" s="13" t="s">
        <v>26</v>
      </c>
    </row>
    <row r="578" spans="1:17" x14ac:dyDescent="0.25">
      <c r="A578" s="13" t="s">
        <v>898</v>
      </c>
      <c r="B578" s="14">
        <v>46120</v>
      </c>
      <c r="C578" s="13" t="s">
        <v>40</v>
      </c>
      <c r="D578" s="13" t="s">
        <v>41</v>
      </c>
      <c r="E578" s="13" t="s">
        <v>42</v>
      </c>
      <c r="F578" s="13" t="s">
        <v>43</v>
      </c>
      <c r="G578" s="13" t="s">
        <v>23</v>
      </c>
      <c r="H578" s="13" t="s">
        <v>24</v>
      </c>
      <c r="I578" s="13" t="s">
        <v>45</v>
      </c>
      <c r="J578" s="13">
        <v>4</v>
      </c>
      <c r="K578" s="21">
        <v>1261</v>
      </c>
      <c r="L578" s="21">
        <v>5044</v>
      </c>
      <c r="M578" s="23">
        <v>0.15</v>
      </c>
      <c r="N578" s="21">
        <v>757</v>
      </c>
      <c r="O578" s="21">
        <v>4287</v>
      </c>
      <c r="P578" s="13">
        <v>3.4</v>
      </c>
      <c r="Q578" s="13" t="s">
        <v>26</v>
      </c>
    </row>
    <row r="579" spans="1:17" x14ac:dyDescent="0.25">
      <c r="A579" s="13" t="s">
        <v>899</v>
      </c>
      <c r="B579" s="14">
        <v>46121</v>
      </c>
      <c r="C579" s="13" t="s">
        <v>51</v>
      </c>
      <c r="D579" s="13" t="s">
        <v>70</v>
      </c>
      <c r="E579" s="13" t="s">
        <v>82</v>
      </c>
      <c r="F579" s="13" t="s">
        <v>79</v>
      </c>
      <c r="G579" s="13" t="s">
        <v>23</v>
      </c>
      <c r="H579" s="13" t="s">
        <v>104</v>
      </c>
      <c r="I579" s="13" t="s">
        <v>45</v>
      </c>
      <c r="J579" s="13">
        <v>5</v>
      </c>
      <c r="K579" s="21">
        <v>741</v>
      </c>
      <c r="L579" s="21">
        <v>3705</v>
      </c>
      <c r="M579" s="23">
        <v>0</v>
      </c>
      <c r="N579" s="21">
        <v>0</v>
      </c>
      <c r="O579" s="21">
        <v>3705</v>
      </c>
      <c r="P579" s="13">
        <v>4.7</v>
      </c>
      <c r="Q579" s="13" t="s">
        <v>26</v>
      </c>
    </row>
    <row r="580" spans="1:17" x14ac:dyDescent="0.25">
      <c r="A580" s="13" t="s">
        <v>901</v>
      </c>
      <c r="B580" s="14">
        <v>46122</v>
      </c>
      <c r="C580" s="13" t="s">
        <v>28</v>
      </c>
      <c r="D580" s="13" t="s">
        <v>95</v>
      </c>
      <c r="E580" s="13" t="s">
        <v>60</v>
      </c>
      <c r="F580" s="13" t="s">
        <v>79</v>
      </c>
      <c r="G580" s="13" t="s">
        <v>32</v>
      </c>
      <c r="H580" s="13" t="s">
        <v>33</v>
      </c>
      <c r="I580" s="13" t="s">
        <v>84</v>
      </c>
      <c r="J580" s="13">
        <v>2</v>
      </c>
      <c r="K580" s="21">
        <v>562</v>
      </c>
      <c r="L580" s="21">
        <v>1124</v>
      </c>
      <c r="M580" s="23">
        <v>0.15</v>
      </c>
      <c r="N580" s="21">
        <v>169</v>
      </c>
      <c r="O580" s="21">
        <v>955</v>
      </c>
      <c r="P580" s="13">
        <v>4.2</v>
      </c>
      <c r="Q580" s="13" t="s">
        <v>26</v>
      </c>
    </row>
    <row r="581" spans="1:17" x14ac:dyDescent="0.25">
      <c r="A581" s="13" t="s">
        <v>903</v>
      </c>
      <c r="B581" s="14">
        <v>46122</v>
      </c>
      <c r="C581" s="13" t="s">
        <v>51</v>
      </c>
      <c r="D581" s="13" t="s">
        <v>70</v>
      </c>
      <c r="E581" s="13" t="s">
        <v>155</v>
      </c>
      <c r="F581" s="13" t="s">
        <v>83</v>
      </c>
      <c r="G581" s="13" t="s">
        <v>23</v>
      </c>
      <c r="H581" s="13" t="s">
        <v>33</v>
      </c>
      <c r="I581" s="13" t="s">
        <v>34</v>
      </c>
      <c r="J581" s="13">
        <v>3</v>
      </c>
      <c r="K581" s="21">
        <v>748</v>
      </c>
      <c r="L581" s="21">
        <v>2244</v>
      </c>
      <c r="M581" s="23">
        <v>0.05</v>
      </c>
      <c r="N581" s="21">
        <v>112</v>
      </c>
      <c r="O581" s="21">
        <v>2132</v>
      </c>
      <c r="P581" s="13">
        <v>5</v>
      </c>
      <c r="Q581" s="13" t="s">
        <v>26</v>
      </c>
    </row>
    <row r="582" spans="1:17" x14ac:dyDescent="0.25">
      <c r="A582" s="13" t="s">
        <v>904</v>
      </c>
      <c r="B582" s="14">
        <v>46122</v>
      </c>
      <c r="C582" s="13" t="s">
        <v>19</v>
      </c>
      <c r="D582" s="13" t="s">
        <v>121</v>
      </c>
      <c r="E582" s="13" t="s">
        <v>53</v>
      </c>
      <c r="F582" s="13" t="s">
        <v>83</v>
      </c>
      <c r="G582" s="13" t="s">
        <v>32</v>
      </c>
      <c r="H582" s="13" t="s">
        <v>24</v>
      </c>
      <c r="I582" s="13" t="s">
        <v>25</v>
      </c>
      <c r="J582" s="13">
        <v>2</v>
      </c>
      <c r="K582" s="21">
        <v>206</v>
      </c>
      <c r="L582" s="21">
        <v>412</v>
      </c>
      <c r="M582" s="23">
        <v>0</v>
      </c>
      <c r="N582" s="21">
        <v>0</v>
      </c>
      <c r="O582" s="21">
        <v>412</v>
      </c>
      <c r="P582" s="13">
        <v>4.7</v>
      </c>
      <c r="Q582" s="13" t="s">
        <v>26</v>
      </c>
    </row>
    <row r="583" spans="1:17" x14ac:dyDescent="0.25">
      <c r="A583" s="13" t="s">
        <v>905</v>
      </c>
      <c r="B583" s="14">
        <v>46123</v>
      </c>
      <c r="C583" s="13" t="s">
        <v>28</v>
      </c>
      <c r="D583" s="13" t="s">
        <v>29</v>
      </c>
      <c r="E583" s="13" t="s">
        <v>48</v>
      </c>
      <c r="F583" s="13" t="s">
        <v>61</v>
      </c>
      <c r="G583" s="13" t="s">
        <v>23</v>
      </c>
      <c r="H583" s="13" t="s">
        <v>33</v>
      </c>
      <c r="I583" s="13" t="s">
        <v>98</v>
      </c>
      <c r="J583" s="13">
        <v>3</v>
      </c>
      <c r="K583" s="21">
        <v>917</v>
      </c>
      <c r="L583" s="21">
        <v>2751</v>
      </c>
      <c r="M583" s="23">
        <v>0.05</v>
      </c>
      <c r="N583" s="21">
        <v>138</v>
      </c>
      <c r="O583" s="21">
        <v>2613</v>
      </c>
      <c r="P583" s="13">
        <v>3.2</v>
      </c>
      <c r="Q583" s="13" t="s">
        <v>75</v>
      </c>
    </row>
    <row r="584" spans="1:17" x14ac:dyDescent="0.25">
      <c r="A584" s="13" t="s">
        <v>907</v>
      </c>
      <c r="B584" s="14">
        <v>46124</v>
      </c>
      <c r="C584" s="13" t="s">
        <v>63</v>
      </c>
      <c r="D584" s="13" t="s">
        <v>134</v>
      </c>
      <c r="E584" s="13" t="s">
        <v>71</v>
      </c>
      <c r="F584" s="13" t="s">
        <v>43</v>
      </c>
      <c r="G584" s="13" t="s">
        <v>32</v>
      </c>
      <c r="H584" s="13" t="s">
        <v>33</v>
      </c>
      <c r="I584" s="13" t="s">
        <v>98</v>
      </c>
      <c r="J584" s="13">
        <v>3</v>
      </c>
      <c r="K584" s="21">
        <v>1815</v>
      </c>
      <c r="L584" s="21">
        <v>5445</v>
      </c>
      <c r="M584" s="23">
        <v>0.25</v>
      </c>
      <c r="N584" s="21">
        <v>1361</v>
      </c>
      <c r="O584" s="21">
        <v>4084</v>
      </c>
      <c r="P584" s="13">
        <v>4.4000000000000004</v>
      </c>
      <c r="Q584" s="13" t="s">
        <v>26</v>
      </c>
    </row>
    <row r="585" spans="1:17" x14ac:dyDescent="0.25">
      <c r="A585" s="13" t="s">
        <v>909</v>
      </c>
      <c r="B585" s="14">
        <v>46124</v>
      </c>
      <c r="C585" s="13" t="s">
        <v>51</v>
      </c>
      <c r="D585" s="13" t="s">
        <v>70</v>
      </c>
      <c r="E585" s="13" t="s">
        <v>37</v>
      </c>
      <c r="F585" s="13" t="s">
        <v>83</v>
      </c>
      <c r="G585" s="13" t="s">
        <v>44</v>
      </c>
      <c r="H585" s="13" t="s">
        <v>24</v>
      </c>
      <c r="I585" s="13" t="s">
        <v>84</v>
      </c>
      <c r="J585" s="13">
        <v>4</v>
      </c>
      <c r="K585" s="21">
        <v>583</v>
      </c>
      <c r="L585" s="21">
        <v>2332</v>
      </c>
      <c r="M585" s="23">
        <v>0.2</v>
      </c>
      <c r="N585" s="21">
        <v>466</v>
      </c>
      <c r="O585" s="21">
        <v>1866</v>
      </c>
      <c r="P585" s="13">
        <v>4.3</v>
      </c>
      <c r="Q585" s="13" t="s">
        <v>75</v>
      </c>
    </row>
    <row r="586" spans="1:17" x14ac:dyDescent="0.25">
      <c r="A586" s="13" t="s">
        <v>910</v>
      </c>
      <c r="B586" s="14">
        <v>46126</v>
      </c>
      <c r="C586" s="13" t="s">
        <v>28</v>
      </c>
      <c r="D586" s="13" t="s">
        <v>77</v>
      </c>
      <c r="E586" s="13" t="s">
        <v>37</v>
      </c>
      <c r="F586" s="13" t="s">
        <v>43</v>
      </c>
      <c r="G586" s="13" t="s">
        <v>44</v>
      </c>
      <c r="H586" s="13" t="s">
        <v>33</v>
      </c>
      <c r="I586" s="13" t="s">
        <v>84</v>
      </c>
      <c r="J586" s="13">
        <v>4</v>
      </c>
      <c r="K586" s="21">
        <v>466</v>
      </c>
      <c r="L586" s="21">
        <v>1864</v>
      </c>
      <c r="M586" s="23">
        <v>0.05</v>
      </c>
      <c r="N586" s="21">
        <v>93</v>
      </c>
      <c r="O586" s="21">
        <v>1771</v>
      </c>
      <c r="P586" s="13">
        <v>3.8</v>
      </c>
      <c r="Q586" s="13" t="s">
        <v>26</v>
      </c>
    </row>
    <row r="587" spans="1:17" x14ac:dyDescent="0.25">
      <c r="A587" s="13" t="s">
        <v>912</v>
      </c>
      <c r="B587" s="14">
        <v>46126</v>
      </c>
      <c r="C587" s="13" t="s">
        <v>51</v>
      </c>
      <c r="D587" s="13" t="s">
        <v>97</v>
      </c>
      <c r="E587" s="13" t="s">
        <v>37</v>
      </c>
      <c r="F587" s="13" t="s">
        <v>83</v>
      </c>
      <c r="G587" s="13" t="s">
        <v>32</v>
      </c>
      <c r="H587" s="13" t="s">
        <v>33</v>
      </c>
      <c r="I587" s="13" t="s">
        <v>45</v>
      </c>
      <c r="J587" s="13">
        <v>2</v>
      </c>
      <c r="K587" s="21">
        <v>441</v>
      </c>
      <c r="L587" s="21">
        <v>882</v>
      </c>
      <c r="M587" s="23">
        <v>0.1</v>
      </c>
      <c r="N587" s="21">
        <v>88</v>
      </c>
      <c r="O587" s="21">
        <v>794</v>
      </c>
      <c r="P587" s="13">
        <v>4.7</v>
      </c>
      <c r="Q587" s="13" t="s">
        <v>26</v>
      </c>
    </row>
    <row r="588" spans="1:17" x14ac:dyDescent="0.25">
      <c r="A588" s="13" t="s">
        <v>913</v>
      </c>
      <c r="B588" s="14">
        <v>46126</v>
      </c>
      <c r="C588" s="13" t="s">
        <v>63</v>
      </c>
      <c r="D588" s="13" t="s">
        <v>64</v>
      </c>
      <c r="E588" s="13" t="s">
        <v>60</v>
      </c>
      <c r="F588" s="13" t="s">
        <v>72</v>
      </c>
      <c r="G588" s="13" t="s">
        <v>32</v>
      </c>
      <c r="H588" s="13" t="s">
        <v>24</v>
      </c>
      <c r="I588" s="13" t="s">
        <v>98</v>
      </c>
      <c r="J588" s="13">
        <v>5</v>
      </c>
      <c r="K588" s="21">
        <v>1610</v>
      </c>
      <c r="L588" s="21">
        <v>8050</v>
      </c>
      <c r="M588" s="23">
        <v>0</v>
      </c>
      <c r="N588" s="21">
        <v>0</v>
      </c>
      <c r="O588" s="21">
        <v>8050</v>
      </c>
      <c r="P588" s="13">
        <v>4.9000000000000004</v>
      </c>
      <c r="Q588" s="13" t="s">
        <v>26</v>
      </c>
    </row>
    <row r="589" spans="1:17" x14ac:dyDescent="0.25">
      <c r="A589" s="13" t="s">
        <v>914</v>
      </c>
      <c r="B589" s="14">
        <v>46126</v>
      </c>
      <c r="C589" s="13" t="s">
        <v>51</v>
      </c>
      <c r="D589" s="13" t="s">
        <v>97</v>
      </c>
      <c r="E589" s="13" t="s">
        <v>78</v>
      </c>
      <c r="F589" s="13" t="s">
        <v>130</v>
      </c>
      <c r="G589" s="13" t="s">
        <v>23</v>
      </c>
      <c r="H589" s="13" t="s">
        <v>24</v>
      </c>
      <c r="I589" s="13" t="s">
        <v>25</v>
      </c>
      <c r="J589" s="13">
        <v>2</v>
      </c>
      <c r="K589" s="21">
        <v>741</v>
      </c>
      <c r="L589" s="21">
        <v>1482</v>
      </c>
      <c r="M589" s="23">
        <v>0.05</v>
      </c>
      <c r="N589" s="21">
        <v>74</v>
      </c>
      <c r="O589" s="21">
        <v>1408</v>
      </c>
      <c r="P589" s="13">
        <v>4.5</v>
      </c>
      <c r="Q589" s="13" t="s">
        <v>26</v>
      </c>
    </row>
    <row r="590" spans="1:17" x14ac:dyDescent="0.25">
      <c r="A590" s="13" t="s">
        <v>915</v>
      </c>
      <c r="B590" s="14">
        <v>46126</v>
      </c>
      <c r="C590" s="13" t="s">
        <v>63</v>
      </c>
      <c r="D590" s="13" t="s">
        <v>143</v>
      </c>
      <c r="E590" s="13" t="s">
        <v>71</v>
      </c>
      <c r="F590" s="13" t="s">
        <v>83</v>
      </c>
      <c r="G590" s="13" t="s">
        <v>32</v>
      </c>
      <c r="H590" s="13" t="s">
        <v>33</v>
      </c>
      <c r="I590" s="13" t="s">
        <v>34</v>
      </c>
      <c r="J590" s="13">
        <v>3</v>
      </c>
      <c r="K590" s="21">
        <v>2132</v>
      </c>
      <c r="L590" s="21">
        <v>6396</v>
      </c>
      <c r="M590" s="23">
        <v>0.3</v>
      </c>
      <c r="N590" s="21">
        <v>1919</v>
      </c>
      <c r="O590" s="21">
        <v>4477</v>
      </c>
      <c r="P590" s="13">
        <v>3.6</v>
      </c>
      <c r="Q590" s="13" t="s">
        <v>26</v>
      </c>
    </row>
    <row r="591" spans="1:17" x14ac:dyDescent="0.25">
      <c r="A591" s="13" t="s">
        <v>916</v>
      </c>
      <c r="B591" s="14">
        <v>46127</v>
      </c>
      <c r="C591" s="13" t="s">
        <v>28</v>
      </c>
      <c r="D591" s="13" t="s">
        <v>29</v>
      </c>
      <c r="E591" s="13" t="s">
        <v>60</v>
      </c>
      <c r="F591" s="13" t="s">
        <v>79</v>
      </c>
      <c r="G591" s="13" t="s">
        <v>23</v>
      </c>
      <c r="H591" s="13" t="s">
        <v>104</v>
      </c>
      <c r="I591" s="13" t="s">
        <v>25</v>
      </c>
      <c r="J591" s="13">
        <v>5</v>
      </c>
      <c r="K591" s="21">
        <v>1043</v>
      </c>
      <c r="L591" s="21">
        <v>5215</v>
      </c>
      <c r="M591" s="23">
        <v>0.05</v>
      </c>
      <c r="N591" s="21">
        <v>261</v>
      </c>
      <c r="O591" s="21">
        <v>4954</v>
      </c>
      <c r="P591" s="13">
        <v>3.9</v>
      </c>
      <c r="Q591" s="13" t="s">
        <v>26</v>
      </c>
    </row>
    <row r="592" spans="1:17" x14ac:dyDescent="0.25">
      <c r="A592" s="13" t="s">
        <v>918</v>
      </c>
      <c r="B592" s="14">
        <v>46127</v>
      </c>
      <c r="C592" s="13" t="s">
        <v>40</v>
      </c>
      <c r="D592" s="13" t="s">
        <v>68</v>
      </c>
      <c r="E592" s="13" t="s">
        <v>82</v>
      </c>
      <c r="F592" s="13" t="s">
        <v>83</v>
      </c>
      <c r="G592" s="13" t="s">
        <v>32</v>
      </c>
      <c r="H592" s="13" t="s">
        <v>33</v>
      </c>
      <c r="I592" s="13" t="s">
        <v>98</v>
      </c>
      <c r="J592" s="13">
        <v>3</v>
      </c>
      <c r="K592" s="21">
        <v>760</v>
      </c>
      <c r="L592" s="21">
        <v>2280</v>
      </c>
      <c r="M592" s="23">
        <v>0.25</v>
      </c>
      <c r="N592" s="21">
        <v>570</v>
      </c>
      <c r="O592" s="21">
        <v>1710</v>
      </c>
      <c r="P592" s="13">
        <v>3.5</v>
      </c>
      <c r="Q592" s="13" t="s">
        <v>75</v>
      </c>
    </row>
    <row r="593" spans="1:17" x14ac:dyDescent="0.25">
      <c r="A593" s="13" t="s">
        <v>919</v>
      </c>
      <c r="B593" s="14">
        <v>46128</v>
      </c>
      <c r="C593" s="13" t="s">
        <v>51</v>
      </c>
      <c r="D593" s="13" t="s">
        <v>70</v>
      </c>
      <c r="E593" s="13" t="s">
        <v>30</v>
      </c>
      <c r="F593" s="13" t="s">
        <v>79</v>
      </c>
      <c r="G593" s="13" t="s">
        <v>23</v>
      </c>
      <c r="H593" s="13" t="s">
        <v>104</v>
      </c>
      <c r="I593" s="13" t="s">
        <v>34</v>
      </c>
      <c r="J593" s="13">
        <v>2</v>
      </c>
      <c r="K593" s="21">
        <v>435</v>
      </c>
      <c r="L593" s="21">
        <v>870</v>
      </c>
      <c r="M593" s="23">
        <v>0.15</v>
      </c>
      <c r="N593" s="21">
        <v>130</v>
      </c>
      <c r="O593" s="21">
        <v>740</v>
      </c>
      <c r="P593" s="13">
        <v>4</v>
      </c>
      <c r="Q593" s="13" t="s">
        <v>26</v>
      </c>
    </row>
    <row r="594" spans="1:17" x14ac:dyDescent="0.25">
      <c r="A594" s="13" t="s">
        <v>921</v>
      </c>
      <c r="B594" s="14">
        <v>46128</v>
      </c>
      <c r="C594" s="13" t="s">
        <v>51</v>
      </c>
      <c r="D594" s="13" t="s">
        <v>97</v>
      </c>
      <c r="E594" s="13" t="s">
        <v>82</v>
      </c>
      <c r="F594" s="13" t="s">
        <v>61</v>
      </c>
      <c r="G594" s="13" t="s">
        <v>23</v>
      </c>
      <c r="H594" s="13" t="s">
        <v>24</v>
      </c>
      <c r="I594" s="13" t="s">
        <v>45</v>
      </c>
      <c r="J594" s="13">
        <v>1</v>
      </c>
      <c r="K594" s="21">
        <v>240</v>
      </c>
      <c r="L594" s="21">
        <v>240</v>
      </c>
      <c r="M594" s="23">
        <v>0.2</v>
      </c>
      <c r="N594" s="21">
        <v>48</v>
      </c>
      <c r="O594" s="21">
        <v>192</v>
      </c>
      <c r="P594" s="13">
        <v>3.4</v>
      </c>
      <c r="Q594" s="13" t="s">
        <v>26</v>
      </c>
    </row>
    <row r="595" spans="1:17" x14ac:dyDescent="0.25">
      <c r="A595" s="13" t="s">
        <v>922</v>
      </c>
      <c r="B595" s="14">
        <v>46129</v>
      </c>
      <c r="C595" s="13" t="s">
        <v>40</v>
      </c>
      <c r="D595" s="13" t="s">
        <v>47</v>
      </c>
      <c r="E595" s="13" t="s">
        <v>30</v>
      </c>
      <c r="F595" s="13" t="s">
        <v>130</v>
      </c>
      <c r="G595" s="13" t="s">
        <v>32</v>
      </c>
      <c r="H595" s="13" t="s">
        <v>104</v>
      </c>
      <c r="I595" s="13" t="s">
        <v>98</v>
      </c>
      <c r="J595" s="13">
        <v>4</v>
      </c>
      <c r="K595" s="21">
        <v>1073</v>
      </c>
      <c r="L595" s="21">
        <v>4292</v>
      </c>
      <c r="M595" s="23">
        <v>0</v>
      </c>
      <c r="N595" s="21">
        <v>0</v>
      </c>
      <c r="O595" s="21">
        <v>4292</v>
      </c>
      <c r="P595" s="13">
        <v>3.7</v>
      </c>
      <c r="Q595" s="13" t="s">
        <v>26</v>
      </c>
    </row>
    <row r="596" spans="1:17" x14ac:dyDescent="0.25">
      <c r="A596" s="13" t="s">
        <v>924</v>
      </c>
      <c r="B596" s="14">
        <v>46129</v>
      </c>
      <c r="C596" s="13" t="s">
        <v>51</v>
      </c>
      <c r="D596" s="13" t="s">
        <v>70</v>
      </c>
      <c r="E596" s="13" t="s">
        <v>155</v>
      </c>
      <c r="F596" s="13" t="s">
        <v>31</v>
      </c>
      <c r="G596" s="13" t="s">
        <v>23</v>
      </c>
      <c r="H596" s="13" t="s">
        <v>33</v>
      </c>
      <c r="I596" s="13" t="s">
        <v>34</v>
      </c>
      <c r="J596" s="13">
        <v>5</v>
      </c>
      <c r="K596" s="21">
        <v>468</v>
      </c>
      <c r="L596" s="21">
        <v>2340</v>
      </c>
      <c r="M596" s="23">
        <v>0.3</v>
      </c>
      <c r="N596" s="21">
        <v>702</v>
      </c>
      <c r="O596" s="21">
        <v>1638</v>
      </c>
      <c r="P596" s="13">
        <v>4.7</v>
      </c>
      <c r="Q596" s="13" t="s">
        <v>26</v>
      </c>
    </row>
    <row r="597" spans="1:17" x14ac:dyDescent="0.25">
      <c r="A597" s="13" t="s">
        <v>925</v>
      </c>
      <c r="B597" s="14">
        <v>46131</v>
      </c>
      <c r="C597" s="13" t="s">
        <v>63</v>
      </c>
      <c r="D597" s="13" t="s">
        <v>134</v>
      </c>
      <c r="E597" s="13" t="s">
        <v>71</v>
      </c>
      <c r="F597" s="13" t="s">
        <v>22</v>
      </c>
      <c r="G597" s="13" t="s">
        <v>32</v>
      </c>
      <c r="H597" s="13" t="s">
        <v>33</v>
      </c>
      <c r="I597" s="13" t="s">
        <v>98</v>
      </c>
      <c r="J597" s="13">
        <v>2</v>
      </c>
      <c r="K597" s="21">
        <v>652</v>
      </c>
      <c r="L597" s="21">
        <v>1304</v>
      </c>
      <c r="M597" s="23">
        <v>0.3</v>
      </c>
      <c r="N597" s="21">
        <v>391</v>
      </c>
      <c r="O597" s="21">
        <v>913</v>
      </c>
      <c r="P597" s="13">
        <v>4</v>
      </c>
      <c r="Q597" s="13" t="s">
        <v>75</v>
      </c>
    </row>
    <row r="598" spans="1:17" x14ac:dyDescent="0.25">
      <c r="A598" s="13" t="s">
        <v>927</v>
      </c>
      <c r="B598" s="14">
        <v>46132</v>
      </c>
      <c r="C598" s="13" t="s">
        <v>51</v>
      </c>
      <c r="D598" s="13" t="s">
        <v>97</v>
      </c>
      <c r="E598" s="13" t="s">
        <v>42</v>
      </c>
      <c r="F598" s="13" t="s">
        <v>22</v>
      </c>
      <c r="G598" s="13" t="s">
        <v>23</v>
      </c>
      <c r="H598" s="13" t="s">
        <v>24</v>
      </c>
      <c r="I598" s="13" t="s">
        <v>98</v>
      </c>
      <c r="J598" s="13">
        <v>4</v>
      </c>
      <c r="K598" s="21">
        <v>225</v>
      </c>
      <c r="L598" s="21">
        <v>900</v>
      </c>
      <c r="M598" s="23">
        <v>0.05</v>
      </c>
      <c r="N598" s="21">
        <v>45</v>
      </c>
      <c r="O598" s="21">
        <v>855</v>
      </c>
      <c r="P598" s="13">
        <v>4.5</v>
      </c>
      <c r="Q598" s="13" t="s">
        <v>26</v>
      </c>
    </row>
    <row r="599" spans="1:17" x14ac:dyDescent="0.25">
      <c r="A599" s="13" t="s">
        <v>929</v>
      </c>
      <c r="B599" s="14">
        <v>46133</v>
      </c>
      <c r="C599" s="13" t="s">
        <v>91</v>
      </c>
      <c r="D599" s="13" t="s">
        <v>110</v>
      </c>
      <c r="E599" s="13" t="s">
        <v>53</v>
      </c>
      <c r="F599" s="13" t="s">
        <v>65</v>
      </c>
      <c r="G599" s="13" t="s">
        <v>32</v>
      </c>
      <c r="H599" s="13" t="s">
        <v>33</v>
      </c>
      <c r="I599" s="13" t="s">
        <v>45</v>
      </c>
      <c r="J599" s="13">
        <v>3</v>
      </c>
      <c r="K599" s="21">
        <v>1003</v>
      </c>
      <c r="L599" s="21">
        <v>3009</v>
      </c>
      <c r="M599" s="23">
        <v>0.05</v>
      </c>
      <c r="N599" s="21">
        <v>150</v>
      </c>
      <c r="O599" s="21">
        <v>2859</v>
      </c>
      <c r="P599" s="13">
        <v>4</v>
      </c>
      <c r="Q599" s="13" t="s">
        <v>26</v>
      </c>
    </row>
    <row r="600" spans="1:17" x14ac:dyDescent="0.25">
      <c r="A600" s="13" t="s">
        <v>931</v>
      </c>
      <c r="B600" s="14">
        <v>46133</v>
      </c>
      <c r="C600" s="13" t="s">
        <v>51</v>
      </c>
      <c r="D600" s="13" t="s">
        <v>97</v>
      </c>
      <c r="E600" s="13" t="s">
        <v>155</v>
      </c>
      <c r="F600" s="13" t="s">
        <v>83</v>
      </c>
      <c r="G600" s="13" t="s">
        <v>23</v>
      </c>
      <c r="H600" s="13" t="s">
        <v>24</v>
      </c>
      <c r="I600" s="13" t="s">
        <v>98</v>
      </c>
      <c r="J600" s="13">
        <v>5</v>
      </c>
      <c r="K600" s="21">
        <v>247</v>
      </c>
      <c r="L600" s="21">
        <v>1235</v>
      </c>
      <c r="M600" s="23">
        <v>0</v>
      </c>
      <c r="N600" s="21">
        <v>0</v>
      </c>
      <c r="O600" s="21">
        <v>1235</v>
      </c>
      <c r="P600" s="13">
        <v>4.0999999999999996</v>
      </c>
      <c r="Q600" s="13" t="s">
        <v>26</v>
      </c>
    </row>
    <row r="601" spans="1:17" x14ac:dyDescent="0.25">
      <c r="A601" s="13" t="s">
        <v>932</v>
      </c>
      <c r="B601" s="14">
        <v>46133</v>
      </c>
      <c r="C601" s="13" t="s">
        <v>91</v>
      </c>
      <c r="D601" s="13" t="s">
        <v>125</v>
      </c>
      <c r="E601" s="13" t="s">
        <v>30</v>
      </c>
      <c r="F601" s="13" t="s">
        <v>72</v>
      </c>
      <c r="G601" s="13" t="s">
        <v>23</v>
      </c>
      <c r="H601" s="13" t="s">
        <v>33</v>
      </c>
      <c r="I601" s="13" t="s">
        <v>34</v>
      </c>
      <c r="J601" s="13">
        <v>3</v>
      </c>
      <c r="K601" s="21">
        <v>975</v>
      </c>
      <c r="L601" s="21">
        <v>2925</v>
      </c>
      <c r="M601" s="23">
        <v>0.1</v>
      </c>
      <c r="N601" s="21">
        <v>292</v>
      </c>
      <c r="O601" s="21">
        <v>2633</v>
      </c>
      <c r="P601" s="13">
        <v>4.3</v>
      </c>
      <c r="Q601" s="13" t="s">
        <v>26</v>
      </c>
    </row>
    <row r="602" spans="1:17" x14ac:dyDescent="0.25">
      <c r="A602" s="13" t="s">
        <v>933</v>
      </c>
      <c r="B602" s="14">
        <v>46133</v>
      </c>
      <c r="C602" s="13" t="s">
        <v>51</v>
      </c>
      <c r="D602" s="13" t="s">
        <v>97</v>
      </c>
      <c r="E602" s="13" t="s">
        <v>37</v>
      </c>
      <c r="F602" s="13" t="s">
        <v>43</v>
      </c>
      <c r="G602" s="13" t="s">
        <v>23</v>
      </c>
      <c r="H602" s="13" t="s">
        <v>104</v>
      </c>
      <c r="I602" s="13" t="s">
        <v>34</v>
      </c>
      <c r="J602" s="13">
        <v>4</v>
      </c>
      <c r="K602" s="21">
        <v>704</v>
      </c>
      <c r="L602" s="21">
        <v>2816</v>
      </c>
      <c r="M602" s="23">
        <v>0.3</v>
      </c>
      <c r="N602" s="21">
        <v>845</v>
      </c>
      <c r="O602" s="21">
        <v>1971</v>
      </c>
      <c r="P602" s="13">
        <v>4</v>
      </c>
      <c r="Q602" s="13" t="s">
        <v>26</v>
      </c>
    </row>
    <row r="603" spans="1:17" x14ac:dyDescent="0.25">
      <c r="A603" s="13" t="s">
        <v>934</v>
      </c>
      <c r="B603" s="14">
        <v>46133</v>
      </c>
      <c r="C603" s="13" t="s">
        <v>63</v>
      </c>
      <c r="D603" s="13" t="s">
        <v>64</v>
      </c>
      <c r="E603" s="13" t="s">
        <v>21</v>
      </c>
      <c r="F603" s="13" t="s">
        <v>83</v>
      </c>
      <c r="G603" s="13" t="s">
        <v>23</v>
      </c>
      <c r="H603" s="13" t="s">
        <v>24</v>
      </c>
      <c r="I603" s="13" t="s">
        <v>45</v>
      </c>
      <c r="J603" s="13">
        <v>3</v>
      </c>
      <c r="K603" s="21">
        <v>638</v>
      </c>
      <c r="L603" s="21">
        <v>1914</v>
      </c>
      <c r="M603" s="23">
        <v>0.2</v>
      </c>
      <c r="N603" s="21">
        <v>383</v>
      </c>
      <c r="O603" s="21">
        <v>1531</v>
      </c>
      <c r="P603" s="13">
        <v>3.6</v>
      </c>
      <c r="Q603" s="13" t="s">
        <v>75</v>
      </c>
    </row>
    <row r="604" spans="1:17" x14ac:dyDescent="0.25">
      <c r="A604" s="13" t="s">
        <v>935</v>
      </c>
      <c r="B604" s="14">
        <v>46133</v>
      </c>
      <c r="C604" s="13" t="s">
        <v>51</v>
      </c>
      <c r="D604" s="13" t="s">
        <v>52</v>
      </c>
      <c r="E604" s="13" t="s">
        <v>53</v>
      </c>
      <c r="F604" s="13" t="s">
        <v>22</v>
      </c>
      <c r="G604" s="13" t="s">
        <v>23</v>
      </c>
      <c r="H604" s="13" t="s">
        <v>33</v>
      </c>
      <c r="I604" s="13" t="s">
        <v>34</v>
      </c>
      <c r="J604" s="13">
        <v>3</v>
      </c>
      <c r="K604" s="21">
        <v>587</v>
      </c>
      <c r="L604" s="21">
        <v>1761</v>
      </c>
      <c r="M604" s="23">
        <v>0.15</v>
      </c>
      <c r="N604" s="21">
        <v>264</v>
      </c>
      <c r="O604" s="21">
        <v>1497</v>
      </c>
      <c r="P604" s="13">
        <v>4.5999999999999996</v>
      </c>
      <c r="Q604" s="13" t="s">
        <v>26</v>
      </c>
    </row>
    <row r="605" spans="1:17" x14ac:dyDescent="0.25">
      <c r="A605" s="13" t="s">
        <v>936</v>
      </c>
      <c r="B605" s="14">
        <v>46134</v>
      </c>
      <c r="C605" s="13" t="s">
        <v>63</v>
      </c>
      <c r="D605" s="13" t="s">
        <v>64</v>
      </c>
      <c r="E605" s="13" t="s">
        <v>37</v>
      </c>
      <c r="F605" s="13" t="s">
        <v>22</v>
      </c>
      <c r="G605" s="13" t="s">
        <v>23</v>
      </c>
      <c r="H605" s="13" t="s">
        <v>24</v>
      </c>
      <c r="I605" s="13" t="s">
        <v>84</v>
      </c>
      <c r="J605" s="13">
        <v>3</v>
      </c>
      <c r="K605" s="21">
        <v>1258</v>
      </c>
      <c r="L605" s="21">
        <v>3774</v>
      </c>
      <c r="M605" s="23">
        <v>0</v>
      </c>
      <c r="N605" s="21">
        <v>0</v>
      </c>
      <c r="O605" s="21">
        <v>3774</v>
      </c>
      <c r="P605" s="13">
        <v>3.5</v>
      </c>
      <c r="Q605" s="13" t="s">
        <v>26</v>
      </c>
    </row>
    <row r="606" spans="1:17" x14ac:dyDescent="0.25">
      <c r="A606" s="13" t="s">
        <v>938</v>
      </c>
      <c r="B606" s="14">
        <v>46134</v>
      </c>
      <c r="C606" s="13" t="s">
        <v>19</v>
      </c>
      <c r="D606" s="13" t="s">
        <v>20</v>
      </c>
      <c r="E606" s="13" t="s">
        <v>71</v>
      </c>
      <c r="F606" s="13" t="s">
        <v>31</v>
      </c>
      <c r="G606" s="13" t="s">
        <v>32</v>
      </c>
      <c r="H606" s="13" t="s">
        <v>33</v>
      </c>
      <c r="I606" s="13" t="s">
        <v>34</v>
      </c>
      <c r="J606" s="13">
        <v>1</v>
      </c>
      <c r="K606" s="21">
        <v>188</v>
      </c>
      <c r="L606" s="21">
        <v>188</v>
      </c>
      <c r="M606" s="23">
        <v>0.25</v>
      </c>
      <c r="N606" s="21">
        <v>47</v>
      </c>
      <c r="O606" s="21">
        <v>141</v>
      </c>
      <c r="P606" s="13">
        <v>4.5999999999999996</v>
      </c>
      <c r="Q606" s="13" t="s">
        <v>26</v>
      </c>
    </row>
    <row r="607" spans="1:17" x14ac:dyDescent="0.25">
      <c r="A607" s="13" t="s">
        <v>939</v>
      </c>
      <c r="B607" s="14">
        <v>46135</v>
      </c>
      <c r="C607" s="13" t="s">
        <v>91</v>
      </c>
      <c r="D607" s="13" t="s">
        <v>125</v>
      </c>
      <c r="E607" s="13" t="s">
        <v>155</v>
      </c>
      <c r="F607" s="13" t="s">
        <v>79</v>
      </c>
      <c r="G607" s="13" t="s">
        <v>32</v>
      </c>
      <c r="H607" s="13" t="s">
        <v>104</v>
      </c>
      <c r="I607" s="13" t="s">
        <v>25</v>
      </c>
      <c r="J607" s="13">
        <v>4</v>
      </c>
      <c r="K607" s="21">
        <v>1498</v>
      </c>
      <c r="L607" s="21">
        <v>5992</v>
      </c>
      <c r="M607" s="23">
        <v>0.2</v>
      </c>
      <c r="N607" s="21">
        <v>1198</v>
      </c>
      <c r="O607" s="21">
        <v>4794</v>
      </c>
      <c r="P607" s="13">
        <v>4.3</v>
      </c>
      <c r="Q607" s="13" t="s">
        <v>26</v>
      </c>
    </row>
    <row r="608" spans="1:17" x14ac:dyDescent="0.25">
      <c r="A608" s="13" t="s">
        <v>941</v>
      </c>
      <c r="B608" s="14">
        <v>46135</v>
      </c>
      <c r="C608" s="13" t="s">
        <v>28</v>
      </c>
      <c r="D608" s="13" t="s">
        <v>36</v>
      </c>
      <c r="E608" s="13" t="s">
        <v>78</v>
      </c>
      <c r="F608" s="13" t="s">
        <v>130</v>
      </c>
      <c r="G608" s="13" t="s">
        <v>44</v>
      </c>
      <c r="H608" s="13" t="s">
        <v>33</v>
      </c>
      <c r="I608" s="13" t="s">
        <v>45</v>
      </c>
      <c r="J608" s="13">
        <v>4</v>
      </c>
      <c r="K608" s="21">
        <v>1235</v>
      </c>
      <c r="L608" s="21">
        <v>4940</v>
      </c>
      <c r="M608" s="23">
        <v>0.05</v>
      </c>
      <c r="N608" s="21">
        <v>247</v>
      </c>
      <c r="O608" s="21">
        <v>4693</v>
      </c>
      <c r="P608" s="13">
        <v>3.3</v>
      </c>
      <c r="Q608" s="13" t="s">
        <v>26</v>
      </c>
    </row>
    <row r="609" spans="1:17" x14ac:dyDescent="0.25">
      <c r="A609" s="13" t="s">
        <v>942</v>
      </c>
      <c r="B609" s="14">
        <v>46135</v>
      </c>
      <c r="C609" s="13" t="s">
        <v>63</v>
      </c>
      <c r="D609" s="13" t="s">
        <v>143</v>
      </c>
      <c r="E609" s="13" t="s">
        <v>53</v>
      </c>
      <c r="F609" s="13" t="s">
        <v>61</v>
      </c>
      <c r="G609" s="13" t="s">
        <v>32</v>
      </c>
      <c r="H609" s="13" t="s">
        <v>33</v>
      </c>
      <c r="I609" s="13" t="s">
        <v>45</v>
      </c>
      <c r="J609" s="13">
        <v>3</v>
      </c>
      <c r="K609" s="21">
        <v>1097</v>
      </c>
      <c r="L609" s="21">
        <v>3291</v>
      </c>
      <c r="M609" s="23">
        <v>0.3</v>
      </c>
      <c r="N609" s="21">
        <v>987</v>
      </c>
      <c r="O609" s="21">
        <v>2304</v>
      </c>
      <c r="P609" s="13">
        <v>4.2</v>
      </c>
      <c r="Q609" s="13" t="s">
        <v>26</v>
      </c>
    </row>
    <row r="610" spans="1:17" x14ac:dyDescent="0.25">
      <c r="A610" s="13" t="s">
        <v>943</v>
      </c>
      <c r="B610" s="14">
        <v>46136</v>
      </c>
      <c r="C610" s="13" t="s">
        <v>40</v>
      </c>
      <c r="D610" s="13" t="s">
        <v>47</v>
      </c>
      <c r="E610" s="13" t="s">
        <v>155</v>
      </c>
      <c r="F610" s="13" t="s">
        <v>61</v>
      </c>
      <c r="G610" s="13" t="s">
        <v>44</v>
      </c>
      <c r="H610" s="13" t="s">
        <v>24</v>
      </c>
      <c r="I610" s="13" t="s">
        <v>84</v>
      </c>
      <c r="J610" s="13">
        <v>1</v>
      </c>
      <c r="K610" s="21">
        <v>641</v>
      </c>
      <c r="L610" s="21">
        <v>641</v>
      </c>
      <c r="M610" s="23">
        <v>0</v>
      </c>
      <c r="N610" s="21">
        <v>0</v>
      </c>
      <c r="O610" s="21">
        <v>641</v>
      </c>
      <c r="P610" s="13">
        <v>4.8</v>
      </c>
      <c r="Q610" s="13" t="s">
        <v>26</v>
      </c>
    </row>
    <row r="611" spans="1:17" x14ac:dyDescent="0.25">
      <c r="A611" s="13" t="s">
        <v>945</v>
      </c>
      <c r="B611" s="14">
        <v>46137</v>
      </c>
      <c r="C611" s="13" t="s">
        <v>63</v>
      </c>
      <c r="D611" s="13" t="s">
        <v>134</v>
      </c>
      <c r="E611" s="13" t="s">
        <v>21</v>
      </c>
      <c r="F611" s="13" t="s">
        <v>31</v>
      </c>
      <c r="G611" s="13" t="s">
        <v>23</v>
      </c>
      <c r="H611" s="13" t="s">
        <v>33</v>
      </c>
      <c r="I611" s="13" t="s">
        <v>45</v>
      </c>
      <c r="J611" s="13">
        <v>3</v>
      </c>
      <c r="K611" s="21">
        <v>1799</v>
      </c>
      <c r="L611" s="21">
        <v>5397</v>
      </c>
      <c r="M611" s="23">
        <v>0.3</v>
      </c>
      <c r="N611" s="21">
        <v>1619</v>
      </c>
      <c r="O611" s="21">
        <v>3778</v>
      </c>
      <c r="P611" s="13">
        <v>4</v>
      </c>
      <c r="Q611" s="13" t="s">
        <v>26</v>
      </c>
    </row>
    <row r="612" spans="1:17" x14ac:dyDescent="0.25">
      <c r="A612" s="13" t="s">
        <v>947</v>
      </c>
      <c r="B612" s="14">
        <v>46137</v>
      </c>
      <c r="C612" s="13" t="s">
        <v>63</v>
      </c>
      <c r="D612" s="13" t="s">
        <v>134</v>
      </c>
      <c r="E612" s="13" t="s">
        <v>48</v>
      </c>
      <c r="F612" s="13" t="s">
        <v>22</v>
      </c>
      <c r="G612" s="13" t="s">
        <v>23</v>
      </c>
      <c r="H612" s="13" t="s">
        <v>24</v>
      </c>
      <c r="I612" s="13" t="s">
        <v>34</v>
      </c>
      <c r="J612" s="13">
        <v>2</v>
      </c>
      <c r="K612" s="21">
        <v>2056</v>
      </c>
      <c r="L612" s="21">
        <v>4112</v>
      </c>
      <c r="M612" s="23">
        <v>0.2</v>
      </c>
      <c r="N612" s="21">
        <v>822</v>
      </c>
      <c r="O612" s="21">
        <v>3290</v>
      </c>
      <c r="P612" s="13">
        <v>3.7</v>
      </c>
      <c r="Q612" s="13" t="s">
        <v>26</v>
      </c>
    </row>
    <row r="613" spans="1:17" x14ac:dyDescent="0.25">
      <c r="A613" s="13" t="s">
        <v>948</v>
      </c>
      <c r="B613" s="14">
        <v>46138</v>
      </c>
      <c r="C613" s="13" t="s">
        <v>91</v>
      </c>
      <c r="D613" s="13" t="s">
        <v>92</v>
      </c>
      <c r="E613" s="13" t="s">
        <v>101</v>
      </c>
      <c r="F613" s="13" t="s">
        <v>83</v>
      </c>
      <c r="G613" s="13" t="s">
        <v>44</v>
      </c>
      <c r="H613" s="13" t="s">
        <v>24</v>
      </c>
      <c r="I613" s="13" t="s">
        <v>84</v>
      </c>
      <c r="J613" s="13">
        <v>3</v>
      </c>
      <c r="K613" s="21">
        <v>1833</v>
      </c>
      <c r="L613" s="21">
        <v>5499</v>
      </c>
      <c r="M613" s="23">
        <v>0.3</v>
      </c>
      <c r="N613" s="21">
        <v>1650</v>
      </c>
      <c r="O613" s="21">
        <v>3849</v>
      </c>
      <c r="P613" s="13">
        <v>4.9000000000000004</v>
      </c>
      <c r="Q613" s="13" t="s">
        <v>26</v>
      </c>
    </row>
    <row r="614" spans="1:17" x14ac:dyDescent="0.25">
      <c r="A614" s="13" t="s">
        <v>950</v>
      </c>
      <c r="B614" s="14">
        <v>46138</v>
      </c>
      <c r="C614" s="13" t="s">
        <v>28</v>
      </c>
      <c r="D614" s="13" t="s">
        <v>95</v>
      </c>
      <c r="E614" s="13" t="s">
        <v>21</v>
      </c>
      <c r="F614" s="13" t="s">
        <v>61</v>
      </c>
      <c r="G614" s="13" t="s">
        <v>23</v>
      </c>
      <c r="H614" s="13" t="s">
        <v>33</v>
      </c>
      <c r="I614" s="13" t="s">
        <v>84</v>
      </c>
      <c r="J614" s="13">
        <v>5</v>
      </c>
      <c r="K614" s="21">
        <v>699</v>
      </c>
      <c r="L614" s="21">
        <v>3495</v>
      </c>
      <c r="M614" s="23">
        <v>0.15</v>
      </c>
      <c r="N614" s="21">
        <v>524</v>
      </c>
      <c r="O614" s="21">
        <v>2971</v>
      </c>
      <c r="P614" s="13">
        <v>3.9</v>
      </c>
      <c r="Q614" s="13" t="s">
        <v>26</v>
      </c>
    </row>
    <row r="615" spans="1:17" x14ac:dyDescent="0.25">
      <c r="A615" s="13" t="s">
        <v>951</v>
      </c>
      <c r="B615" s="14">
        <v>46139</v>
      </c>
      <c r="C615" s="13" t="s">
        <v>63</v>
      </c>
      <c r="D615" s="13" t="s">
        <v>134</v>
      </c>
      <c r="E615" s="13" t="s">
        <v>53</v>
      </c>
      <c r="F615" s="13" t="s">
        <v>65</v>
      </c>
      <c r="G615" s="13" t="s">
        <v>44</v>
      </c>
      <c r="H615" s="13" t="s">
        <v>24</v>
      </c>
      <c r="I615" s="13" t="s">
        <v>25</v>
      </c>
      <c r="J615" s="13">
        <v>2</v>
      </c>
      <c r="K615" s="21">
        <v>2294</v>
      </c>
      <c r="L615" s="21">
        <v>4588</v>
      </c>
      <c r="M615" s="23">
        <v>0.15</v>
      </c>
      <c r="N615" s="21">
        <v>688</v>
      </c>
      <c r="O615" s="21">
        <v>3900</v>
      </c>
      <c r="P615" s="13">
        <v>4.7</v>
      </c>
      <c r="Q615" s="13" t="s">
        <v>26</v>
      </c>
    </row>
    <row r="616" spans="1:17" x14ac:dyDescent="0.25">
      <c r="A616" s="13" t="s">
        <v>953</v>
      </c>
      <c r="B616" s="14">
        <v>46140</v>
      </c>
      <c r="C616" s="13" t="s">
        <v>91</v>
      </c>
      <c r="D616" s="13" t="s">
        <v>110</v>
      </c>
      <c r="E616" s="13" t="s">
        <v>42</v>
      </c>
      <c r="F616" s="13" t="s">
        <v>61</v>
      </c>
      <c r="G616" s="13" t="s">
        <v>23</v>
      </c>
      <c r="H616" s="13" t="s">
        <v>33</v>
      </c>
      <c r="I616" s="13" t="s">
        <v>98</v>
      </c>
      <c r="J616" s="13">
        <v>5</v>
      </c>
      <c r="K616" s="21">
        <v>515</v>
      </c>
      <c r="L616" s="21">
        <v>2575</v>
      </c>
      <c r="M616" s="23">
        <v>0.2</v>
      </c>
      <c r="N616" s="21">
        <v>515</v>
      </c>
      <c r="O616" s="21">
        <v>2060</v>
      </c>
      <c r="P616" s="13">
        <v>3.7</v>
      </c>
      <c r="Q616" s="13" t="s">
        <v>26</v>
      </c>
    </row>
    <row r="617" spans="1:17" x14ac:dyDescent="0.25">
      <c r="A617" s="13" t="s">
        <v>955</v>
      </c>
      <c r="B617" s="14">
        <v>46141</v>
      </c>
      <c r="C617" s="13" t="s">
        <v>51</v>
      </c>
      <c r="D617" s="13" t="s">
        <v>70</v>
      </c>
      <c r="E617" s="13" t="s">
        <v>42</v>
      </c>
      <c r="F617" s="13" t="s">
        <v>61</v>
      </c>
      <c r="G617" s="13" t="s">
        <v>32</v>
      </c>
      <c r="H617" s="13" t="s">
        <v>24</v>
      </c>
      <c r="I617" s="13" t="s">
        <v>45</v>
      </c>
      <c r="J617" s="13">
        <v>2</v>
      </c>
      <c r="K617" s="21">
        <v>310</v>
      </c>
      <c r="L617" s="21">
        <v>620</v>
      </c>
      <c r="M617" s="23">
        <v>0.15</v>
      </c>
      <c r="N617" s="21">
        <v>93</v>
      </c>
      <c r="O617" s="21">
        <v>527</v>
      </c>
      <c r="P617" s="13">
        <v>4.2</v>
      </c>
      <c r="Q617" s="13" t="s">
        <v>26</v>
      </c>
    </row>
    <row r="618" spans="1:17" x14ac:dyDescent="0.25">
      <c r="A618" s="13" t="s">
        <v>957</v>
      </c>
      <c r="B618" s="14">
        <v>46141</v>
      </c>
      <c r="C618" s="13" t="s">
        <v>51</v>
      </c>
      <c r="D618" s="13" t="s">
        <v>97</v>
      </c>
      <c r="E618" s="13" t="s">
        <v>48</v>
      </c>
      <c r="F618" s="13" t="s">
        <v>83</v>
      </c>
      <c r="G618" s="13" t="s">
        <v>44</v>
      </c>
      <c r="H618" s="13" t="s">
        <v>33</v>
      </c>
      <c r="I618" s="13" t="s">
        <v>98</v>
      </c>
      <c r="J618" s="13">
        <v>5</v>
      </c>
      <c r="K618" s="21">
        <v>456</v>
      </c>
      <c r="L618" s="21">
        <v>2280</v>
      </c>
      <c r="M618" s="23">
        <v>0.3</v>
      </c>
      <c r="N618" s="21">
        <v>684</v>
      </c>
      <c r="O618" s="21">
        <v>1596</v>
      </c>
      <c r="P618" s="13">
        <v>3.5</v>
      </c>
      <c r="Q618" s="13" t="s">
        <v>26</v>
      </c>
    </row>
    <row r="619" spans="1:17" x14ac:dyDescent="0.25">
      <c r="A619" s="13" t="s">
        <v>958</v>
      </c>
      <c r="B619" s="14">
        <v>46142</v>
      </c>
      <c r="C619" s="13" t="s">
        <v>51</v>
      </c>
      <c r="D619" s="13" t="s">
        <v>97</v>
      </c>
      <c r="E619" s="13" t="s">
        <v>78</v>
      </c>
      <c r="F619" s="13" t="s">
        <v>83</v>
      </c>
      <c r="G619" s="13" t="s">
        <v>44</v>
      </c>
      <c r="H619" s="13" t="s">
        <v>24</v>
      </c>
      <c r="I619" s="13" t="s">
        <v>98</v>
      </c>
      <c r="J619" s="13">
        <v>3</v>
      </c>
      <c r="K619" s="21">
        <v>380</v>
      </c>
      <c r="L619" s="21">
        <v>1140</v>
      </c>
      <c r="M619" s="23">
        <v>0.15</v>
      </c>
      <c r="N619" s="21">
        <v>171</v>
      </c>
      <c r="O619" s="21">
        <v>969</v>
      </c>
      <c r="P619" s="13">
        <v>4.5</v>
      </c>
      <c r="Q619" s="13" t="s">
        <v>26</v>
      </c>
    </row>
    <row r="620" spans="1:17" x14ac:dyDescent="0.25">
      <c r="A620" s="13" t="s">
        <v>960</v>
      </c>
      <c r="B620" s="14">
        <v>46144</v>
      </c>
      <c r="C620" s="13" t="s">
        <v>63</v>
      </c>
      <c r="D620" s="13" t="s">
        <v>143</v>
      </c>
      <c r="E620" s="13" t="s">
        <v>155</v>
      </c>
      <c r="F620" s="13" t="s">
        <v>31</v>
      </c>
      <c r="G620" s="13" t="s">
        <v>23</v>
      </c>
      <c r="H620" s="13" t="s">
        <v>24</v>
      </c>
      <c r="I620" s="13" t="s">
        <v>84</v>
      </c>
      <c r="J620" s="13">
        <v>4</v>
      </c>
      <c r="K620" s="21">
        <v>591</v>
      </c>
      <c r="L620" s="21">
        <v>2364</v>
      </c>
      <c r="M620" s="23">
        <v>0.2</v>
      </c>
      <c r="N620" s="21">
        <v>473</v>
      </c>
      <c r="O620" s="21">
        <v>1891</v>
      </c>
      <c r="P620" s="13">
        <v>3.8</v>
      </c>
      <c r="Q620" s="13" t="s">
        <v>75</v>
      </c>
    </row>
    <row r="621" spans="1:17" x14ac:dyDescent="0.25">
      <c r="A621" s="13" t="s">
        <v>962</v>
      </c>
      <c r="B621" s="14">
        <v>46146</v>
      </c>
      <c r="C621" s="13" t="s">
        <v>28</v>
      </c>
      <c r="D621" s="13" t="s">
        <v>163</v>
      </c>
      <c r="E621" s="13" t="s">
        <v>48</v>
      </c>
      <c r="F621" s="13" t="s">
        <v>31</v>
      </c>
      <c r="G621" s="13" t="s">
        <v>32</v>
      </c>
      <c r="H621" s="13" t="s">
        <v>33</v>
      </c>
      <c r="I621" s="13" t="s">
        <v>84</v>
      </c>
      <c r="J621" s="13">
        <v>5</v>
      </c>
      <c r="K621" s="21">
        <v>925</v>
      </c>
      <c r="L621" s="21">
        <v>4625</v>
      </c>
      <c r="M621" s="23">
        <v>0.1</v>
      </c>
      <c r="N621" s="21">
        <v>462</v>
      </c>
      <c r="O621" s="21">
        <v>4163</v>
      </c>
      <c r="P621" s="13">
        <v>3.5</v>
      </c>
      <c r="Q621" s="13" t="s">
        <v>26</v>
      </c>
    </row>
    <row r="622" spans="1:17" x14ac:dyDescent="0.25">
      <c r="A622" s="13" t="s">
        <v>964</v>
      </c>
      <c r="B622" s="14">
        <v>46147</v>
      </c>
      <c r="C622" s="13" t="s">
        <v>19</v>
      </c>
      <c r="D622" s="13" t="s">
        <v>230</v>
      </c>
      <c r="E622" s="13" t="s">
        <v>30</v>
      </c>
      <c r="F622" s="13" t="s">
        <v>43</v>
      </c>
      <c r="G622" s="13" t="s">
        <v>44</v>
      </c>
      <c r="H622" s="13" t="s">
        <v>33</v>
      </c>
      <c r="I622" s="13" t="s">
        <v>84</v>
      </c>
      <c r="J622" s="13">
        <v>4</v>
      </c>
      <c r="K622" s="21">
        <v>241</v>
      </c>
      <c r="L622" s="21">
        <v>964</v>
      </c>
      <c r="M622" s="23">
        <v>0.1</v>
      </c>
      <c r="N622" s="21">
        <v>96</v>
      </c>
      <c r="O622" s="21">
        <v>868</v>
      </c>
      <c r="P622" s="13">
        <v>4.0999999999999996</v>
      </c>
      <c r="Q622" s="13" t="s">
        <v>26</v>
      </c>
    </row>
    <row r="623" spans="1:17" x14ac:dyDescent="0.25">
      <c r="A623" s="13" t="s">
        <v>966</v>
      </c>
      <c r="B623" s="14">
        <v>46147</v>
      </c>
      <c r="C623" s="13" t="s">
        <v>51</v>
      </c>
      <c r="D623" s="13" t="s">
        <v>70</v>
      </c>
      <c r="E623" s="13" t="s">
        <v>78</v>
      </c>
      <c r="F623" s="13" t="s">
        <v>43</v>
      </c>
      <c r="G623" s="13" t="s">
        <v>23</v>
      </c>
      <c r="H623" s="13" t="s">
        <v>24</v>
      </c>
      <c r="I623" s="13" t="s">
        <v>34</v>
      </c>
      <c r="J623" s="13">
        <v>1</v>
      </c>
      <c r="K623" s="21">
        <v>489</v>
      </c>
      <c r="L623" s="21">
        <v>489</v>
      </c>
      <c r="M623" s="23">
        <v>0</v>
      </c>
      <c r="N623" s="21">
        <v>0</v>
      </c>
      <c r="O623" s="21">
        <v>489</v>
      </c>
      <c r="P623" s="13">
        <v>3.9</v>
      </c>
      <c r="Q623" s="13" t="s">
        <v>75</v>
      </c>
    </row>
    <row r="624" spans="1:17" x14ac:dyDescent="0.25">
      <c r="A624" s="13" t="s">
        <v>967</v>
      </c>
      <c r="B624" s="14">
        <v>46147</v>
      </c>
      <c r="C624" s="13" t="s">
        <v>51</v>
      </c>
      <c r="D624" s="13" t="s">
        <v>97</v>
      </c>
      <c r="E624" s="13" t="s">
        <v>155</v>
      </c>
      <c r="F624" s="13" t="s">
        <v>83</v>
      </c>
      <c r="G624" s="13" t="s">
        <v>32</v>
      </c>
      <c r="H624" s="13" t="s">
        <v>104</v>
      </c>
      <c r="I624" s="13" t="s">
        <v>34</v>
      </c>
      <c r="J624" s="13">
        <v>4</v>
      </c>
      <c r="K624" s="21">
        <v>264</v>
      </c>
      <c r="L624" s="21">
        <v>1056</v>
      </c>
      <c r="M624" s="23">
        <v>0.25</v>
      </c>
      <c r="N624" s="21">
        <v>264</v>
      </c>
      <c r="O624" s="21">
        <v>792</v>
      </c>
      <c r="P624" s="13">
        <v>3.3</v>
      </c>
      <c r="Q624" s="13" t="s">
        <v>75</v>
      </c>
    </row>
    <row r="625" spans="1:17" x14ac:dyDescent="0.25">
      <c r="A625" s="13" t="s">
        <v>968</v>
      </c>
      <c r="B625" s="14">
        <v>46148</v>
      </c>
      <c r="C625" s="13" t="s">
        <v>91</v>
      </c>
      <c r="D625" s="13" t="s">
        <v>110</v>
      </c>
      <c r="E625" s="13" t="s">
        <v>155</v>
      </c>
      <c r="F625" s="13" t="s">
        <v>83</v>
      </c>
      <c r="G625" s="13" t="s">
        <v>23</v>
      </c>
      <c r="H625" s="13" t="s">
        <v>24</v>
      </c>
      <c r="I625" s="13" t="s">
        <v>34</v>
      </c>
      <c r="J625" s="13">
        <v>3</v>
      </c>
      <c r="K625" s="21">
        <v>1451</v>
      </c>
      <c r="L625" s="21">
        <v>4353</v>
      </c>
      <c r="M625" s="23">
        <v>0.2</v>
      </c>
      <c r="N625" s="21">
        <v>871</v>
      </c>
      <c r="O625" s="21">
        <v>3482</v>
      </c>
      <c r="P625" s="13">
        <v>4.4000000000000004</v>
      </c>
      <c r="Q625" s="13" t="s">
        <v>26</v>
      </c>
    </row>
    <row r="626" spans="1:17" x14ac:dyDescent="0.25">
      <c r="A626" s="13" t="s">
        <v>970</v>
      </c>
      <c r="B626" s="14">
        <v>46148</v>
      </c>
      <c r="C626" s="13" t="s">
        <v>28</v>
      </c>
      <c r="D626" s="13" t="s">
        <v>36</v>
      </c>
      <c r="E626" s="13" t="s">
        <v>101</v>
      </c>
      <c r="F626" s="13" t="s">
        <v>79</v>
      </c>
      <c r="G626" s="13" t="s">
        <v>23</v>
      </c>
      <c r="H626" s="13" t="s">
        <v>24</v>
      </c>
      <c r="I626" s="13" t="s">
        <v>25</v>
      </c>
      <c r="J626" s="13">
        <v>3</v>
      </c>
      <c r="K626" s="21">
        <v>811</v>
      </c>
      <c r="L626" s="21">
        <v>2433</v>
      </c>
      <c r="M626" s="23">
        <v>0</v>
      </c>
      <c r="N626" s="21">
        <v>0</v>
      </c>
      <c r="O626" s="21">
        <v>2433</v>
      </c>
      <c r="P626" s="13">
        <v>4.5999999999999996</v>
      </c>
      <c r="Q626" s="13" t="s">
        <v>26</v>
      </c>
    </row>
    <row r="627" spans="1:17" x14ac:dyDescent="0.25">
      <c r="A627" s="13" t="s">
        <v>971</v>
      </c>
      <c r="B627" s="14">
        <v>46148</v>
      </c>
      <c r="C627" s="13" t="s">
        <v>91</v>
      </c>
      <c r="D627" s="13" t="s">
        <v>92</v>
      </c>
      <c r="E627" s="13" t="s">
        <v>101</v>
      </c>
      <c r="F627" s="13" t="s">
        <v>65</v>
      </c>
      <c r="G627" s="13" t="s">
        <v>23</v>
      </c>
      <c r="H627" s="13" t="s">
        <v>24</v>
      </c>
      <c r="I627" s="13" t="s">
        <v>98</v>
      </c>
      <c r="J627" s="13">
        <v>5</v>
      </c>
      <c r="K627" s="21">
        <v>2876</v>
      </c>
      <c r="L627" s="21">
        <v>14380</v>
      </c>
      <c r="M627" s="23">
        <v>0.3</v>
      </c>
      <c r="N627" s="21">
        <v>4314</v>
      </c>
      <c r="O627" s="21">
        <v>10066</v>
      </c>
      <c r="P627" s="13">
        <v>4.4000000000000004</v>
      </c>
      <c r="Q627" s="13" t="s">
        <v>26</v>
      </c>
    </row>
    <row r="628" spans="1:17" x14ac:dyDescent="0.25">
      <c r="A628" s="13" t="s">
        <v>972</v>
      </c>
      <c r="B628" s="14">
        <v>46148</v>
      </c>
      <c r="C628" s="13" t="s">
        <v>19</v>
      </c>
      <c r="D628" s="13" t="s">
        <v>128</v>
      </c>
      <c r="E628" s="13" t="s">
        <v>60</v>
      </c>
      <c r="F628" s="13" t="s">
        <v>31</v>
      </c>
      <c r="G628" s="13" t="s">
        <v>32</v>
      </c>
      <c r="H628" s="13" t="s">
        <v>33</v>
      </c>
      <c r="I628" s="13" t="s">
        <v>98</v>
      </c>
      <c r="J628" s="13">
        <v>2</v>
      </c>
      <c r="K628" s="21">
        <v>640</v>
      </c>
      <c r="L628" s="21">
        <v>1280</v>
      </c>
      <c r="M628" s="23">
        <v>0.2</v>
      </c>
      <c r="N628" s="21">
        <v>256</v>
      </c>
      <c r="O628" s="21">
        <v>1024</v>
      </c>
      <c r="P628" s="13">
        <v>4.7</v>
      </c>
      <c r="Q628" s="13" t="s">
        <v>26</v>
      </c>
    </row>
    <row r="629" spans="1:17" x14ac:dyDescent="0.25">
      <c r="A629" s="13" t="s">
        <v>973</v>
      </c>
      <c r="B629" s="14">
        <v>46149</v>
      </c>
      <c r="C629" s="13" t="s">
        <v>19</v>
      </c>
      <c r="D629" s="13" t="s">
        <v>230</v>
      </c>
      <c r="E629" s="13" t="s">
        <v>42</v>
      </c>
      <c r="F629" s="13" t="s">
        <v>61</v>
      </c>
      <c r="G629" s="13" t="s">
        <v>23</v>
      </c>
      <c r="H629" s="13" t="s">
        <v>33</v>
      </c>
      <c r="I629" s="13" t="s">
        <v>25</v>
      </c>
      <c r="J629" s="13">
        <v>3</v>
      </c>
      <c r="K629" s="21">
        <v>513</v>
      </c>
      <c r="L629" s="21">
        <v>1539</v>
      </c>
      <c r="M629" s="23">
        <v>0.15</v>
      </c>
      <c r="N629" s="21">
        <v>231</v>
      </c>
      <c r="O629" s="21">
        <v>1308</v>
      </c>
      <c r="P629" s="13">
        <v>5</v>
      </c>
      <c r="Q629" s="13" t="s">
        <v>26</v>
      </c>
    </row>
    <row r="630" spans="1:17" x14ac:dyDescent="0.25">
      <c r="A630" s="13" t="s">
        <v>975</v>
      </c>
      <c r="B630" s="14">
        <v>46149</v>
      </c>
      <c r="C630" s="13" t="s">
        <v>63</v>
      </c>
      <c r="D630" s="13" t="s">
        <v>64</v>
      </c>
      <c r="E630" s="13" t="s">
        <v>37</v>
      </c>
      <c r="F630" s="13" t="s">
        <v>61</v>
      </c>
      <c r="G630" s="13" t="s">
        <v>32</v>
      </c>
      <c r="H630" s="13" t="s">
        <v>104</v>
      </c>
      <c r="I630" s="13" t="s">
        <v>84</v>
      </c>
      <c r="J630" s="13">
        <v>5</v>
      </c>
      <c r="K630" s="21">
        <v>2083</v>
      </c>
      <c r="L630" s="21">
        <v>10415</v>
      </c>
      <c r="M630" s="23">
        <v>0.05</v>
      </c>
      <c r="N630" s="21">
        <v>521</v>
      </c>
      <c r="O630" s="21">
        <v>9894</v>
      </c>
      <c r="P630" s="13">
        <v>4.3</v>
      </c>
      <c r="Q630" s="13" t="s">
        <v>26</v>
      </c>
    </row>
    <row r="631" spans="1:17" x14ac:dyDescent="0.25">
      <c r="A631" s="13" t="s">
        <v>976</v>
      </c>
      <c r="B631" s="14">
        <v>46149</v>
      </c>
      <c r="C631" s="13" t="s">
        <v>51</v>
      </c>
      <c r="D631" s="13" t="s">
        <v>97</v>
      </c>
      <c r="E631" s="13" t="s">
        <v>60</v>
      </c>
      <c r="F631" s="13" t="s">
        <v>79</v>
      </c>
      <c r="G631" s="13" t="s">
        <v>32</v>
      </c>
      <c r="H631" s="13" t="s">
        <v>33</v>
      </c>
      <c r="I631" s="13" t="s">
        <v>84</v>
      </c>
      <c r="J631" s="13">
        <v>1</v>
      </c>
      <c r="K631" s="21">
        <v>383</v>
      </c>
      <c r="L631" s="21">
        <v>383</v>
      </c>
      <c r="M631" s="23">
        <v>0.25</v>
      </c>
      <c r="N631" s="21">
        <v>96</v>
      </c>
      <c r="O631" s="21">
        <v>287</v>
      </c>
      <c r="P631" s="13">
        <v>4.5999999999999996</v>
      </c>
      <c r="Q631" s="13" t="s">
        <v>26</v>
      </c>
    </row>
    <row r="632" spans="1:17" x14ac:dyDescent="0.25">
      <c r="A632" s="13" t="s">
        <v>977</v>
      </c>
      <c r="B632" s="14">
        <v>46149</v>
      </c>
      <c r="C632" s="13" t="s">
        <v>40</v>
      </c>
      <c r="D632" s="13" t="s">
        <v>57</v>
      </c>
      <c r="E632" s="13" t="s">
        <v>60</v>
      </c>
      <c r="F632" s="13" t="s">
        <v>83</v>
      </c>
      <c r="G632" s="13" t="s">
        <v>32</v>
      </c>
      <c r="H632" s="13" t="s">
        <v>104</v>
      </c>
      <c r="I632" s="13" t="s">
        <v>98</v>
      </c>
      <c r="J632" s="13">
        <v>5</v>
      </c>
      <c r="K632" s="21">
        <v>337</v>
      </c>
      <c r="L632" s="21">
        <v>1685</v>
      </c>
      <c r="M632" s="23">
        <v>0.15</v>
      </c>
      <c r="N632" s="21">
        <v>253</v>
      </c>
      <c r="O632" s="21">
        <v>1432</v>
      </c>
      <c r="P632" s="13">
        <v>4.5999999999999996</v>
      </c>
      <c r="Q632" s="13" t="s">
        <v>26</v>
      </c>
    </row>
    <row r="633" spans="1:17" x14ac:dyDescent="0.25">
      <c r="A633" s="13" t="s">
        <v>978</v>
      </c>
      <c r="B633" s="14">
        <v>46149</v>
      </c>
      <c r="C633" s="13" t="s">
        <v>28</v>
      </c>
      <c r="D633" s="13" t="s">
        <v>77</v>
      </c>
      <c r="E633" s="13" t="s">
        <v>101</v>
      </c>
      <c r="F633" s="13" t="s">
        <v>79</v>
      </c>
      <c r="G633" s="13" t="s">
        <v>32</v>
      </c>
      <c r="H633" s="13" t="s">
        <v>33</v>
      </c>
      <c r="I633" s="13" t="s">
        <v>25</v>
      </c>
      <c r="J633" s="13">
        <v>3</v>
      </c>
      <c r="K633" s="21">
        <v>754</v>
      </c>
      <c r="L633" s="21">
        <v>2262</v>
      </c>
      <c r="M633" s="23">
        <v>0.15</v>
      </c>
      <c r="N633" s="21">
        <v>339</v>
      </c>
      <c r="O633" s="21">
        <v>1923</v>
      </c>
      <c r="P633" s="13">
        <v>3.7</v>
      </c>
      <c r="Q633" s="13" t="s">
        <v>26</v>
      </c>
    </row>
    <row r="634" spans="1:17" x14ac:dyDescent="0.25">
      <c r="A634" s="13" t="s">
        <v>979</v>
      </c>
      <c r="B634" s="14">
        <v>46149</v>
      </c>
      <c r="C634" s="13" t="s">
        <v>19</v>
      </c>
      <c r="D634" s="13" t="s">
        <v>128</v>
      </c>
      <c r="E634" s="13" t="s">
        <v>71</v>
      </c>
      <c r="F634" s="13" t="s">
        <v>22</v>
      </c>
      <c r="G634" s="13" t="s">
        <v>23</v>
      </c>
      <c r="H634" s="13" t="s">
        <v>24</v>
      </c>
      <c r="I634" s="13" t="s">
        <v>25</v>
      </c>
      <c r="J634" s="13">
        <v>2</v>
      </c>
      <c r="K634" s="21">
        <v>570</v>
      </c>
      <c r="L634" s="21">
        <v>1140</v>
      </c>
      <c r="M634" s="23">
        <v>0</v>
      </c>
      <c r="N634" s="21">
        <v>0</v>
      </c>
      <c r="O634" s="21">
        <v>1140</v>
      </c>
      <c r="P634" s="13">
        <v>3.6</v>
      </c>
      <c r="Q634" s="13" t="s">
        <v>26</v>
      </c>
    </row>
    <row r="635" spans="1:17" x14ac:dyDescent="0.25">
      <c r="A635" s="13" t="s">
        <v>980</v>
      </c>
      <c r="B635" s="14">
        <v>46150</v>
      </c>
      <c r="C635" s="13" t="s">
        <v>63</v>
      </c>
      <c r="D635" s="13" t="s">
        <v>64</v>
      </c>
      <c r="E635" s="13" t="s">
        <v>78</v>
      </c>
      <c r="F635" s="13" t="s">
        <v>31</v>
      </c>
      <c r="G635" s="13" t="s">
        <v>23</v>
      </c>
      <c r="H635" s="13" t="s">
        <v>24</v>
      </c>
      <c r="I635" s="13" t="s">
        <v>45</v>
      </c>
      <c r="J635" s="13">
        <v>4</v>
      </c>
      <c r="K635" s="21">
        <v>966</v>
      </c>
      <c r="L635" s="21">
        <v>3864</v>
      </c>
      <c r="M635" s="23">
        <v>0.25</v>
      </c>
      <c r="N635" s="21">
        <v>966</v>
      </c>
      <c r="O635" s="21">
        <v>2898</v>
      </c>
      <c r="P635" s="13">
        <v>4.4000000000000004</v>
      </c>
      <c r="Q635" s="13" t="s">
        <v>26</v>
      </c>
    </row>
    <row r="636" spans="1:17" x14ac:dyDescent="0.25">
      <c r="A636" s="13" t="s">
        <v>982</v>
      </c>
      <c r="B636" s="14">
        <v>46150</v>
      </c>
      <c r="C636" s="13" t="s">
        <v>28</v>
      </c>
      <c r="D636" s="13" t="s">
        <v>163</v>
      </c>
      <c r="E636" s="13" t="s">
        <v>71</v>
      </c>
      <c r="F636" s="13" t="s">
        <v>22</v>
      </c>
      <c r="G636" s="13" t="s">
        <v>23</v>
      </c>
      <c r="H636" s="13" t="s">
        <v>33</v>
      </c>
      <c r="I636" s="13" t="s">
        <v>84</v>
      </c>
      <c r="J636" s="13">
        <v>3</v>
      </c>
      <c r="K636" s="21">
        <v>333</v>
      </c>
      <c r="L636" s="21">
        <v>999</v>
      </c>
      <c r="M636" s="23">
        <v>0.05</v>
      </c>
      <c r="N636" s="21">
        <v>50</v>
      </c>
      <c r="O636" s="21">
        <v>949</v>
      </c>
      <c r="P636" s="13">
        <v>4</v>
      </c>
      <c r="Q636" s="13" t="s">
        <v>26</v>
      </c>
    </row>
    <row r="637" spans="1:17" x14ac:dyDescent="0.25">
      <c r="A637" s="13" t="s">
        <v>983</v>
      </c>
      <c r="B637" s="14">
        <v>46150</v>
      </c>
      <c r="C637" s="13" t="s">
        <v>91</v>
      </c>
      <c r="D637" s="13" t="s">
        <v>125</v>
      </c>
      <c r="E637" s="13" t="s">
        <v>37</v>
      </c>
      <c r="F637" s="13" t="s">
        <v>43</v>
      </c>
      <c r="G637" s="13" t="s">
        <v>32</v>
      </c>
      <c r="H637" s="13" t="s">
        <v>24</v>
      </c>
      <c r="I637" s="13" t="s">
        <v>98</v>
      </c>
      <c r="J637" s="13">
        <v>5</v>
      </c>
      <c r="K637" s="21">
        <v>1839</v>
      </c>
      <c r="L637" s="21">
        <v>9195</v>
      </c>
      <c r="M637" s="23">
        <v>0.25</v>
      </c>
      <c r="N637" s="21">
        <v>2299</v>
      </c>
      <c r="O637" s="21">
        <v>6896</v>
      </c>
      <c r="P637" s="13">
        <v>4.8</v>
      </c>
      <c r="Q637" s="13" t="s">
        <v>26</v>
      </c>
    </row>
    <row r="638" spans="1:17" x14ac:dyDescent="0.25">
      <c r="A638" s="13" t="s">
        <v>984</v>
      </c>
      <c r="B638" s="14">
        <v>46151</v>
      </c>
      <c r="C638" s="13" t="s">
        <v>91</v>
      </c>
      <c r="D638" s="13" t="s">
        <v>92</v>
      </c>
      <c r="E638" s="13" t="s">
        <v>71</v>
      </c>
      <c r="F638" s="13" t="s">
        <v>31</v>
      </c>
      <c r="G638" s="13" t="s">
        <v>23</v>
      </c>
      <c r="H638" s="13" t="s">
        <v>104</v>
      </c>
      <c r="I638" s="13" t="s">
        <v>45</v>
      </c>
      <c r="J638" s="13">
        <v>4</v>
      </c>
      <c r="K638" s="21">
        <v>2435</v>
      </c>
      <c r="L638" s="21">
        <v>9740</v>
      </c>
      <c r="M638" s="23">
        <v>0.25</v>
      </c>
      <c r="N638" s="21">
        <v>2435</v>
      </c>
      <c r="O638" s="21">
        <v>7305</v>
      </c>
      <c r="P638" s="13">
        <v>4.3</v>
      </c>
      <c r="Q638" s="13" t="s">
        <v>26</v>
      </c>
    </row>
    <row r="639" spans="1:17" x14ac:dyDescent="0.25">
      <c r="A639" s="13" t="s">
        <v>986</v>
      </c>
      <c r="B639" s="14">
        <v>46152</v>
      </c>
      <c r="C639" s="13" t="s">
        <v>19</v>
      </c>
      <c r="D639" s="13" t="s">
        <v>20</v>
      </c>
      <c r="E639" s="13" t="s">
        <v>48</v>
      </c>
      <c r="F639" s="13" t="s">
        <v>31</v>
      </c>
      <c r="G639" s="13" t="s">
        <v>23</v>
      </c>
      <c r="H639" s="13" t="s">
        <v>24</v>
      </c>
      <c r="I639" s="13" t="s">
        <v>98</v>
      </c>
      <c r="J639" s="13">
        <v>4</v>
      </c>
      <c r="K639" s="21">
        <v>538</v>
      </c>
      <c r="L639" s="21">
        <v>2152</v>
      </c>
      <c r="M639" s="23">
        <v>0.25</v>
      </c>
      <c r="N639" s="21">
        <v>538</v>
      </c>
      <c r="O639" s="21">
        <v>1614</v>
      </c>
      <c r="P639" s="13">
        <v>3.5</v>
      </c>
      <c r="Q639" s="13" t="s">
        <v>26</v>
      </c>
    </row>
    <row r="640" spans="1:17" x14ac:dyDescent="0.25">
      <c r="A640" s="13" t="s">
        <v>988</v>
      </c>
      <c r="B640" s="14">
        <v>46153</v>
      </c>
      <c r="C640" s="13" t="s">
        <v>51</v>
      </c>
      <c r="D640" s="13" t="s">
        <v>70</v>
      </c>
      <c r="E640" s="13" t="s">
        <v>82</v>
      </c>
      <c r="F640" s="13" t="s">
        <v>79</v>
      </c>
      <c r="G640" s="13" t="s">
        <v>23</v>
      </c>
      <c r="H640" s="13" t="s">
        <v>33</v>
      </c>
      <c r="I640" s="13" t="s">
        <v>45</v>
      </c>
      <c r="J640" s="13">
        <v>4</v>
      </c>
      <c r="K640" s="21">
        <v>674</v>
      </c>
      <c r="L640" s="21">
        <v>2696</v>
      </c>
      <c r="M640" s="23">
        <v>0.2</v>
      </c>
      <c r="N640" s="21">
        <v>539</v>
      </c>
      <c r="O640" s="21">
        <v>2157</v>
      </c>
      <c r="P640" s="13">
        <v>3.6</v>
      </c>
      <c r="Q640" s="13" t="s">
        <v>26</v>
      </c>
    </row>
    <row r="641" spans="1:17" x14ac:dyDescent="0.25">
      <c r="A641" s="13" t="s">
        <v>990</v>
      </c>
      <c r="B641" s="14">
        <v>46153</v>
      </c>
      <c r="C641" s="13" t="s">
        <v>63</v>
      </c>
      <c r="D641" s="13" t="s">
        <v>143</v>
      </c>
      <c r="E641" s="13" t="s">
        <v>82</v>
      </c>
      <c r="F641" s="13" t="s">
        <v>65</v>
      </c>
      <c r="G641" s="13" t="s">
        <v>23</v>
      </c>
      <c r="H641" s="13" t="s">
        <v>33</v>
      </c>
      <c r="I641" s="13" t="s">
        <v>45</v>
      </c>
      <c r="J641" s="13">
        <v>1</v>
      </c>
      <c r="K641" s="21">
        <v>2164</v>
      </c>
      <c r="L641" s="21">
        <v>2164</v>
      </c>
      <c r="M641" s="23">
        <v>0.2</v>
      </c>
      <c r="N641" s="21">
        <v>433</v>
      </c>
      <c r="O641" s="21">
        <v>1731</v>
      </c>
      <c r="P641" s="13">
        <v>3.6</v>
      </c>
      <c r="Q641" s="13" t="s">
        <v>26</v>
      </c>
    </row>
    <row r="642" spans="1:17" x14ac:dyDescent="0.25">
      <c r="A642" s="13" t="s">
        <v>991</v>
      </c>
      <c r="B642" s="14">
        <v>46153</v>
      </c>
      <c r="C642" s="13" t="s">
        <v>40</v>
      </c>
      <c r="D642" s="13" t="s">
        <v>57</v>
      </c>
      <c r="E642" s="13" t="s">
        <v>101</v>
      </c>
      <c r="F642" s="13" t="s">
        <v>31</v>
      </c>
      <c r="G642" s="13" t="s">
        <v>23</v>
      </c>
      <c r="H642" s="13" t="s">
        <v>33</v>
      </c>
      <c r="I642" s="13" t="s">
        <v>25</v>
      </c>
      <c r="J642" s="13">
        <v>5</v>
      </c>
      <c r="K642" s="21">
        <v>709</v>
      </c>
      <c r="L642" s="21">
        <v>3545</v>
      </c>
      <c r="M642" s="23">
        <v>0.15</v>
      </c>
      <c r="N642" s="21">
        <v>532</v>
      </c>
      <c r="O642" s="21">
        <v>3013</v>
      </c>
      <c r="P642" s="13">
        <v>4.4000000000000004</v>
      </c>
      <c r="Q642" s="13" t="s">
        <v>26</v>
      </c>
    </row>
    <row r="643" spans="1:17" x14ac:dyDescent="0.25">
      <c r="A643" s="13" t="s">
        <v>992</v>
      </c>
      <c r="B643" s="14">
        <v>46154</v>
      </c>
      <c r="C643" s="13" t="s">
        <v>40</v>
      </c>
      <c r="D643" s="13" t="s">
        <v>47</v>
      </c>
      <c r="E643" s="13" t="s">
        <v>37</v>
      </c>
      <c r="F643" s="13" t="s">
        <v>72</v>
      </c>
      <c r="G643" s="13" t="s">
        <v>23</v>
      </c>
      <c r="H643" s="13" t="s">
        <v>33</v>
      </c>
      <c r="I643" s="13" t="s">
        <v>84</v>
      </c>
      <c r="J643" s="13">
        <v>5</v>
      </c>
      <c r="K643" s="21">
        <v>394</v>
      </c>
      <c r="L643" s="21">
        <v>1970</v>
      </c>
      <c r="M643" s="23">
        <v>0.05</v>
      </c>
      <c r="N643" s="21">
        <v>98</v>
      </c>
      <c r="O643" s="21">
        <v>1872</v>
      </c>
      <c r="P643" s="13">
        <v>3.9</v>
      </c>
      <c r="Q643" s="13" t="s">
        <v>26</v>
      </c>
    </row>
    <row r="644" spans="1:17" x14ac:dyDescent="0.25">
      <c r="A644" s="13" t="s">
        <v>994</v>
      </c>
      <c r="B644" s="14">
        <v>46154</v>
      </c>
      <c r="C644" s="13" t="s">
        <v>19</v>
      </c>
      <c r="D644" s="13" t="s">
        <v>128</v>
      </c>
      <c r="E644" s="13" t="s">
        <v>101</v>
      </c>
      <c r="F644" s="13" t="s">
        <v>61</v>
      </c>
      <c r="G644" s="13" t="s">
        <v>32</v>
      </c>
      <c r="H644" s="13" t="s">
        <v>33</v>
      </c>
      <c r="I644" s="13" t="s">
        <v>84</v>
      </c>
      <c r="J644" s="13">
        <v>2</v>
      </c>
      <c r="K644" s="21">
        <v>732</v>
      </c>
      <c r="L644" s="21">
        <v>1464</v>
      </c>
      <c r="M644" s="23">
        <v>0.05</v>
      </c>
      <c r="N644" s="21">
        <v>73</v>
      </c>
      <c r="O644" s="21">
        <v>1391</v>
      </c>
      <c r="P644" s="13">
        <v>4.5999999999999996</v>
      </c>
      <c r="Q644" s="13" t="s">
        <v>26</v>
      </c>
    </row>
    <row r="645" spans="1:17" x14ac:dyDescent="0.25">
      <c r="A645" s="13" t="s">
        <v>995</v>
      </c>
      <c r="B645" s="14">
        <v>46155</v>
      </c>
      <c r="C645" s="13" t="s">
        <v>91</v>
      </c>
      <c r="D645" s="13" t="s">
        <v>92</v>
      </c>
      <c r="E645" s="13" t="s">
        <v>53</v>
      </c>
      <c r="F645" s="13" t="s">
        <v>83</v>
      </c>
      <c r="G645" s="13" t="s">
        <v>32</v>
      </c>
      <c r="H645" s="13" t="s">
        <v>24</v>
      </c>
      <c r="I645" s="13" t="s">
        <v>45</v>
      </c>
      <c r="J645" s="13">
        <v>3</v>
      </c>
      <c r="K645" s="21">
        <v>2649</v>
      </c>
      <c r="L645" s="21">
        <v>7947</v>
      </c>
      <c r="M645" s="23">
        <v>0.15</v>
      </c>
      <c r="N645" s="21">
        <v>1192</v>
      </c>
      <c r="O645" s="21">
        <v>6755</v>
      </c>
      <c r="P645" s="13">
        <v>3.7</v>
      </c>
      <c r="Q645" s="13" t="s">
        <v>26</v>
      </c>
    </row>
    <row r="646" spans="1:17" x14ac:dyDescent="0.25">
      <c r="A646" s="13" t="s">
        <v>997</v>
      </c>
      <c r="B646" s="14">
        <v>46155</v>
      </c>
      <c r="C646" s="13" t="s">
        <v>91</v>
      </c>
      <c r="D646" s="13" t="s">
        <v>125</v>
      </c>
      <c r="E646" s="13" t="s">
        <v>21</v>
      </c>
      <c r="F646" s="13" t="s">
        <v>130</v>
      </c>
      <c r="G646" s="13" t="s">
        <v>23</v>
      </c>
      <c r="H646" s="13" t="s">
        <v>24</v>
      </c>
      <c r="I646" s="13" t="s">
        <v>98</v>
      </c>
      <c r="J646" s="13">
        <v>1</v>
      </c>
      <c r="K646" s="21">
        <v>1901</v>
      </c>
      <c r="L646" s="21">
        <v>1901</v>
      </c>
      <c r="M646" s="23">
        <v>0.3</v>
      </c>
      <c r="N646" s="21">
        <v>570</v>
      </c>
      <c r="O646" s="21">
        <v>1331</v>
      </c>
      <c r="P646" s="13">
        <v>3.6</v>
      </c>
      <c r="Q646" s="13" t="s">
        <v>75</v>
      </c>
    </row>
    <row r="647" spans="1:17" x14ac:dyDescent="0.25">
      <c r="A647" s="13" t="s">
        <v>998</v>
      </c>
      <c r="B647" s="14">
        <v>46156</v>
      </c>
      <c r="C647" s="13" t="s">
        <v>40</v>
      </c>
      <c r="D647" s="13" t="s">
        <v>113</v>
      </c>
      <c r="E647" s="13" t="s">
        <v>42</v>
      </c>
      <c r="F647" s="13" t="s">
        <v>31</v>
      </c>
      <c r="G647" s="13" t="s">
        <v>32</v>
      </c>
      <c r="H647" s="13" t="s">
        <v>33</v>
      </c>
      <c r="I647" s="13" t="s">
        <v>25</v>
      </c>
      <c r="J647" s="13">
        <v>3</v>
      </c>
      <c r="K647" s="21">
        <v>1132</v>
      </c>
      <c r="L647" s="21">
        <v>3396</v>
      </c>
      <c r="M647" s="23">
        <v>0</v>
      </c>
      <c r="N647" s="21">
        <v>0</v>
      </c>
      <c r="O647" s="21">
        <v>3396</v>
      </c>
      <c r="P647" s="13">
        <v>3.7</v>
      </c>
      <c r="Q647" s="13" t="s">
        <v>26</v>
      </c>
    </row>
    <row r="648" spans="1:17" x14ac:dyDescent="0.25">
      <c r="A648" s="13" t="s">
        <v>1000</v>
      </c>
      <c r="B648" s="14">
        <v>46156</v>
      </c>
      <c r="C648" s="13" t="s">
        <v>28</v>
      </c>
      <c r="D648" s="13" t="s">
        <v>77</v>
      </c>
      <c r="E648" s="13" t="s">
        <v>37</v>
      </c>
      <c r="F648" s="13" t="s">
        <v>22</v>
      </c>
      <c r="G648" s="13" t="s">
        <v>23</v>
      </c>
      <c r="H648" s="13" t="s">
        <v>33</v>
      </c>
      <c r="I648" s="13" t="s">
        <v>25</v>
      </c>
      <c r="J648" s="13">
        <v>4</v>
      </c>
      <c r="K648" s="21">
        <v>1199</v>
      </c>
      <c r="L648" s="21">
        <v>4796</v>
      </c>
      <c r="M648" s="23">
        <v>0.1</v>
      </c>
      <c r="N648" s="21">
        <v>480</v>
      </c>
      <c r="O648" s="21">
        <v>4316</v>
      </c>
      <c r="P648" s="13">
        <v>4.4000000000000004</v>
      </c>
      <c r="Q648" s="13" t="s">
        <v>26</v>
      </c>
    </row>
    <row r="649" spans="1:17" x14ac:dyDescent="0.25">
      <c r="A649" s="13" t="s">
        <v>1001</v>
      </c>
      <c r="B649" s="14">
        <v>46157</v>
      </c>
      <c r="C649" s="13" t="s">
        <v>40</v>
      </c>
      <c r="D649" s="13" t="s">
        <v>41</v>
      </c>
      <c r="E649" s="13" t="s">
        <v>60</v>
      </c>
      <c r="F649" s="13" t="s">
        <v>79</v>
      </c>
      <c r="G649" s="13" t="s">
        <v>32</v>
      </c>
      <c r="H649" s="13" t="s">
        <v>33</v>
      </c>
      <c r="I649" s="13" t="s">
        <v>25</v>
      </c>
      <c r="J649" s="13">
        <v>5</v>
      </c>
      <c r="K649" s="21">
        <v>1162</v>
      </c>
      <c r="L649" s="21">
        <v>5810</v>
      </c>
      <c r="M649" s="23">
        <v>0</v>
      </c>
      <c r="N649" s="21">
        <v>0</v>
      </c>
      <c r="O649" s="21">
        <v>5810</v>
      </c>
      <c r="P649" s="13">
        <v>3.7</v>
      </c>
      <c r="Q649" s="13" t="s">
        <v>26</v>
      </c>
    </row>
    <row r="650" spans="1:17" x14ac:dyDescent="0.25">
      <c r="A650" s="13" t="s">
        <v>1003</v>
      </c>
      <c r="B650" s="14">
        <v>46158</v>
      </c>
      <c r="C650" s="13" t="s">
        <v>19</v>
      </c>
      <c r="D650" s="13" t="s">
        <v>230</v>
      </c>
      <c r="E650" s="13" t="s">
        <v>42</v>
      </c>
      <c r="F650" s="13" t="s">
        <v>72</v>
      </c>
      <c r="G650" s="13" t="s">
        <v>32</v>
      </c>
      <c r="H650" s="13" t="s">
        <v>33</v>
      </c>
      <c r="I650" s="13" t="s">
        <v>98</v>
      </c>
      <c r="J650" s="13">
        <v>3</v>
      </c>
      <c r="K650" s="21">
        <v>381</v>
      </c>
      <c r="L650" s="21">
        <v>1143</v>
      </c>
      <c r="M650" s="23">
        <v>0.2</v>
      </c>
      <c r="N650" s="21">
        <v>229</v>
      </c>
      <c r="O650" s="21">
        <v>914</v>
      </c>
      <c r="P650" s="13">
        <v>4.5999999999999996</v>
      </c>
      <c r="Q650" s="13" t="s">
        <v>26</v>
      </c>
    </row>
    <row r="651" spans="1:17" x14ac:dyDescent="0.25">
      <c r="A651" s="13" t="s">
        <v>1005</v>
      </c>
      <c r="B651" s="14">
        <v>46158</v>
      </c>
      <c r="C651" s="13" t="s">
        <v>40</v>
      </c>
      <c r="D651" s="13" t="s">
        <v>68</v>
      </c>
      <c r="E651" s="13" t="s">
        <v>155</v>
      </c>
      <c r="F651" s="13" t="s">
        <v>130</v>
      </c>
      <c r="G651" s="13" t="s">
        <v>23</v>
      </c>
      <c r="H651" s="13" t="s">
        <v>24</v>
      </c>
      <c r="I651" s="13" t="s">
        <v>98</v>
      </c>
      <c r="J651" s="13">
        <v>1</v>
      </c>
      <c r="K651" s="21">
        <v>1321</v>
      </c>
      <c r="L651" s="21">
        <v>1321</v>
      </c>
      <c r="M651" s="23">
        <v>0.1</v>
      </c>
      <c r="N651" s="21">
        <v>132</v>
      </c>
      <c r="O651" s="21">
        <v>1189</v>
      </c>
      <c r="P651" s="13">
        <v>3.7</v>
      </c>
      <c r="Q651" s="13" t="s">
        <v>26</v>
      </c>
    </row>
    <row r="652" spans="1:17" x14ac:dyDescent="0.25">
      <c r="A652" s="13" t="s">
        <v>1006</v>
      </c>
      <c r="B652" s="14">
        <v>46158</v>
      </c>
      <c r="C652" s="13" t="s">
        <v>63</v>
      </c>
      <c r="D652" s="13" t="s">
        <v>143</v>
      </c>
      <c r="E652" s="13" t="s">
        <v>71</v>
      </c>
      <c r="F652" s="13" t="s">
        <v>79</v>
      </c>
      <c r="G652" s="13" t="s">
        <v>23</v>
      </c>
      <c r="H652" s="13" t="s">
        <v>24</v>
      </c>
      <c r="I652" s="13" t="s">
        <v>98</v>
      </c>
      <c r="J652" s="13">
        <v>1</v>
      </c>
      <c r="K652" s="21">
        <v>426</v>
      </c>
      <c r="L652" s="21">
        <v>426</v>
      </c>
      <c r="M652" s="23">
        <v>0.05</v>
      </c>
      <c r="N652" s="21">
        <v>21</v>
      </c>
      <c r="O652" s="21">
        <v>405</v>
      </c>
      <c r="P652" s="13">
        <v>4.4000000000000004</v>
      </c>
      <c r="Q652" s="13" t="s">
        <v>75</v>
      </c>
    </row>
    <row r="653" spans="1:17" x14ac:dyDescent="0.25">
      <c r="A653" s="13" t="s">
        <v>1007</v>
      </c>
      <c r="B653" s="14">
        <v>46159</v>
      </c>
      <c r="C653" s="13" t="s">
        <v>63</v>
      </c>
      <c r="D653" s="13" t="s">
        <v>64</v>
      </c>
      <c r="E653" s="13" t="s">
        <v>48</v>
      </c>
      <c r="F653" s="13" t="s">
        <v>119</v>
      </c>
      <c r="G653" s="13" t="s">
        <v>32</v>
      </c>
      <c r="H653" s="13" t="s">
        <v>33</v>
      </c>
      <c r="I653" s="13" t="s">
        <v>45</v>
      </c>
      <c r="J653" s="13">
        <v>5</v>
      </c>
      <c r="K653" s="21">
        <v>843</v>
      </c>
      <c r="L653" s="21">
        <v>4215</v>
      </c>
      <c r="M653" s="23">
        <v>0.05</v>
      </c>
      <c r="N653" s="21">
        <v>211</v>
      </c>
      <c r="O653" s="21">
        <v>4004</v>
      </c>
      <c r="P653" s="13">
        <v>4.0999999999999996</v>
      </c>
      <c r="Q653" s="13" t="s">
        <v>26</v>
      </c>
    </row>
    <row r="654" spans="1:17" x14ac:dyDescent="0.25">
      <c r="A654" s="13" t="s">
        <v>1009</v>
      </c>
      <c r="B654" s="14">
        <v>46159</v>
      </c>
      <c r="C654" s="13" t="s">
        <v>51</v>
      </c>
      <c r="D654" s="13" t="s">
        <v>70</v>
      </c>
      <c r="E654" s="13" t="s">
        <v>37</v>
      </c>
      <c r="F654" s="13" t="s">
        <v>65</v>
      </c>
      <c r="G654" s="13" t="s">
        <v>32</v>
      </c>
      <c r="H654" s="13" t="s">
        <v>104</v>
      </c>
      <c r="I654" s="13" t="s">
        <v>25</v>
      </c>
      <c r="J654" s="13">
        <v>5</v>
      </c>
      <c r="K654" s="21">
        <v>766</v>
      </c>
      <c r="L654" s="21">
        <v>3830</v>
      </c>
      <c r="M654" s="23">
        <v>0.05</v>
      </c>
      <c r="N654" s="21">
        <v>192</v>
      </c>
      <c r="O654" s="21">
        <v>3638</v>
      </c>
      <c r="P654" s="13">
        <v>3.5</v>
      </c>
      <c r="Q654" s="13" t="s">
        <v>26</v>
      </c>
    </row>
    <row r="655" spans="1:17" x14ac:dyDescent="0.25">
      <c r="A655" s="13" t="s">
        <v>1010</v>
      </c>
      <c r="B655" s="14">
        <v>46159</v>
      </c>
      <c r="C655" s="13" t="s">
        <v>91</v>
      </c>
      <c r="D655" s="13" t="s">
        <v>92</v>
      </c>
      <c r="E655" s="13" t="s">
        <v>155</v>
      </c>
      <c r="F655" s="13" t="s">
        <v>130</v>
      </c>
      <c r="G655" s="13" t="s">
        <v>23</v>
      </c>
      <c r="H655" s="13" t="s">
        <v>24</v>
      </c>
      <c r="I655" s="13" t="s">
        <v>84</v>
      </c>
      <c r="J655" s="13">
        <v>2</v>
      </c>
      <c r="K655" s="21">
        <v>875</v>
      </c>
      <c r="L655" s="21">
        <v>1750</v>
      </c>
      <c r="M655" s="23">
        <v>0.25</v>
      </c>
      <c r="N655" s="21">
        <v>438</v>
      </c>
      <c r="O655" s="21">
        <v>1312</v>
      </c>
      <c r="P655" s="13">
        <v>4.5999999999999996</v>
      </c>
      <c r="Q655" s="13" t="s">
        <v>26</v>
      </c>
    </row>
    <row r="656" spans="1:17" x14ac:dyDescent="0.25">
      <c r="A656" s="13" t="s">
        <v>1011</v>
      </c>
      <c r="B656" s="14">
        <v>46159</v>
      </c>
      <c r="C656" s="13" t="s">
        <v>19</v>
      </c>
      <c r="D656" s="13" t="s">
        <v>128</v>
      </c>
      <c r="E656" s="13" t="s">
        <v>155</v>
      </c>
      <c r="F656" s="13" t="s">
        <v>61</v>
      </c>
      <c r="G656" s="13" t="s">
        <v>32</v>
      </c>
      <c r="H656" s="13" t="s">
        <v>24</v>
      </c>
      <c r="I656" s="13" t="s">
        <v>25</v>
      </c>
      <c r="J656" s="13">
        <v>2</v>
      </c>
      <c r="K656" s="21">
        <v>408</v>
      </c>
      <c r="L656" s="21">
        <v>816</v>
      </c>
      <c r="M656" s="23">
        <v>0.15</v>
      </c>
      <c r="N656" s="21">
        <v>122</v>
      </c>
      <c r="O656" s="21">
        <v>694</v>
      </c>
      <c r="P656" s="13">
        <v>3.8</v>
      </c>
      <c r="Q656" s="13" t="s">
        <v>26</v>
      </c>
    </row>
    <row r="657" spans="1:17" x14ac:dyDescent="0.25">
      <c r="A657" s="13" t="s">
        <v>1012</v>
      </c>
      <c r="B657" s="14">
        <v>46159</v>
      </c>
      <c r="C657" s="13" t="s">
        <v>91</v>
      </c>
      <c r="D657" s="13" t="s">
        <v>110</v>
      </c>
      <c r="E657" s="13" t="s">
        <v>101</v>
      </c>
      <c r="F657" s="13" t="s">
        <v>61</v>
      </c>
      <c r="G657" s="13" t="s">
        <v>32</v>
      </c>
      <c r="H657" s="13" t="s">
        <v>24</v>
      </c>
      <c r="I657" s="13" t="s">
        <v>25</v>
      </c>
      <c r="J657" s="13">
        <v>4</v>
      </c>
      <c r="K657" s="21">
        <v>2733</v>
      </c>
      <c r="L657" s="21">
        <v>10932</v>
      </c>
      <c r="M657" s="23">
        <v>0.1</v>
      </c>
      <c r="N657" s="21">
        <v>1093</v>
      </c>
      <c r="O657" s="21">
        <v>9839</v>
      </c>
      <c r="P657" s="13">
        <v>4.2</v>
      </c>
      <c r="Q657" s="13" t="s">
        <v>26</v>
      </c>
    </row>
    <row r="658" spans="1:17" x14ac:dyDescent="0.25">
      <c r="A658" s="13" t="s">
        <v>1013</v>
      </c>
      <c r="B658" s="14">
        <v>46161</v>
      </c>
      <c r="C658" s="13" t="s">
        <v>19</v>
      </c>
      <c r="D658" s="13" t="s">
        <v>230</v>
      </c>
      <c r="E658" s="13" t="s">
        <v>78</v>
      </c>
      <c r="F658" s="13" t="s">
        <v>119</v>
      </c>
      <c r="G658" s="13" t="s">
        <v>23</v>
      </c>
      <c r="H658" s="13" t="s">
        <v>104</v>
      </c>
      <c r="I658" s="13" t="s">
        <v>45</v>
      </c>
      <c r="J658" s="13">
        <v>2</v>
      </c>
      <c r="K658" s="21">
        <v>268</v>
      </c>
      <c r="L658" s="21">
        <v>536</v>
      </c>
      <c r="M658" s="23">
        <v>0.05</v>
      </c>
      <c r="N658" s="21">
        <v>27</v>
      </c>
      <c r="O658" s="21">
        <v>509</v>
      </c>
      <c r="P658" s="13">
        <v>3.2</v>
      </c>
      <c r="Q658" s="13" t="s">
        <v>75</v>
      </c>
    </row>
    <row r="659" spans="1:17" x14ac:dyDescent="0.25">
      <c r="A659" s="13" t="s">
        <v>1015</v>
      </c>
      <c r="B659" s="14">
        <v>46161</v>
      </c>
      <c r="C659" s="13" t="s">
        <v>63</v>
      </c>
      <c r="D659" s="13" t="s">
        <v>64</v>
      </c>
      <c r="E659" s="13" t="s">
        <v>82</v>
      </c>
      <c r="F659" s="13" t="s">
        <v>61</v>
      </c>
      <c r="G659" s="13" t="s">
        <v>32</v>
      </c>
      <c r="H659" s="13" t="s">
        <v>24</v>
      </c>
      <c r="I659" s="13" t="s">
        <v>45</v>
      </c>
      <c r="J659" s="13">
        <v>2</v>
      </c>
      <c r="K659" s="21">
        <v>1718</v>
      </c>
      <c r="L659" s="21">
        <v>3436</v>
      </c>
      <c r="M659" s="23">
        <v>0.1</v>
      </c>
      <c r="N659" s="21">
        <v>344</v>
      </c>
      <c r="O659" s="21">
        <v>3092</v>
      </c>
      <c r="P659" s="13">
        <v>4.2</v>
      </c>
      <c r="Q659" s="13" t="s">
        <v>26</v>
      </c>
    </row>
    <row r="660" spans="1:17" x14ac:dyDescent="0.25">
      <c r="A660" s="13" t="s">
        <v>1016</v>
      </c>
      <c r="B660" s="14">
        <v>46162</v>
      </c>
      <c r="C660" s="13" t="s">
        <v>28</v>
      </c>
      <c r="D660" s="13" t="s">
        <v>29</v>
      </c>
      <c r="E660" s="13" t="s">
        <v>37</v>
      </c>
      <c r="F660" s="13" t="s">
        <v>22</v>
      </c>
      <c r="G660" s="13" t="s">
        <v>44</v>
      </c>
      <c r="H660" s="13" t="s">
        <v>33</v>
      </c>
      <c r="I660" s="13" t="s">
        <v>98</v>
      </c>
      <c r="J660" s="13">
        <v>3</v>
      </c>
      <c r="K660" s="21">
        <v>993</v>
      </c>
      <c r="L660" s="21">
        <v>2979</v>
      </c>
      <c r="M660" s="23">
        <v>0.1</v>
      </c>
      <c r="N660" s="21">
        <v>298</v>
      </c>
      <c r="O660" s="21">
        <v>2681</v>
      </c>
      <c r="P660" s="13">
        <v>4.8</v>
      </c>
      <c r="Q660" s="13" t="s">
        <v>26</v>
      </c>
    </row>
    <row r="661" spans="1:17" x14ac:dyDescent="0.25">
      <c r="A661" s="13" t="s">
        <v>1018</v>
      </c>
      <c r="B661" s="14">
        <v>46163</v>
      </c>
      <c r="C661" s="13" t="s">
        <v>19</v>
      </c>
      <c r="D661" s="13" t="s">
        <v>128</v>
      </c>
      <c r="E661" s="13" t="s">
        <v>101</v>
      </c>
      <c r="F661" s="13" t="s">
        <v>130</v>
      </c>
      <c r="G661" s="13" t="s">
        <v>23</v>
      </c>
      <c r="H661" s="13" t="s">
        <v>24</v>
      </c>
      <c r="I661" s="13" t="s">
        <v>84</v>
      </c>
      <c r="J661" s="13">
        <v>5</v>
      </c>
      <c r="K661" s="21">
        <v>799</v>
      </c>
      <c r="L661" s="21">
        <v>3995</v>
      </c>
      <c r="M661" s="23">
        <v>0.15</v>
      </c>
      <c r="N661" s="21">
        <v>599</v>
      </c>
      <c r="O661" s="21">
        <v>3396</v>
      </c>
      <c r="P661" s="13">
        <v>4.5999999999999996</v>
      </c>
      <c r="Q661" s="13" t="s">
        <v>26</v>
      </c>
    </row>
    <row r="662" spans="1:17" x14ac:dyDescent="0.25">
      <c r="A662" s="13" t="s">
        <v>1020</v>
      </c>
      <c r="B662" s="14">
        <v>46163</v>
      </c>
      <c r="C662" s="13" t="s">
        <v>40</v>
      </c>
      <c r="D662" s="13" t="s">
        <v>47</v>
      </c>
      <c r="E662" s="13" t="s">
        <v>155</v>
      </c>
      <c r="F662" s="13" t="s">
        <v>130</v>
      </c>
      <c r="G662" s="13" t="s">
        <v>23</v>
      </c>
      <c r="H662" s="13" t="s">
        <v>33</v>
      </c>
      <c r="I662" s="13" t="s">
        <v>45</v>
      </c>
      <c r="J662" s="13">
        <v>4</v>
      </c>
      <c r="K662" s="21">
        <v>843</v>
      </c>
      <c r="L662" s="21">
        <v>3372</v>
      </c>
      <c r="M662" s="23">
        <v>0.05</v>
      </c>
      <c r="N662" s="21">
        <v>169</v>
      </c>
      <c r="O662" s="21">
        <v>3203</v>
      </c>
      <c r="P662" s="13">
        <v>3.9</v>
      </c>
      <c r="Q662" s="13" t="s">
        <v>26</v>
      </c>
    </row>
    <row r="663" spans="1:17" x14ac:dyDescent="0.25">
      <c r="A663" s="13" t="s">
        <v>1021</v>
      </c>
      <c r="B663" s="14">
        <v>46163</v>
      </c>
      <c r="C663" s="13" t="s">
        <v>91</v>
      </c>
      <c r="D663" s="13" t="s">
        <v>125</v>
      </c>
      <c r="E663" s="13" t="s">
        <v>78</v>
      </c>
      <c r="F663" s="13" t="s">
        <v>83</v>
      </c>
      <c r="G663" s="13" t="s">
        <v>32</v>
      </c>
      <c r="H663" s="13" t="s">
        <v>24</v>
      </c>
      <c r="I663" s="13" t="s">
        <v>34</v>
      </c>
      <c r="J663" s="13">
        <v>2</v>
      </c>
      <c r="K663" s="21">
        <v>1140</v>
      </c>
      <c r="L663" s="21">
        <v>2280</v>
      </c>
      <c r="M663" s="23">
        <v>0.2</v>
      </c>
      <c r="N663" s="21">
        <v>456</v>
      </c>
      <c r="O663" s="21">
        <v>1824</v>
      </c>
      <c r="P663" s="13">
        <v>3.6</v>
      </c>
      <c r="Q663" s="13" t="s">
        <v>26</v>
      </c>
    </row>
    <row r="664" spans="1:17" x14ac:dyDescent="0.25">
      <c r="A664" s="13" t="s">
        <v>1022</v>
      </c>
      <c r="B664" s="14">
        <v>46163</v>
      </c>
      <c r="C664" s="13" t="s">
        <v>28</v>
      </c>
      <c r="D664" s="13" t="s">
        <v>29</v>
      </c>
      <c r="E664" s="13" t="s">
        <v>48</v>
      </c>
      <c r="F664" s="13" t="s">
        <v>43</v>
      </c>
      <c r="G664" s="13" t="s">
        <v>23</v>
      </c>
      <c r="H664" s="13" t="s">
        <v>104</v>
      </c>
      <c r="I664" s="13" t="s">
        <v>45</v>
      </c>
      <c r="J664" s="13">
        <v>1</v>
      </c>
      <c r="K664" s="21">
        <v>240</v>
      </c>
      <c r="L664" s="21">
        <v>240</v>
      </c>
      <c r="M664" s="23">
        <v>0.05</v>
      </c>
      <c r="N664" s="21">
        <v>12</v>
      </c>
      <c r="O664" s="21">
        <v>228</v>
      </c>
      <c r="P664" s="13">
        <v>4.5</v>
      </c>
      <c r="Q664" s="13" t="s">
        <v>75</v>
      </c>
    </row>
    <row r="665" spans="1:17" x14ac:dyDescent="0.25">
      <c r="A665" s="13" t="s">
        <v>1023</v>
      </c>
      <c r="B665" s="14">
        <v>46163</v>
      </c>
      <c r="C665" s="13" t="s">
        <v>19</v>
      </c>
      <c r="D665" s="13" t="s">
        <v>230</v>
      </c>
      <c r="E665" s="13" t="s">
        <v>53</v>
      </c>
      <c r="F665" s="13" t="s">
        <v>72</v>
      </c>
      <c r="G665" s="13" t="s">
        <v>23</v>
      </c>
      <c r="H665" s="13" t="s">
        <v>33</v>
      </c>
      <c r="I665" s="13" t="s">
        <v>84</v>
      </c>
      <c r="J665" s="13">
        <v>1</v>
      </c>
      <c r="K665" s="21">
        <v>357</v>
      </c>
      <c r="L665" s="21">
        <v>357</v>
      </c>
      <c r="M665" s="23">
        <v>0.15</v>
      </c>
      <c r="N665" s="21">
        <v>54</v>
      </c>
      <c r="O665" s="21">
        <v>303</v>
      </c>
      <c r="P665" s="13">
        <v>3.4</v>
      </c>
      <c r="Q665" s="13" t="s">
        <v>26</v>
      </c>
    </row>
    <row r="666" spans="1:17" x14ac:dyDescent="0.25">
      <c r="A666" s="13" t="s">
        <v>1024</v>
      </c>
      <c r="B666" s="14">
        <v>46165</v>
      </c>
      <c r="C666" s="13" t="s">
        <v>28</v>
      </c>
      <c r="D666" s="13" t="s">
        <v>77</v>
      </c>
      <c r="E666" s="13" t="s">
        <v>155</v>
      </c>
      <c r="F666" s="13" t="s">
        <v>31</v>
      </c>
      <c r="G666" s="13" t="s">
        <v>23</v>
      </c>
      <c r="H666" s="13" t="s">
        <v>33</v>
      </c>
      <c r="I666" s="13" t="s">
        <v>34</v>
      </c>
      <c r="J666" s="13">
        <v>1</v>
      </c>
      <c r="K666" s="21">
        <v>905</v>
      </c>
      <c r="L666" s="21">
        <v>905</v>
      </c>
      <c r="M666" s="23">
        <v>0.3</v>
      </c>
      <c r="N666" s="21">
        <v>272</v>
      </c>
      <c r="O666" s="21">
        <v>633</v>
      </c>
      <c r="P666" s="13">
        <v>4.7</v>
      </c>
      <c r="Q666" s="13" t="s">
        <v>26</v>
      </c>
    </row>
    <row r="667" spans="1:17" x14ac:dyDescent="0.25">
      <c r="A667" s="13" t="s">
        <v>1026</v>
      </c>
      <c r="B667" s="14">
        <v>46165</v>
      </c>
      <c r="C667" s="13" t="s">
        <v>91</v>
      </c>
      <c r="D667" s="13" t="s">
        <v>92</v>
      </c>
      <c r="E667" s="13" t="s">
        <v>53</v>
      </c>
      <c r="F667" s="13" t="s">
        <v>130</v>
      </c>
      <c r="G667" s="13" t="s">
        <v>32</v>
      </c>
      <c r="H667" s="13" t="s">
        <v>33</v>
      </c>
      <c r="I667" s="13" t="s">
        <v>34</v>
      </c>
      <c r="J667" s="13">
        <v>1</v>
      </c>
      <c r="K667" s="21">
        <v>1040</v>
      </c>
      <c r="L667" s="21">
        <v>1040</v>
      </c>
      <c r="M667" s="23">
        <v>0.2</v>
      </c>
      <c r="N667" s="21">
        <v>208</v>
      </c>
      <c r="O667" s="21">
        <v>832</v>
      </c>
      <c r="P667" s="13">
        <v>5</v>
      </c>
      <c r="Q667" s="13" t="s">
        <v>26</v>
      </c>
    </row>
    <row r="668" spans="1:17" x14ac:dyDescent="0.25">
      <c r="A668" s="13" t="s">
        <v>1027</v>
      </c>
      <c r="B668" s="14">
        <v>46165</v>
      </c>
      <c r="C668" s="13" t="s">
        <v>63</v>
      </c>
      <c r="D668" s="13" t="s">
        <v>134</v>
      </c>
      <c r="E668" s="13" t="s">
        <v>53</v>
      </c>
      <c r="F668" s="13" t="s">
        <v>72</v>
      </c>
      <c r="G668" s="13" t="s">
        <v>32</v>
      </c>
      <c r="H668" s="13" t="s">
        <v>24</v>
      </c>
      <c r="I668" s="13" t="s">
        <v>98</v>
      </c>
      <c r="J668" s="13">
        <v>2</v>
      </c>
      <c r="K668" s="21">
        <v>1189</v>
      </c>
      <c r="L668" s="21">
        <v>2378</v>
      </c>
      <c r="M668" s="23">
        <v>0.3</v>
      </c>
      <c r="N668" s="21">
        <v>713</v>
      </c>
      <c r="O668" s="21">
        <v>1665</v>
      </c>
      <c r="P668" s="13">
        <v>4.8</v>
      </c>
      <c r="Q668" s="13" t="s">
        <v>26</v>
      </c>
    </row>
    <row r="669" spans="1:17" x14ac:dyDescent="0.25">
      <c r="A669" s="13" t="s">
        <v>1028</v>
      </c>
      <c r="B669" s="14">
        <v>46165</v>
      </c>
      <c r="C669" s="13" t="s">
        <v>40</v>
      </c>
      <c r="D669" s="13" t="s">
        <v>41</v>
      </c>
      <c r="E669" s="13" t="s">
        <v>42</v>
      </c>
      <c r="F669" s="13" t="s">
        <v>83</v>
      </c>
      <c r="G669" s="13" t="s">
        <v>23</v>
      </c>
      <c r="H669" s="13" t="s">
        <v>33</v>
      </c>
      <c r="I669" s="13" t="s">
        <v>45</v>
      </c>
      <c r="J669" s="13">
        <v>1</v>
      </c>
      <c r="K669" s="21">
        <v>1116</v>
      </c>
      <c r="L669" s="21">
        <v>1116</v>
      </c>
      <c r="M669" s="23">
        <v>0.05</v>
      </c>
      <c r="N669" s="21">
        <v>56</v>
      </c>
      <c r="O669" s="21">
        <v>1060</v>
      </c>
      <c r="P669" s="13">
        <v>3.2</v>
      </c>
      <c r="Q669" s="13" t="s">
        <v>26</v>
      </c>
    </row>
    <row r="670" spans="1:17" x14ac:dyDescent="0.25">
      <c r="A670" s="13" t="s">
        <v>1029</v>
      </c>
      <c r="B670" s="14">
        <v>46166</v>
      </c>
      <c r="C670" s="13" t="s">
        <v>51</v>
      </c>
      <c r="D670" s="13" t="s">
        <v>70</v>
      </c>
      <c r="E670" s="13" t="s">
        <v>71</v>
      </c>
      <c r="F670" s="13" t="s">
        <v>22</v>
      </c>
      <c r="G670" s="13" t="s">
        <v>23</v>
      </c>
      <c r="H670" s="13" t="s">
        <v>24</v>
      </c>
      <c r="I670" s="13" t="s">
        <v>98</v>
      </c>
      <c r="J670" s="13">
        <v>2</v>
      </c>
      <c r="K670" s="21">
        <v>672</v>
      </c>
      <c r="L670" s="21">
        <v>1344</v>
      </c>
      <c r="M670" s="23">
        <v>0.15</v>
      </c>
      <c r="N670" s="21">
        <v>202</v>
      </c>
      <c r="O670" s="21">
        <v>1142</v>
      </c>
      <c r="P670" s="13">
        <v>3.8</v>
      </c>
      <c r="Q670" s="13" t="s">
        <v>26</v>
      </c>
    </row>
    <row r="671" spans="1:17" x14ac:dyDescent="0.25">
      <c r="A671" s="13" t="s">
        <v>1031</v>
      </c>
      <c r="B671" s="14">
        <v>46166</v>
      </c>
      <c r="C671" s="13" t="s">
        <v>63</v>
      </c>
      <c r="D671" s="13" t="s">
        <v>134</v>
      </c>
      <c r="E671" s="13" t="s">
        <v>37</v>
      </c>
      <c r="F671" s="13" t="s">
        <v>83</v>
      </c>
      <c r="G671" s="13" t="s">
        <v>32</v>
      </c>
      <c r="H671" s="13" t="s">
        <v>24</v>
      </c>
      <c r="I671" s="13" t="s">
        <v>25</v>
      </c>
      <c r="J671" s="13">
        <v>3</v>
      </c>
      <c r="K671" s="21">
        <v>1030</v>
      </c>
      <c r="L671" s="21">
        <v>3090</v>
      </c>
      <c r="M671" s="23">
        <v>0.2</v>
      </c>
      <c r="N671" s="21">
        <v>618</v>
      </c>
      <c r="O671" s="21">
        <v>2472</v>
      </c>
      <c r="P671" s="13">
        <v>3.8</v>
      </c>
      <c r="Q671" s="13" t="s">
        <v>26</v>
      </c>
    </row>
    <row r="672" spans="1:17" x14ac:dyDescent="0.25">
      <c r="A672" s="13" t="s">
        <v>1032</v>
      </c>
      <c r="B672" s="14">
        <v>46167</v>
      </c>
      <c r="C672" s="13" t="s">
        <v>63</v>
      </c>
      <c r="D672" s="13" t="s">
        <v>64</v>
      </c>
      <c r="E672" s="13" t="s">
        <v>60</v>
      </c>
      <c r="F672" s="13" t="s">
        <v>65</v>
      </c>
      <c r="G672" s="13" t="s">
        <v>23</v>
      </c>
      <c r="H672" s="13" t="s">
        <v>33</v>
      </c>
      <c r="I672" s="13" t="s">
        <v>45</v>
      </c>
      <c r="J672" s="13">
        <v>3</v>
      </c>
      <c r="K672" s="21">
        <v>1351</v>
      </c>
      <c r="L672" s="21">
        <v>4053</v>
      </c>
      <c r="M672" s="23">
        <v>0.25</v>
      </c>
      <c r="N672" s="21">
        <v>1013</v>
      </c>
      <c r="O672" s="21">
        <v>3040</v>
      </c>
      <c r="P672" s="13">
        <v>3.3</v>
      </c>
      <c r="Q672" s="13" t="s">
        <v>26</v>
      </c>
    </row>
    <row r="673" spans="1:17" x14ac:dyDescent="0.25">
      <c r="A673" s="13" t="s">
        <v>1034</v>
      </c>
      <c r="B673" s="14">
        <v>46167</v>
      </c>
      <c r="C673" s="13" t="s">
        <v>28</v>
      </c>
      <c r="D673" s="13" t="s">
        <v>77</v>
      </c>
      <c r="E673" s="13" t="s">
        <v>42</v>
      </c>
      <c r="F673" s="13" t="s">
        <v>130</v>
      </c>
      <c r="G673" s="13" t="s">
        <v>23</v>
      </c>
      <c r="H673" s="13" t="s">
        <v>33</v>
      </c>
      <c r="I673" s="13" t="s">
        <v>45</v>
      </c>
      <c r="J673" s="13">
        <v>3</v>
      </c>
      <c r="K673" s="21">
        <v>347</v>
      </c>
      <c r="L673" s="21">
        <v>1041</v>
      </c>
      <c r="M673" s="23">
        <v>0.1</v>
      </c>
      <c r="N673" s="21">
        <v>104</v>
      </c>
      <c r="O673" s="21">
        <v>937</v>
      </c>
      <c r="P673" s="13">
        <v>4.4000000000000004</v>
      </c>
      <c r="Q673" s="13" t="s">
        <v>26</v>
      </c>
    </row>
    <row r="674" spans="1:17" x14ac:dyDescent="0.25">
      <c r="A674" s="13" t="s">
        <v>1035</v>
      </c>
      <c r="B674" s="14">
        <v>46167</v>
      </c>
      <c r="C674" s="13" t="s">
        <v>40</v>
      </c>
      <c r="D674" s="13" t="s">
        <v>68</v>
      </c>
      <c r="E674" s="13" t="s">
        <v>101</v>
      </c>
      <c r="F674" s="13" t="s">
        <v>22</v>
      </c>
      <c r="G674" s="13" t="s">
        <v>23</v>
      </c>
      <c r="H674" s="13" t="s">
        <v>104</v>
      </c>
      <c r="I674" s="13" t="s">
        <v>98</v>
      </c>
      <c r="J674" s="13">
        <v>3</v>
      </c>
      <c r="K674" s="21">
        <v>1426</v>
      </c>
      <c r="L674" s="21">
        <v>4278</v>
      </c>
      <c r="M674" s="23">
        <v>0</v>
      </c>
      <c r="N674" s="21">
        <v>0</v>
      </c>
      <c r="O674" s="21">
        <v>4278</v>
      </c>
      <c r="P674" s="13">
        <v>4.8</v>
      </c>
      <c r="Q674" s="13" t="s">
        <v>26</v>
      </c>
    </row>
    <row r="675" spans="1:17" x14ac:dyDescent="0.25">
      <c r="A675" s="13" t="s">
        <v>1036</v>
      </c>
      <c r="B675" s="14">
        <v>46168</v>
      </c>
      <c r="C675" s="13" t="s">
        <v>40</v>
      </c>
      <c r="D675" s="13" t="s">
        <v>113</v>
      </c>
      <c r="E675" s="13" t="s">
        <v>60</v>
      </c>
      <c r="F675" s="13" t="s">
        <v>83</v>
      </c>
      <c r="G675" s="13" t="s">
        <v>23</v>
      </c>
      <c r="H675" s="13" t="s">
        <v>104</v>
      </c>
      <c r="I675" s="13" t="s">
        <v>34</v>
      </c>
      <c r="J675" s="13">
        <v>4</v>
      </c>
      <c r="K675" s="21">
        <v>359</v>
      </c>
      <c r="L675" s="21">
        <v>1436</v>
      </c>
      <c r="M675" s="23">
        <v>0.3</v>
      </c>
      <c r="N675" s="21">
        <v>431</v>
      </c>
      <c r="O675" s="21">
        <v>1005</v>
      </c>
      <c r="P675" s="13">
        <v>3.5</v>
      </c>
      <c r="Q675" s="13" t="s">
        <v>26</v>
      </c>
    </row>
    <row r="676" spans="1:17" x14ac:dyDescent="0.25">
      <c r="A676" s="13" t="s">
        <v>1038</v>
      </c>
      <c r="B676" s="14">
        <v>46169</v>
      </c>
      <c r="C676" s="13" t="s">
        <v>51</v>
      </c>
      <c r="D676" s="13" t="s">
        <v>52</v>
      </c>
      <c r="E676" s="13" t="s">
        <v>21</v>
      </c>
      <c r="F676" s="13" t="s">
        <v>61</v>
      </c>
      <c r="G676" s="13" t="s">
        <v>23</v>
      </c>
      <c r="H676" s="13" t="s">
        <v>33</v>
      </c>
      <c r="I676" s="13" t="s">
        <v>84</v>
      </c>
      <c r="J676" s="13">
        <v>5</v>
      </c>
      <c r="K676" s="21">
        <v>759</v>
      </c>
      <c r="L676" s="21">
        <v>3795</v>
      </c>
      <c r="M676" s="23">
        <v>0.25</v>
      </c>
      <c r="N676" s="21">
        <v>949</v>
      </c>
      <c r="O676" s="21">
        <v>2846</v>
      </c>
      <c r="P676" s="13">
        <v>4.2</v>
      </c>
      <c r="Q676" s="13" t="s">
        <v>26</v>
      </c>
    </row>
    <row r="677" spans="1:17" x14ac:dyDescent="0.25">
      <c r="A677" s="13" t="s">
        <v>1040</v>
      </c>
      <c r="B677" s="14">
        <v>46169</v>
      </c>
      <c r="C677" s="13" t="s">
        <v>19</v>
      </c>
      <c r="D677" s="13" t="s">
        <v>230</v>
      </c>
      <c r="E677" s="13" t="s">
        <v>21</v>
      </c>
      <c r="F677" s="13" t="s">
        <v>130</v>
      </c>
      <c r="G677" s="13" t="s">
        <v>23</v>
      </c>
      <c r="H677" s="13" t="s">
        <v>24</v>
      </c>
      <c r="I677" s="13" t="s">
        <v>84</v>
      </c>
      <c r="J677" s="13">
        <v>5</v>
      </c>
      <c r="K677" s="21">
        <v>697</v>
      </c>
      <c r="L677" s="21">
        <v>3485</v>
      </c>
      <c r="M677" s="23">
        <v>0.15</v>
      </c>
      <c r="N677" s="21">
        <v>523</v>
      </c>
      <c r="O677" s="21">
        <v>2962</v>
      </c>
      <c r="P677" s="13">
        <v>4.2</v>
      </c>
      <c r="Q677" s="13" t="s">
        <v>26</v>
      </c>
    </row>
    <row r="678" spans="1:17" x14ac:dyDescent="0.25">
      <c r="A678" s="13" t="s">
        <v>1041</v>
      </c>
      <c r="B678" s="14">
        <v>46169</v>
      </c>
      <c r="C678" s="13" t="s">
        <v>28</v>
      </c>
      <c r="D678" s="13" t="s">
        <v>163</v>
      </c>
      <c r="E678" s="13" t="s">
        <v>60</v>
      </c>
      <c r="F678" s="13" t="s">
        <v>72</v>
      </c>
      <c r="G678" s="13" t="s">
        <v>23</v>
      </c>
      <c r="H678" s="13" t="s">
        <v>33</v>
      </c>
      <c r="I678" s="13" t="s">
        <v>98</v>
      </c>
      <c r="J678" s="13">
        <v>3</v>
      </c>
      <c r="K678" s="21">
        <v>1056</v>
      </c>
      <c r="L678" s="21">
        <v>3168</v>
      </c>
      <c r="M678" s="23">
        <v>0.25</v>
      </c>
      <c r="N678" s="21">
        <v>792</v>
      </c>
      <c r="O678" s="21">
        <v>2376</v>
      </c>
      <c r="P678" s="13">
        <v>3.2</v>
      </c>
      <c r="Q678" s="13" t="s">
        <v>26</v>
      </c>
    </row>
    <row r="679" spans="1:17" x14ac:dyDescent="0.25">
      <c r="A679" s="13" t="s">
        <v>1042</v>
      </c>
      <c r="B679" s="14">
        <v>46170</v>
      </c>
      <c r="C679" s="13" t="s">
        <v>91</v>
      </c>
      <c r="D679" s="13" t="s">
        <v>125</v>
      </c>
      <c r="E679" s="13" t="s">
        <v>37</v>
      </c>
      <c r="F679" s="13" t="s">
        <v>83</v>
      </c>
      <c r="G679" s="13" t="s">
        <v>23</v>
      </c>
      <c r="H679" s="13" t="s">
        <v>104</v>
      </c>
      <c r="I679" s="13" t="s">
        <v>25</v>
      </c>
      <c r="J679" s="13">
        <v>3</v>
      </c>
      <c r="K679" s="21">
        <v>1182</v>
      </c>
      <c r="L679" s="21">
        <v>3546</v>
      </c>
      <c r="M679" s="23">
        <v>0.3</v>
      </c>
      <c r="N679" s="21">
        <v>1064</v>
      </c>
      <c r="O679" s="21">
        <v>2482</v>
      </c>
      <c r="P679" s="13">
        <v>3.9</v>
      </c>
      <c r="Q679" s="13" t="s">
        <v>26</v>
      </c>
    </row>
    <row r="680" spans="1:17" x14ac:dyDescent="0.25">
      <c r="A680" s="13" t="s">
        <v>1044</v>
      </c>
      <c r="B680" s="14">
        <v>46170</v>
      </c>
      <c r="C680" s="13" t="s">
        <v>40</v>
      </c>
      <c r="D680" s="13" t="s">
        <v>57</v>
      </c>
      <c r="E680" s="13" t="s">
        <v>82</v>
      </c>
      <c r="F680" s="13" t="s">
        <v>31</v>
      </c>
      <c r="G680" s="13" t="s">
        <v>32</v>
      </c>
      <c r="H680" s="13" t="s">
        <v>24</v>
      </c>
      <c r="I680" s="13" t="s">
        <v>34</v>
      </c>
      <c r="J680" s="13">
        <v>5</v>
      </c>
      <c r="K680" s="21">
        <v>1265</v>
      </c>
      <c r="L680" s="21">
        <v>6325</v>
      </c>
      <c r="M680" s="23">
        <v>0.1</v>
      </c>
      <c r="N680" s="21">
        <v>632</v>
      </c>
      <c r="O680" s="21">
        <v>5693</v>
      </c>
      <c r="P680" s="13">
        <v>4.5</v>
      </c>
      <c r="Q680" s="13" t="s">
        <v>26</v>
      </c>
    </row>
    <row r="681" spans="1:17" x14ac:dyDescent="0.25">
      <c r="A681" s="13" t="s">
        <v>1045</v>
      </c>
      <c r="B681" s="14">
        <v>46170</v>
      </c>
      <c r="C681" s="13" t="s">
        <v>63</v>
      </c>
      <c r="D681" s="13" t="s">
        <v>64</v>
      </c>
      <c r="E681" s="13" t="s">
        <v>48</v>
      </c>
      <c r="F681" s="13" t="s">
        <v>72</v>
      </c>
      <c r="G681" s="13" t="s">
        <v>32</v>
      </c>
      <c r="H681" s="13" t="s">
        <v>24</v>
      </c>
      <c r="I681" s="13" t="s">
        <v>45</v>
      </c>
      <c r="J681" s="13">
        <v>3</v>
      </c>
      <c r="K681" s="21">
        <v>479</v>
      </c>
      <c r="L681" s="21">
        <v>1437</v>
      </c>
      <c r="M681" s="23">
        <v>0</v>
      </c>
      <c r="N681" s="21">
        <v>0</v>
      </c>
      <c r="O681" s="21">
        <v>1437</v>
      </c>
      <c r="P681" s="13">
        <v>3.3</v>
      </c>
      <c r="Q681" s="13" t="s">
        <v>26</v>
      </c>
    </row>
    <row r="682" spans="1:17" x14ac:dyDescent="0.25">
      <c r="A682" s="13" t="s">
        <v>1046</v>
      </c>
      <c r="B682" s="14">
        <v>46170</v>
      </c>
      <c r="C682" s="13" t="s">
        <v>28</v>
      </c>
      <c r="D682" s="13" t="s">
        <v>36</v>
      </c>
      <c r="E682" s="13" t="s">
        <v>30</v>
      </c>
      <c r="F682" s="13" t="s">
        <v>119</v>
      </c>
      <c r="G682" s="13" t="s">
        <v>44</v>
      </c>
      <c r="H682" s="13" t="s">
        <v>24</v>
      </c>
      <c r="I682" s="13" t="s">
        <v>98</v>
      </c>
      <c r="J682" s="13">
        <v>2</v>
      </c>
      <c r="K682" s="21">
        <v>335</v>
      </c>
      <c r="L682" s="21">
        <v>670</v>
      </c>
      <c r="M682" s="23">
        <v>0</v>
      </c>
      <c r="N682" s="21">
        <v>0</v>
      </c>
      <c r="O682" s="21">
        <v>670</v>
      </c>
      <c r="P682" s="13">
        <v>4.2</v>
      </c>
      <c r="Q682" s="13" t="s">
        <v>26</v>
      </c>
    </row>
    <row r="683" spans="1:17" x14ac:dyDescent="0.25">
      <c r="A683" s="13" t="s">
        <v>1047</v>
      </c>
      <c r="B683" s="14">
        <v>46170</v>
      </c>
      <c r="C683" s="13" t="s">
        <v>51</v>
      </c>
      <c r="D683" s="13" t="s">
        <v>97</v>
      </c>
      <c r="E683" s="13" t="s">
        <v>30</v>
      </c>
      <c r="F683" s="13" t="s">
        <v>43</v>
      </c>
      <c r="G683" s="13" t="s">
        <v>44</v>
      </c>
      <c r="H683" s="13" t="s">
        <v>24</v>
      </c>
      <c r="I683" s="13" t="s">
        <v>45</v>
      </c>
      <c r="J683" s="13">
        <v>1</v>
      </c>
      <c r="K683" s="21">
        <v>156</v>
      </c>
      <c r="L683" s="21">
        <v>156</v>
      </c>
      <c r="M683" s="23">
        <v>0.1</v>
      </c>
      <c r="N683" s="21">
        <v>16</v>
      </c>
      <c r="O683" s="21">
        <v>140</v>
      </c>
      <c r="P683" s="13">
        <v>3.6</v>
      </c>
      <c r="Q683" s="13" t="s">
        <v>26</v>
      </c>
    </row>
    <row r="684" spans="1:17" x14ac:dyDescent="0.25">
      <c r="A684" s="13" t="s">
        <v>1048</v>
      </c>
      <c r="B684" s="14">
        <v>46171</v>
      </c>
      <c r="C684" s="13" t="s">
        <v>28</v>
      </c>
      <c r="D684" s="13" t="s">
        <v>29</v>
      </c>
      <c r="E684" s="13" t="s">
        <v>78</v>
      </c>
      <c r="F684" s="13" t="s">
        <v>61</v>
      </c>
      <c r="G684" s="13" t="s">
        <v>32</v>
      </c>
      <c r="H684" s="13" t="s">
        <v>33</v>
      </c>
      <c r="I684" s="13" t="s">
        <v>84</v>
      </c>
      <c r="J684" s="13">
        <v>2</v>
      </c>
      <c r="K684" s="21">
        <v>552</v>
      </c>
      <c r="L684" s="21">
        <v>1104</v>
      </c>
      <c r="M684" s="23">
        <v>0.1</v>
      </c>
      <c r="N684" s="21">
        <v>110</v>
      </c>
      <c r="O684" s="21">
        <v>994</v>
      </c>
      <c r="P684" s="13">
        <v>4.0999999999999996</v>
      </c>
      <c r="Q684" s="13" t="s">
        <v>26</v>
      </c>
    </row>
    <row r="685" spans="1:17" x14ac:dyDescent="0.25">
      <c r="A685" s="13" t="s">
        <v>1050</v>
      </c>
      <c r="B685" s="14">
        <v>46171</v>
      </c>
      <c r="C685" s="13" t="s">
        <v>51</v>
      </c>
      <c r="D685" s="13" t="s">
        <v>70</v>
      </c>
      <c r="E685" s="13" t="s">
        <v>155</v>
      </c>
      <c r="F685" s="13" t="s">
        <v>119</v>
      </c>
      <c r="G685" s="13" t="s">
        <v>23</v>
      </c>
      <c r="H685" s="13" t="s">
        <v>24</v>
      </c>
      <c r="I685" s="13" t="s">
        <v>45</v>
      </c>
      <c r="J685" s="13">
        <v>2</v>
      </c>
      <c r="K685" s="21">
        <v>255</v>
      </c>
      <c r="L685" s="21">
        <v>510</v>
      </c>
      <c r="M685" s="23">
        <v>0.05</v>
      </c>
      <c r="N685" s="21">
        <v>26</v>
      </c>
      <c r="O685" s="21">
        <v>484</v>
      </c>
      <c r="P685" s="13">
        <v>3.3</v>
      </c>
      <c r="Q685" s="13" t="s">
        <v>26</v>
      </c>
    </row>
    <row r="686" spans="1:17" x14ac:dyDescent="0.25">
      <c r="A686" s="13" t="s">
        <v>1051</v>
      </c>
      <c r="B686" s="14">
        <v>46171</v>
      </c>
      <c r="C686" s="13" t="s">
        <v>91</v>
      </c>
      <c r="D686" s="13" t="s">
        <v>92</v>
      </c>
      <c r="E686" s="13" t="s">
        <v>21</v>
      </c>
      <c r="F686" s="13" t="s">
        <v>119</v>
      </c>
      <c r="G686" s="13" t="s">
        <v>23</v>
      </c>
      <c r="H686" s="13" t="s">
        <v>104</v>
      </c>
      <c r="I686" s="13" t="s">
        <v>98</v>
      </c>
      <c r="J686" s="13">
        <v>3</v>
      </c>
      <c r="K686" s="21">
        <v>1057</v>
      </c>
      <c r="L686" s="21">
        <v>3171</v>
      </c>
      <c r="M686" s="23">
        <v>0.2</v>
      </c>
      <c r="N686" s="21">
        <v>634</v>
      </c>
      <c r="O686" s="21">
        <v>2537</v>
      </c>
      <c r="P686" s="13">
        <v>4.7</v>
      </c>
      <c r="Q686" s="13" t="s">
        <v>26</v>
      </c>
    </row>
    <row r="687" spans="1:17" x14ac:dyDescent="0.25">
      <c r="A687" s="13" t="s">
        <v>1052</v>
      </c>
      <c r="B687" s="14">
        <v>46171</v>
      </c>
      <c r="C687" s="13" t="s">
        <v>28</v>
      </c>
      <c r="D687" s="13" t="s">
        <v>29</v>
      </c>
      <c r="E687" s="13" t="s">
        <v>155</v>
      </c>
      <c r="F687" s="13" t="s">
        <v>31</v>
      </c>
      <c r="G687" s="13" t="s">
        <v>32</v>
      </c>
      <c r="H687" s="13" t="s">
        <v>33</v>
      </c>
      <c r="I687" s="13" t="s">
        <v>34</v>
      </c>
      <c r="J687" s="13">
        <v>4</v>
      </c>
      <c r="K687" s="21">
        <v>725</v>
      </c>
      <c r="L687" s="21">
        <v>2900</v>
      </c>
      <c r="M687" s="23">
        <v>0.25</v>
      </c>
      <c r="N687" s="21">
        <v>725</v>
      </c>
      <c r="O687" s="21">
        <v>2175</v>
      </c>
      <c r="P687" s="13">
        <v>3.4</v>
      </c>
      <c r="Q687" s="13" t="s">
        <v>26</v>
      </c>
    </row>
    <row r="688" spans="1:17" x14ac:dyDescent="0.25">
      <c r="A688" s="13" t="s">
        <v>1053</v>
      </c>
      <c r="B688" s="14">
        <v>46171</v>
      </c>
      <c r="C688" s="13" t="s">
        <v>40</v>
      </c>
      <c r="D688" s="13" t="s">
        <v>68</v>
      </c>
      <c r="E688" s="13" t="s">
        <v>30</v>
      </c>
      <c r="F688" s="13" t="s">
        <v>31</v>
      </c>
      <c r="G688" s="13" t="s">
        <v>23</v>
      </c>
      <c r="H688" s="13" t="s">
        <v>33</v>
      </c>
      <c r="I688" s="13" t="s">
        <v>84</v>
      </c>
      <c r="J688" s="13">
        <v>4</v>
      </c>
      <c r="K688" s="21">
        <v>1086</v>
      </c>
      <c r="L688" s="21">
        <v>4344</v>
      </c>
      <c r="M688" s="23">
        <v>0.25</v>
      </c>
      <c r="N688" s="21">
        <v>1086</v>
      </c>
      <c r="O688" s="21">
        <v>3258</v>
      </c>
      <c r="P688" s="13">
        <v>3.4</v>
      </c>
      <c r="Q688" s="13" t="s">
        <v>26</v>
      </c>
    </row>
    <row r="689" spans="1:17" x14ac:dyDescent="0.25">
      <c r="A689" s="13" t="s">
        <v>1054</v>
      </c>
      <c r="B689" s="14">
        <v>46172</v>
      </c>
      <c r="C689" s="13" t="s">
        <v>28</v>
      </c>
      <c r="D689" s="13" t="s">
        <v>36</v>
      </c>
      <c r="E689" s="13" t="s">
        <v>78</v>
      </c>
      <c r="F689" s="13" t="s">
        <v>65</v>
      </c>
      <c r="G689" s="13" t="s">
        <v>23</v>
      </c>
      <c r="H689" s="13" t="s">
        <v>24</v>
      </c>
      <c r="I689" s="13" t="s">
        <v>98</v>
      </c>
      <c r="J689" s="13">
        <v>3</v>
      </c>
      <c r="K689" s="21">
        <v>419</v>
      </c>
      <c r="L689" s="21">
        <v>1257</v>
      </c>
      <c r="M689" s="23">
        <v>0.15</v>
      </c>
      <c r="N689" s="21">
        <v>189</v>
      </c>
      <c r="O689" s="21">
        <v>1068</v>
      </c>
      <c r="P689" s="13">
        <v>3.7</v>
      </c>
      <c r="Q689" s="13" t="s">
        <v>26</v>
      </c>
    </row>
    <row r="690" spans="1:17" x14ac:dyDescent="0.25">
      <c r="A690" s="13" t="s">
        <v>1056</v>
      </c>
      <c r="B690" s="14">
        <v>46172</v>
      </c>
      <c r="C690" s="13" t="s">
        <v>51</v>
      </c>
      <c r="D690" s="13" t="s">
        <v>52</v>
      </c>
      <c r="E690" s="13" t="s">
        <v>37</v>
      </c>
      <c r="F690" s="13" t="s">
        <v>22</v>
      </c>
      <c r="G690" s="13" t="s">
        <v>32</v>
      </c>
      <c r="H690" s="13" t="s">
        <v>104</v>
      </c>
      <c r="I690" s="13" t="s">
        <v>84</v>
      </c>
      <c r="J690" s="13">
        <v>2</v>
      </c>
      <c r="K690" s="21">
        <v>413</v>
      </c>
      <c r="L690" s="21">
        <v>826</v>
      </c>
      <c r="M690" s="23">
        <v>0.15</v>
      </c>
      <c r="N690" s="21">
        <v>124</v>
      </c>
      <c r="O690" s="21">
        <v>702</v>
      </c>
      <c r="P690" s="13">
        <v>3.6</v>
      </c>
      <c r="Q690" s="13" t="s">
        <v>26</v>
      </c>
    </row>
    <row r="691" spans="1:17" x14ac:dyDescent="0.25">
      <c r="A691" s="13" t="s">
        <v>1057</v>
      </c>
      <c r="B691" s="14">
        <v>46173</v>
      </c>
      <c r="C691" s="13" t="s">
        <v>19</v>
      </c>
      <c r="D691" s="13" t="s">
        <v>121</v>
      </c>
      <c r="E691" s="13" t="s">
        <v>21</v>
      </c>
      <c r="F691" s="13" t="s">
        <v>130</v>
      </c>
      <c r="G691" s="13" t="s">
        <v>23</v>
      </c>
      <c r="H691" s="13" t="s">
        <v>33</v>
      </c>
      <c r="I691" s="13" t="s">
        <v>98</v>
      </c>
      <c r="J691" s="13">
        <v>5</v>
      </c>
      <c r="K691" s="21">
        <v>149</v>
      </c>
      <c r="L691" s="21">
        <v>745</v>
      </c>
      <c r="M691" s="23">
        <v>0</v>
      </c>
      <c r="N691" s="21">
        <v>0</v>
      </c>
      <c r="O691" s="21">
        <v>745</v>
      </c>
      <c r="P691" s="13">
        <v>4.5999999999999996</v>
      </c>
      <c r="Q691" s="13" t="s">
        <v>75</v>
      </c>
    </row>
    <row r="692" spans="1:17" x14ac:dyDescent="0.25">
      <c r="A692" s="13" t="s">
        <v>1059</v>
      </c>
      <c r="B692" s="14">
        <v>46173</v>
      </c>
      <c r="C692" s="13" t="s">
        <v>91</v>
      </c>
      <c r="D692" s="13" t="s">
        <v>110</v>
      </c>
      <c r="E692" s="13" t="s">
        <v>42</v>
      </c>
      <c r="F692" s="13" t="s">
        <v>22</v>
      </c>
      <c r="G692" s="13" t="s">
        <v>23</v>
      </c>
      <c r="H692" s="13" t="s">
        <v>33</v>
      </c>
      <c r="I692" s="13" t="s">
        <v>98</v>
      </c>
      <c r="J692" s="13">
        <v>2</v>
      </c>
      <c r="K692" s="21">
        <v>2352</v>
      </c>
      <c r="L692" s="21">
        <v>4704</v>
      </c>
      <c r="M692" s="23">
        <v>0.05</v>
      </c>
      <c r="N692" s="21">
        <v>235</v>
      </c>
      <c r="O692" s="21">
        <v>4469</v>
      </c>
      <c r="P692" s="13">
        <v>4.9000000000000004</v>
      </c>
      <c r="Q692" s="13" t="s">
        <v>26</v>
      </c>
    </row>
    <row r="693" spans="1:17" x14ac:dyDescent="0.25">
      <c r="A693" s="13" t="s">
        <v>1060</v>
      </c>
      <c r="B693" s="14">
        <v>46174</v>
      </c>
      <c r="C693" s="13" t="s">
        <v>40</v>
      </c>
      <c r="D693" s="13" t="s">
        <v>41</v>
      </c>
      <c r="E693" s="13" t="s">
        <v>155</v>
      </c>
      <c r="F693" s="13" t="s">
        <v>43</v>
      </c>
      <c r="G693" s="13" t="s">
        <v>23</v>
      </c>
      <c r="H693" s="13" t="s">
        <v>24</v>
      </c>
      <c r="I693" s="13" t="s">
        <v>34</v>
      </c>
      <c r="J693" s="13">
        <v>3</v>
      </c>
      <c r="K693" s="21">
        <v>1290</v>
      </c>
      <c r="L693" s="21">
        <v>3870</v>
      </c>
      <c r="M693" s="23">
        <v>0.2</v>
      </c>
      <c r="N693" s="21">
        <v>774</v>
      </c>
      <c r="O693" s="21">
        <v>3096</v>
      </c>
      <c r="P693" s="13">
        <v>3.9</v>
      </c>
      <c r="Q693" s="13" t="s">
        <v>26</v>
      </c>
    </row>
    <row r="694" spans="1:17" x14ac:dyDescent="0.25">
      <c r="A694" s="13" t="s">
        <v>1062</v>
      </c>
      <c r="B694" s="14">
        <v>46174</v>
      </c>
      <c r="C694" s="13" t="s">
        <v>28</v>
      </c>
      <c r="D694" s="13" t="s">
        <v>77</v>
      </c>
      <c r="E694" s="13" t="s">
        <v>82</v>
      </c>
      <c r="F694" s="13" t="s">
        <v>79</v>
      </c>
      <c r="G694" s="13" t="s">
        <v>44</v>
      </c>
      <c r="H694" s="13" t="s">
        <v>24</v>
      </c>
      <c r="I694" s="13" t="s">
        <v>98</v>
      </c>
      <c r="J694" s="13">
        <v>5</v>
      </c>
      <c r="K694" s="21">
        <v>1242</v>
      </c>
      <c r="L694" s="21">
        <v>6210</v>
      </c>
      <c r="M694" s="23">
        <v>0</v>
      </c>
      <c r="N694" s="21">
        <v>0</v>
      </c>
      <c r="O694" s="21">
        <v>6210</v>
      </c>
      <c r="P694" s="13">
        <v>3.5</v>
      </c>
      <c r="Q694" s="13" t="s">
        <v>26</v>
      </c>
    </row>
    <row r="695" spans="1:17" x14ac:dyDescent="0.25">
      <c r="A695" s="13" t="s">
        <v>1063</v>
      </c>
      <c r="B695" s="14">
        <v>46175</v>
      </c>
      <c r="C695" s="13" t="s">
        <v>91</v>
      </c>
      <c r="D695" s="13" t="s">
        <v>110</v>
      </c>
      <c r="E695" s="13" t="s">
        <v>78</v>
      </c>
      <c r="F695" s="13" t="s">
        <v>65</v>
      </c>
      <c r="G695" s="13" t="s">
        <v>32</v>
      </c>
      <c r="H695" s="13" t="s">
        <v>24</v>
      </c>
      <c r="I695" s="13" t="s">
        <v>25</v>
      </c>
      <c r="J695" s="13">
        <v>2</v>
      </c>
      <c r="K695" s="21">
        <v>1527</v>
      </c>
      <c r="L695" s="21">
        <v>3054</v>
      </c>
      <c r="M695" s="23">
        <v>0.3</v>
      </c>
      <c r="N695" s="21">
        <v>916</v>
      </c>
      <c r="O695" s="21">
        <v>2138</v>
      </c>
      <c r="P695" s="13">
        <v>4.3</v>
      </c>
      <c r="Q695" s="13" t="s">
        <v>75</v>
      </c>
    </row>
    <row r="696" spans="1:17" x14ac:dyDescent="0.25">
      <c r="A696" s="13" t="s">
        <v>1065</v>
      </c>
      <c r="B696" s="14">
        <v>46175</v>
      </c>
      <c r="C696" s="13" t="s">
        <v>51</v>
      </c>
      <c r="D696" s="13" t="s">
        <v>52</v>
      </c>
      <c r="E696" s="13" t="s">
        <v>48</v>
      </c>
      <c r="F696" s="13" t="s">
        <v>79</v>
      </c>
      <c r="G696" s="13" t="s">
        <v>32</v>
      </c>
      <c r="H696" s="13" t="s">
        <v>24</v>
      </c>
      <c r="I696" s="13" t="s">
        <v>34</v>
      </c>
      <c r="J696" s="13">
        <v>2</v>
      </c>
      <c r="K696" s="21">
        <v>584</v>
      </c>
      <c r="L696" s="21">
        <v>1168</v>
      </c>
      <c r="M696" s="23">
        <v>0.1</v>
      </c>
      <c r="N696" s="21">
        <v>117</v>
      </c>
      <c r="O696" s="21">
        <v>1051</v>
      </c>
      <c r="P696" s="13">
        <v>3.6</v>
      </c>
      <c r="Q696" s="13" t="s">
        <v>26</v>
      </c>
    </row>
    <row r="697" spans="1:17" x14ac:dyDescent="0.25">
      <c r="A697" s="13" t="s">
        <v>1066</v>
      </c>
      <c r="B697" s="14">
        <v>46175</v>
      </c>
      <c r="C697" s="13" t="s">
        <v>63</v>
      </c>
      <c r="D697" s="13" t="s">
        <v>143</v>
      </c>
      <c r="E697" s="13" t="s">
        <v>53</v>
      </c>
      <c r="F697" s="13" t="s">
        <v>61</v>
      </c>
      <c r="G697" s="13" t="s">
        <v>23</v>
      </c>
      <c r="H697" s="13" t="s">
        <v>24</v>
      </c>
      <c r="I697" s="13" t="s">
        <v>45</v>
      </c>
      <c r="J697" s="13">
        <v>4</v>
      </c>
      <c r="K697" s="21">
        <v>2148</v>
      </c>
      <c r="L697" s="21">
        <v>8592</v>
      </c>
      <c r="M697" s="23">
        <v>0.25</v>
      </c>
      <c r="N697" s="21">
        <v>2148</v>
      </c>
      <c r="O697" s="21">
        <v>6444</v>
      </c>
      <c r="P697" s="13">
        <v>4.4000000000000004</v>
      </c>
      <c r="Q697" s="13" t="s">
        <v>26</v>
      </c>
    </row>
    <row r="698" spans="1:17" x14ac:dyDescent="0.25">
      <c r="A698" s="13" t="s">
        <v>1067</v>
      </c>
      <c r="B698" s="14">
        <v>46175</v>
      </c>
      <c r="C698" s="13" t="s">
        <v>40</v>
      </c>
      <c r="D698" s="13" t="s">
        <v>68</v>
      </c>
      <c r="E698" s="13" t="s">
        <v>30</v>
      </c>
      <c r="F698" s="13" t="s">
        <v>31</v>
      </c>
      <c r="G698" s="13" t="s">
        <v>23</v>
      </c>
      <c r="H698" s="13" t="s">
        <v>33</v>
      </c>
      <c r="I698" s="13" t="s">
        <v>25</v>
      </c>
      <c r="J698" s="13">
        <v>2</v>
      </c>
      <c r="K698" s="21">
        <v>895</v>
      </c>
      <c r="L698" s="21">
        <v>1790</v>
      </c>
      <c r="M698" s="23">
        <v>0.1</v>
      </c>
      <c r="N698" s="21">
        <v>179</v>
      </c>
      <c r="O698" s="21">
        <v>1611</v>
      </c>
      <c r="P698" s="13">
        <v>4.0999999999999996</v>
      </c>
      <c r="Q698" s="13" t="s">
        <v>26</v>
      </c>
    </row>
    <row r="699" spans="1:17" x14ac:dyDescent="0.25">
      <c r="A699" s="13" t="s">
        <v>1068</v>
      </c>
      <c r="B699" s="14">
        <v>46176</v>
      </c>
      <c r="C699" s="13" t="s">
        <v>40</v>
      </c>
      <c r="D699" s="13" t="s">
        <v>68</v>
      </c>
      <c r="E699" s="13" t="s">
        <v>60</v>
      </c>
      <c r="F699" s="13" t="s">
        <v>22</v>
      </c>
      <c r="G699" s="13" t="s">
        <v>23</v>
      </c>
      <c r="H699" s="13" t="s">
        <v>104</v>
      </c>
      <c r="I699" s="13" t="s">
        <v>45</v>
      </c>
      <c r="J699" s="13">
        <v>1</v>
      </c>
      <c r="K699" s="21">
        <v>365</v>
      </c>
      <c r="L699" s="21">
        <v>365</v>
      </c>
      <c r="M699" s="23">
        <v>0</v>
      </c>
      <c r="N699" s="21">
        <v>0</v>
      </c>
      <c r="O699" s="21">
        <v>365</v>
      </c>
      <c r="P699" s="13">
        <v>3.8</v>
      </c>
      <c r="Q699" s="13" t="s">
        <v>26</v>
      </c>
    </row>
    <row r="700" spans="1:17" x14ac:dyDescent="0.25">
      <c r="A700" s="13" t="s">
        <v>1070</v>
      </c>
      <c r="B700" s="14">
        <v>46176</v>
      </c>
      <c r="C700" s="13" t="s">
        <v>28</v>
      </c>
      <c r="D700" s="13" t="s">
        <v>36</v>
      </c>
      <c r="E700" s="13" t="s">
        <v>53</v>
      </c>
      <c r="F700" s="13" t="s">
        <v>31</v>
      </c>
      <c r="G700" s="13" t="s">
        <v>23</v>
      </c>
      <c r="H700" s="13" t="s">
        <v>24</v>
      </c>
      <c r="I700" s="13" t="s">
        <v>25</v>
      </c>
      <c r="J700" s="13">
        <v>4</v>
      </c>
      <c r="K700" s="21">
        <v>538</v>
      </c>
      <c r="L700" s="21">
        <v>2152</v>
      </c>
      <c r="M700" s="23">
        <v>0.25</v>
      </c>
      <c r="N700" s="21">
        <v>538</v>
      </c>
      <c r="O700" s="21">
        <v>1614</v>
      </c>
      <c r="P700" s="13">
        <v>4.5999999999999996</v>
      </c>
      <c r="Q700" s="13" t="s">
        <v>26</v>
      </c>
    </row>
    <row r="701" spans="1:17" x14ac:dyDescent="0.25">
      <c r="A701" s="13" t="s">
        <v>1071</v>
      </c>
      <c r="B701" s="14">
        <v>46176</v>
      </c>
      <c r="C701" s="13" t="s">
        <v>40</v>
      </c>
      <c r="D701" s="13" t="s">
        <v>57</v>
      </c>
      <c r="E701" s="13" t="s">
        <v>155</v>
      </c>
      <c r="F701" s="13" t="s">
        <v>61</v>
      </c>
      <c r="G701" s="13" t="s">
        <v>23</v>
      </c>
      <c r="H701" s="13" t="s">
        <v>104</v>
      </c>
      <c r="I701" s="13" t="s">
        <v>98</v>
      </c>
      <c r="J701" s="13">
        <v>1</v>
      </c>
      <c r="K701" s="21">
        <v>694</v>
      </c>
      <c r="L701" s="21">
        <v>694</v>
      </c>
      <c r="M701" s="23">
        <v>0</v>
      </c>
      <c r="N701" s="21">
        <v>0</v>
      </c>
      <c r="O701" s="21">
        <v>694</v>
      </c>
      <c r="P701" s="13">
        <v>4.4000000000000004</v>
      </c>
      <c r="Q701" s="13" t="s">
        <v>75</v>
      </c>
    </row>
    <row r="702" spans="1:17" x14ac:dyDescent="0.25">
      <c r="A702" s="13" t="s">
        <v>1072</v>
      </c>
      <c r="B702" s="14">
        <v>46176</v>
      </c>
      <c r="C702" s="13" t="s">
        <v>91</v>
      </c>
      <c r="D702" s="13" t="s">
        <v>125</v>
      </c>
      <c r="E702" s="13" t="s">
        <v>53</v>
      </c>
      <c r="F702" s="13" t="s">
        <v>65</v>
      </c>
      <c r="G702" s="13" t="s">
        <v>32</v>
      </c>
      <c r="H702" s="13" t="s">
        <v>24</v>
      </c>
      <c r="I702" s="13" t="s">
        <v>98</v>
      </c>
      <c r="J702" s="13">
        <v>3</v>
      </c>
      <c r="K702" s="21">
        <v>2518</v>
      </c>
      <c r="L702" s="21">
        <v>7554</v>
      </c>
      <c r="M702" s="23">
        <v>0.15</v>
      </c>
      <c r="N702" s="21">
        <v>1133</v>
      </c>
      <c r="O702" s="21">
        <v>6421</v>
      </c>
      <c r="P702" s="13">
        <v>3.5</v>
      </c>
      <c r="Q702" s="13" t="s">
        <v>26</v>
      </c>
    </row>
    <row r="703" spans="1:17" x14ac:dyDescent="0.25">
      <c r="A703" s="13" t="s">
        <v>1073</v>
      </c>
      <c r="B703" s="14">
        <v>46177</v>
      </c>
      <c r="C703" s="13" t="s">
        <v>40</v>
      </c>
      <c r="D703" s="13" t="s">
        <v>113</v>
      </c>
      <c r="E703" s="13" t="s">
        <v>48</v>
      </c>
      <c r="F703" s="13" t="s">
        <v>65</v>
      </c>
      <c r="G703" s="13" t="s">
        <v>32</v>
      </c>
      <c r="H703" s="13" t="s">
        <v>104</v>
      </c>
      <c r="I703" s="13" t="s">
        <v>34</v>
      </c>
      <c r="J703" s="13">
        <v>1</v>
      </c>
      <c r="K703" s="21">
        <v>322</v>
      </c>
      <c r="L703" s="21">
        <v>322</v>
      </c>
      <c r="M703" s="23">
        <v>0.3</v>
      </c>
      <c r="N703" s="21">
        <v>97</v>
      </c>
      <c r="O703" s="21">
        <v>225</v>
      </c>
      <c r="P703" s="13">
        <v>4.8</v>
      </c>
      <c r="Q703" s="13" t="s">
        <v>26</v>
      </c>
    </row>
    <row r="704" spans="1:17" x14ac:dyDescent="0.25">
      <c r="A704" s="13" t="s">
        <v>1075</v>
      </c>
      <c r="B704" s="14">
        <v>46178</v>
      </c>
      <c r="C704" s="13" t="s">
        <v>63</v>
      </c>
      <c r="D704" s="13" t="s">
        <v>64</v>
      </c>
      <c r="E704" s="13" t="s">
        <v>37</v>
      </c>
      <c r="F704" s="13" t="s">
        <v>130</v>
      </c>
      <c r="G704" s="13" t="s">
        <v>32</v>
      </c>
      <c r="H704" s="13" t="s">
        <v>33</v>
      </c>
      <c r="I704" s="13" t="s">
        <v>84</v>
      </c>
      <c r="J704" s="13">
        <v>3</v>
      </c>
      <c r="K704" s="21">
        <v>1560</v>
      </c>
      <c r="L704" s="21">
        <v>4680</v>
      </c>
      <c r="M704" s="23">
        <v>0.1</v>
      </c>
      <c r="N704" s="21">
        <v>468</v>
      </c>
      <c r="O704" s="21">
        <v>4212</v>
      </c>
      <c r="P704" s="13">
        <v>4.4000000000000004</v>
      </c>
      <c r="Q704" s="13" t="s">
        <v>26</v>
      </c>
    </row>
    <row r="705" spans="1:17" x14ac:dyDescent="0.25">
      <c r="A705" s="13" t="s">
        <v>1077</v>
      </c>
      <c r="B705" s="14">
        <v>46178</v>
      </c>
      <c r="C705" s="13" t="s">
        <v>51</v>
      </c>
      <c r="D705" s="13" t="s">
        <v>52</v>
      </c>
      <c r="E705" s="13" t="s">
        <v>48</v>
      </c>
      <c r="F705" s="13" t="s">
        <v>31</v>
      </c>
      <c r="G705" s="13" t="s">
        <v>23</v>
      </c>
      <c r="H705" s="13" t="s">
        <v>24</v>
      </c>
      <c r="I705" s="13" t="s">
        <v>34</v>
      </c>
      <c r="J705" s="13">
        <v>4</v>
      </c>
      <c r="K705" s="21">
        <v>604</v>
      </c>
      <c r="L705" s="21">
        <v>2416</v>
      </c>
      <c r="M705" s="23">
        <v>0.25</v>
      </c>
      <c r="N705" s="21">
        <v>604</v>
      </c>
      <c r="O705" s="21">
        <v>1812</v>
      </c>
      <c r="P705" s="13">
        <v>3.8</v>
      </c>
      <c r="Q705" s="13" t="s">
        <v>26</v>
      </c>
    </row>
    <row r="706" spans="1:17" x14ac:dyDescent="0.25">
      <c r="A706" s="13" t="s">
        <v>1078</v>
      </c>
      <c r="B706" s="14">
        <v>46179</v>
      </c>
      <c r="C706" s="13" t="s">
        <v>19</v>
      </c>
      <c r="D706" s="13" t="s">
        <v>128</v>
      </c>
      <c r="E706" s="13" t="s">
        <v>101</v>
      </c>
      <c r="F706" s="13" t="s">
        <v>72</v>
      </c>
      <c r="G706" s="13" t="s">
        <v>32</v>
      </c>
      <c r="H706" s="13" t="s">
        <v>33</v>
      </c>
      <c r="I706" s="13" t="s">
        <v>45</v>
      </c>
      <c r="J706" s="13">
        <v>4</v>
      </c>
      <c r="K706" s="21">
        <v>902</v>
      </c>
      <c r="L706" s="21">
        <v>3608</v>
      </c>
      <c r="M706" s="23">
        <v>0.15</v>
      </c>
      <c r="N706" s="21">
        <v>541</v>
      </c>
      <c r="O706" s="21">
        <v>3067</v>
      </c>
      <c r="P706" s="13">
        <v>3.7</v>
      </c>
      <c r="Q706" s="13" t="s">
        <v>26</v>
      </c>
    </row>
    <row r="707" spans="1:17" x14ac:dyDescent="0.25">
      <c r="A707" s="13" t="s">
        <v>1080</v>
      </c>
      <c r="B707" s="14">
        <v>46179</v>
      </c>
      <c r="C707" s="13" t="s">
        <v>19</v>
      </c>
      <c r="D707" s="13" t="s">
        <v>230</v>
      </c>
      <c r="E707" s="13" t="s">
        <v>53</v>
      </c>
      <c r="F707" s="13" t="s">
        <v>22</v>
      </c>
      <c r="G707" s="13" t="s">
        <v>32</v>
      </c>
      <c r="H707" s="13" t="s">
        <v>33</v>
      </c>
      <c r="I707" s="13" t="s">
        <v>34</v>
      </c>
      <c r="J707" s="13">
        <v>5</v>
      </c>
      <c r="K707" s="21">
        <v>261</v>
      </c>
      <c r="L707" s="21">
        <v>1305</v>
      </c>
      <c r="M707" s="23">
        <v>0.3</v>
      </c>
      <c r="N707" s="21">
        <v>392</v>
      </c>
      <c r="O707" s="21">
        <v>913</v>
      </c>
      <c r="P707" s="13">
        <v>3.8</v>
      </c>
      <c r="Q707" s="13" t="s">
        <v>26</v>
      </c>
    </row>
    <row r="708" spans="1:17" x14ac:dyDescent="0.25">
      <c r="A708" s="13" t="s">
        <v>1081</v>
      </c>
      <c r="B708" s="14">
        <v>46180</v>
      </c>
      <c r="C708" s="13" t="s">
        <v>63</v>
      </c>
      <c r="D708" s="13" t="s">
        <v>64</v>
      </c>
      <c r="E708" s="13" t="s">
        <v>37</v>
      </c>
      <c r="F708" s="13" t="s">
        <v>22</v>
      </c>
      <c r="G708" s="13" t="s">
        <v>23</v>
      </c>
      <c r="H708" s="13" t="s">
        <v>33</v>
      </c>
      <c r="I708" s="13" t="s">
        <v>84</v>
      </c>
      <c r="J708" s="13">
        <v>3</v>
      </c>
      <c r="K708" s="21">
        <v>641</v>
      </c>
      <c r="L708" s="21">
        <v>1923</v>
      </c>
      <c r="M708" s="23">
        <v>0</v>
      </c>
      <c r="N708" s="21">
        <v>0</v>
      </c>
      <c r="O708" s="21">
        <v>1923</v>
      </c>
      <c r="P708" s="13">
        <v>4.5</v>
      </c>
      <c r="Q708" s="13" t="s">
        <v>26</v>
      </c>
    </row>
    <row r="709" spans="1:17" x14ac:dyDescent="0.25">
      <c r="A709" s="13" t="s">
        <v>1083</v>
      </c>
      <c r="B709" s="14">
        <v>46180</v>
      </c>
      <c r="C709" s="13" t="s">
        <v>19</v>
      </c>
      <c r="D709" s="13" t="s">
        <v>128</v>
      </c>
      <c r="E709" s="13" t="s">
        <v>37</v>
      </c>
      <c r="F709" s="13" t="s">
        <v>72</v>
      </c>
      <c r="G709" s="13" t="s">
        <v>23</v>
      </c>
      <c r="H709" s="13" t="s">
        <v>24</v>
      </c>
      <c r="I709" s="13" t="s">
        <v>98</v>
      </c>
      <c r="J709" s="13">
        <v>3</v>
      </c>
      <c r="K709" s="21">
        <v>736</v>
      </c>
      <c r="L709" s="21">
        <v>2208</v>
      </c>
      <c r="M709" s="23">
        <v>0.25</v>
      </c>
      <c r="N709" s="21">
        <v>552</v>
      </c>
      <c r="O709" s="21">
        <v>1656</v>
      </c>
      <c r="P709" s="13">
        <v>4.8</v>
      </c>
      <c r="Q709" s="13" t="s">
        <v>26</v>
      </c>
    </row>
    <row r="710" spans="1:17" x14ac:dyDescent="0.25">
      <c r="A710" s="13" t="s">
        <v>1084</v>
      </c>
      <c r="B710" s="14">
        <v>46182</v>
      </c>
      <c r="C710" s="13" t="s">
        <v>91</v>
      </c>
      <c r="D710" s="13" t="s">
        <v>125</v>
      </c>
      <c r="E710" s="13" t="s">
        <v>101</v>
      </c>
      <c r="F710" s="13" t="s">
        <v>72</v>
      </c>
      <c r="G710" s="13" t="s">
        <v>32</v>
      </c>
      <c r="H710" s="13" t="s">
        <v>24</v>
      </c>
      <c r="I710" s="13" t="s">
        <v>45</v>
      </c>
      <c r="J710" s="13">
        <v>3</v>
      </c>
      <c r="K710" s="21">
        <v>2155</v>
      </c>
      <c r="L710" s="21">
        <v>6465</v>
      </c>
      <c r="M710" s="23">
        <v>0.15</v>
      </c>
      <c r="N710" s="21">
        <v>970</v>
      </c>
      <c r="O710" s="21">
        <v>5495</v>
      </c>
      <c r="P710" s="13">
        <v>4.7</v>
      </c>
      <c r="Q710" s="13" t="s">
        <v>26</v>
      </c>
    </row>
    <row r="711" spans="1:17" x14ac:dyDescent="0.25">
      <c r="A711" s="13" t="s">
        <v>1086</v>
      </c>
      <c r="B711" s="14">
        <v>46182</v>
      </c>
      <c r="C711" s="13" t="s">
        <v>40</v>
      </c>
      <c r="D711" s="13" t="s">
        <v>57</v>
      </c>
      <c r="E711" s="13" t="s">
        <v>101</v>
      </c>
      <c r="F711" s="13" t="s">
        <v>72</v>
      </c>
      <c r="G711" s="13" t="s">
        <v>23</v>
      </c>
      <c r="H711" s="13" t="s">
        <v>33</v>
      </c>
      <c r="I711" s="13" t="s">
        <v>84</v>
      </c>
      <c r="J711" s="13">
        <v>2</v>
      </c>
      <c r="K711" s="21">
        <v>433</v>
      </c>
      <c r="L711" s="21">
        <v>866</v>
      </c>
      <c r="M711" s="23">
        <v>0.25</v>
      </c>
      <c r="N711" s="21">
        <v>216</v>
      </c>
      <c r="O711" s="21">
        <v>650</v>
      </c>
      <c r="P711" s="13">
        <v>4.0999999999999996</v>
      </c>
      <c r="Q711" s="13" t="s">
        <v>26</v>
      </c>
    </row>
    <row r="712" spans="1:17" x14ac:dyDescent="0.25">
      <c r="A712" s="13" t="s">
        <v>1087</v>
      </c>
      <c r="B712" s="14">
        <v>46183</v>
      </c>
      <c r="C712" s="13" t="s">
        <v>91</v>
      </c>
      <c r="D712" s="13" t="s">
        <v>92</v>
      </c>
      <c r="E712" s="13" t="s">
        <v>101</v>
      </c>
      <c r="F712" s="13" t="s">
        <v>72</v>
      </c>
      <c r="G712" s="13" t="s">
        <v>23</v>
      </c>
      <c r="H712" s="13" t="s">
        <v>104</v>
      </c>
      <c r="I712" s="13" t="s">
        <v>25</v>
      </c>
      <c r="J712" s="13">
        <v>1</v>
      </c>
      <c r="K712" s="21">
        <v>1476</v>
      </c>
      <c r="L712" s="21">
        <v>1476</v>
      </c>
      <c r="M712" s="23">
        <v>0.05</v>
      </c>
      <c r="N712" s="21">
        <v>74</v>
      </c>
      <c r="O712" s="21">
        <v>1402</v>
      </c>
      <c r="P712" s="13">
        <v>3.7</v>
      </c>
      <c r="Q712" s="13" t="s">
        <v>75</v>
      </c>
    </row>
    <row r="713" spans="1:17" x14ac:dyDescent="0.25">
      <c r="A713" s="13" t="s">
        <v>1089</v>
      </c>
      <c r="B713" s="14">
        <v>46184</v>
      </c>
      <c r="C713" s="13" t="s">
        <v>63</v>
      </c>
      <c r="D713" s="13" t="s">
        <v>134</v>
      </c>
      <c r="E713" s="13" t="s">
        <v>101</v>
      </c>
      <c r="F713" s="13" t="s">
        <v>22</v>
      </c>
      <c r="G713" s="13" t="s">
        <v>23</v>
      </c>
      <c r="H713" s="13" t="s">
        <v>24</v>
      </c>
      <c r="I713" s="13" t="s">
        <v>45</v>
      </c>
      <c r="J713" s="13">
        <v>5</v>
      </c>
      <c r="K713" s="21">
        <v>474</v>
      </c>
      <c r="L713" s="21">
        <v>2370</v>
      </c>
      <c r="M713" s="23">
        <v>0</v>
      </c>
      <c r="N713" s="21">
        <v>0</v>
      </c>
      <c r="O713" s="21">
        <v>2370</v>
      </c>
      <c r="P713" s="13">
        <v>3.6</v>
      </c>
      <c r="Q713" s="13" t="s">
        <v>26</v>
      </c>
    </row>
    <row r="714" spans="1:17" x14ac:dyDescent="0.25">
      <c r="A714" s="13" t="s">
        <v>1091</v>
      </c>
      <c r="B714" s="14">
        <v>46185</v>
      </c>
      <c r="C714" s="13" t="s">
        <v>19</v>
      </c>
      <c r="D714" s="13" t="s">
        <v>230</v>
      </c>
      <c r="E714" s="13" t="s">
        <v>42</v>
      </c>
      <c r="F714" s="13" t="s">
        <v>119</v>
      </c>
      <c r="G714" s="13" t="s">
        <v>23</v>
      </c>
      <c r="H714" s="13" t="s">
        <v>24</v>
      </c>
      <c r="I714" s="13" t="s">
        <v>84</v>
      </c>
      <c r="J714" s="13">
        <v>1</v>
      </c>
      <c r="K714" s="21">
        <v>351</v>
      </c>
      <c r="L714" s="21">
        <v>351</v>
      </c>
      <c r="M714" s="23">
        <v>0.15</v>
      </c>
      <c r="N714" s="21">
        <v>53</v>
      </c>
      <c r="O714" s="21">
        <v>298</v>
      </c>
      <c r="P714" s="13">
        <v>4.8</v>
      </c>
      <c r="Q714" s="13" t="s">
        <v>26</v>
      </c>
    </row>
    <row r="715" spans="1:17" x14ac:dyDescent="0.25">
      <c r="A715" s="13" t="s">
        <v>1093</v>
      </c>
      <c r="B715" s="14">
        <v>46185</v>
      </c>
      <c r="C715" s="13" t="s">
        <v>19</v>
      </c>
      <c r="D715" s="13" t="s">
        <v>128</v>
      </c>
      <c r="E715" s="13" t="s">
        <v>37</v>
      </c>
      <c r="F715" s="13" t="s">
        <v>130</v>
      </c>
      <c r="G715" s="13" t="s">
        <v>32</v>
      </c>
      <c r="H715" s="13" t="s">
        <v>24</v>
      </c>
      <c r="I715" s="13" t="s">
        <v>34</v>
      </c>
      <c r="J715" s="13">
        <v>3</v>
      </c>
      <c r="K715" s="21">
        <v>259</v>
      </c>
      <c r="L715" s="21">
        <v>777</v>
      </c>
      <c r="M715" s="23">
        <v>0.15</v>
      </c>
      <c r="N715" s="21">
        <v>117</v>
      </c>
      <c r="O715" s="21">
        <v>660</v>
      </c>
      <c r="P715" s="13">
        <v>4.0999999999999996</v>
      </c>
      <c r="Q715" s="13" t="s">
        <v>26</v>
      </c>
    </row>
    <row r="716" spans="1:17" x14ac:dyDescent="0.25">
      <c r="A716" s="13" t="s">
        <v>1094</v>
      </c>
      <c r="B716" s="14">
        <v>46186</v>
      </c>
      <c r="C716" s="13" t="s">
        <v>91</v>
      </c>
      <c r="D716" s="13" t="s">
        <v>125</v>
      </c>
      <c r="E716" s="13" t="s">
        <v>155</v>
      </c>
      <c r="F716" s="13" t="s">
        <v>43</v>
      </c>
      <c r="G716" s="13" t="s">
        <v>23</v>
      </c>
      <c r="H716" s="13" t="s">
        <v>104</v>
      </c>
      <c r="I716" s="13" t="s">
        <v>98</v>
      </c>
      <c r="J716" s="13">
        <v>5</v>
      </c>
      <c r="K716" s="21">
        <v>842</v>
      </c>
      <c r="L716" s="21">
        <v>4210</v>
      </c>
      <c r="M716" s="23">
        <v>0.3</v>
      </c>
      <c r="N716" s="21">
        <v>1263</v>
      </c>
      <c r="O716" s="21">
        <v>2947</v>
      </c>
      <c r="P716" s="13">
        <v>4.9000000000000004</v>
      </c>
      <c r="Q716" s="13" t="s">
        <v>26</v>
      </c>
    </row>
    <row r="717" spans="1:17" x14ac:dyDescent="0.25">
      <c r="A717" s="13" t="s">
        <v>1096</v>
      </c>
      <c r="B717" s="14">
        <v>46186</v>
      </c>
      <c r="C717" s="13" t="s">
        <v>51</v>
      </c>
      <c r="D717" s="13" t="s">
        <v>97</v>
      </c>
      <c r="E717" s="13" t="s">
        <v>37</v>
      </c>
      <c r="F717" s="13" t="s">
        <v>43</v>
      </c>
      <c r="G717" s="13" t="s">
        <v>23</v>
      </c>
      <c r="H717" s="13" t="s">
        <v>24</v>
      </c>
      <c r="I717" s="13" t="s">
        <v>25</v>
      </c>
      <c r="J717" s="13">
        <v>5</v>
      </c>
      <c r="K717" s="21">
        <v>428</v>
      </c>
      <c r="L717" s="21">
        <v>2140</v>
      </c>
      <c r="M717" s="23">
        <v>0.3</v>
      </c>
      <c r="N717" s="21">
        <v>642</v>
      </c>
      <c r="O717" s="21">
        <v>1498</v>
      </c>
      <c r="P717" s="13">
        <v>4.0999999999999996</v>
      </c>
      <c r="Q717" s="13" t="s">
        <v>26</v>
      </c>
    </row>
    <row r="718" spans="1:17" x14ac:dyDescent="0.25">
      <c r="A718" s="13" t="s">
        <v>1097</v>
      </c>
      <c r="B718" s="14">
        <v>46186</v>
      </c>
      <c r="C718" s="13" t="s">
        <v>19</v>
      </c>
      <c r="D718" s="13" t="s">
        <v>20</v>
      </c>
      <c r="E718" s="13" t="s">
        <v>53</v>
      </c>
      <c r="F718" s="13" t="s">
        <v>65</v>
      </c>
      <c r="G718" s="13" t="s">
        <v>44</v>
      </c>
      <c r="H718" s="13" t="s">
        <v>104</v>
      </c>
      <c r="I718" s="13" t="s">
        <v>34</v>
      </c>
      <c r="J718" s="13">
        <v>1</v>
      </c>
      <c r="K718" s="21">
        <v>644</v>
      </c>
      <c r="L718" s="21">
        <v>644</v>
      </c>
      <c r="M718" s="23">
        <v>0.2</v>
      </c>
      <c r="N718" s="21">
        <v>129</v>
      </c>
      <c r="O718" s="21">
        <v>515</v>
      </c>
      <c r="P718" s="13">
        <v>5</v>
      </c>
      <c r="Q718" s="13" t="s">
        <v>26</v>
      </c>
    </row>
    <row r="719" spans="1:17" x14ac:dyDescent="0.25">
      <c r="A719" s="13" t="s">
        <v>1098</v>
      </c>
      <c r="B719" s="14">
        <v>46186</v>
      </c>
      <c r="C719" s="13" t="s">
        <v>51</v>
      </c>
      <c r="D719" s="13" t="s">
        <v>70</v>
      </c>
      <c r="E719" s="13" t="s">
        <v>53</v>
      </c>
      <c r="F719" s="13" t="s">
        <v>119</v>
      </c>
      <c r="G719" s="13" t="s">
        <v>32</v>
      </c>
      <c r="H719" s="13" t="s">
        <v>24</v>
      </c>
      <c r="I719" s="13" t="s">
        <v>98</v>
      </c>
      <c r="J719" s="13">
        <v>3</v>
      </c>
      <c r="K719" s="21">
        <v>669</v>
      </c>
      <c r="L719" s="21">
        <v>2007</v>
      </c>
      <c r="M719" s="23">
        <v>0.3</v>
      </c>
      <c r="N719" s="21">
        <v>602</v>
      </c>
      <c r="O719" s="21">
        <v>1405</v>
      </c>
      <c r="P719" s="13">
        <v>3.8</v>
      </c>
      <c r="Q719" s="13" t="s">
        <v>75</v>
      </c>
    </row>
    <row r="720" spans="1:17" x14ac:dyDescent="0.25">
      <c r="A720" s="13" t="s">
        <v>1099</v>
      </c>
      <c r="B720" s="14">
        <v>46186</v>
      </c>
      <c r="C720" s="13" t="s">
        <v>28</v>
      </c>
      <c r="D720" s="13" t="s">
        <v>95</v>
      </c>
      <c r="E720" s="13" t="s">
        <v>21</v>
      </c>
      <c r="F720" s="13" t="s">
        <v>119</v>
      </c>
      <c r="G720" s="13" t="s">
        <v>23</v>
      </c>
      <c r="H720" s="13" t="s">
        <v>104</v>
      </c>
      <c r="I720" s="13" t="s">
        <v>45</v>
      </c>
      <c r="J720" s="13">
        <v>1</v>
      </c>
      <c r="K720" s="21">
        <v>635</v>
      </c>
      <c r="L720" s="21">
        <v>635</v>
      </c>
      <c r="M720" s="23">
        <v>0.2</v>
      </c>
      <c r="N720" s="21">
        <v>127</v>
      </c>
      <c r="O720" s="21">
        <v>508</v>
      </c>
      <c r="P720" s="13">
        <v>4.4000000000000004</v>
      </c>
      <c r="Q720" s="13" t="s">
        <v>26</v>
      </c>
    </row>
    <row r="721" spans="1:17" x14ac:dyDescent="0.25">
      <c r="A721" s="13" t="s">
        <v>1100</v>
      </c>
      <c r="B721" s="14">
        <v>46187</v>
      </c>
      <c r="C721" s="13" t="s">
        <v>28</v>
      </c>
      <c r="D721" s="13" t="s">
        <v>36</v>
      </c>
      <c r="E721" s="13" t="s">
        <v>21</v>
      </c>
      <c r="F721" s="13" t="s">
        <v>61</v>
      </c>
      <c r="G721" s="13" t="s">
        <v>32</v>
      </c>
      <c r="H721" s="13" t="s">
        <v>104</v>
      </c>
      <c r="I721" s="13" t="s">
        <v>45</v>
      </c>
      <c r="J721" s="13">
        <v>1</v>
      </c>
      <c r="K721" s="21">
        <v>483</v>
      </c>
      <c r="L721" s="21">
        <v>483</v>
      </c>
      <c r="M721" s="23">
        <v>0.15</v>
      </c>
      <c r="N721" s="21">
        <v>72</v>
      </c>
      <c r="O721" s="21">
        <v>411</v>
      </c>
      <c r="P721" s="13">
        <v>4.3</v>
      </c>
      <c r="Q721" s="13" t="s">
        <v>75</v>
      </c>
    </row>
    <row r="722" spans="1:17" x14ac:dyDescent="0.25">
      <c r="A722" s="13" t="s">
        <v>1102</v>
      </c>
      <c r="B722" s="14">
        <v>46187</v>
      </c>
      <c r="C722" s="13" t="s">
        <v>51</v>
      </c>
      <c r="D722" s="13" t="s">
        <v>97</v>
      </c>
      <c r="E722" s="13" t="s">
        <v>60</v>
      </c>
      <c r="F722" s="13" t="s">
        <v>22</v>
      </c>
      <c r="G722" s="13" t="s">
        <v>32</v>
      </c>
      <c r="H722" s="13" t="s">
        <v>24</v>
      </c>
      <c r="I722" s="13" t="s">
        <v>45</v>
      </c>
      <c r="J722" s="13">
        <v>1</v>
      </c>
      <c r="K722" s="21">
        <v>704</v>
      </c>
      <c r="L722" s="21">
        <v>704</v>
      </c>
      <c r="M722" s="23">
        <v>0.1</v>
      </c>
      <c r="N722" s="21">
        <v>70</v>
      </c>
      <c r="O722" s="21">
        <v>634</v>
      </c>
      <c r="P722" s="13">
        <v>4</v>
      </c>
      <c r="Q722" s="13" t="s">
        <v>75</v>
      </c>
    </row>
    <row r="723" spans="1:17" x14ac:dyDescent="0.25">
      <c r="A723" s="13" t="s">
        <v>1103</v>
      </c>
      <c r="B723" s="14">
        <v>46187</v>
      </c>
      <c r="C723" s="13" t="s">
        <v>63</v>
      </c>
      <c r="D723" s="13" t="s">
        <v>64</v>
      </c>
      <c r="E723" s="13" t="s">
        <v>30</v>
      </c>
      <c r="F723" s="13" t="s">
        <v>31</v>
      </c>
      <c r="G723" s="13" t="s">
        <v>32</v>
      </c>
      <c r="H723" s="13" t="s">
        <v>104</v>
      </c>
      <c r="I723" s="13" t="s">
        <v>25</v>
      </c>
      <c r="J723" s="13">
        <v>3</v>
      </c>
      <c r="K723" s="21">
        <v>2055</v>
      </c>
      <c r="L723" s="21">
        <v>6165</v>
      </c>
      <c r="M723" s="23">
        <v>0</v>
      </c>
      <c r="N723" s="21">
        <v>0</v>
      </c>
      <c r="O723" s="21">
        <v>6165</v>
      </c>
      <c r="P723" s="13">
        <v>4.2</v>
      </c>
      <c r="Q723" s="13" t="s">
        <v>26</v>
      </c>
    </row>
    <row r="724" spans="1:17" x14ac:dyDescent="0.25">
      <c r="A724" s="13" t="s">
        <v>1104</v>
      </c>
      <c r="B724" s="14">
        <v>46187</v>
      </c>
      <c r="C724" s="13" t="s">
        <v>63</v>
      </c>
      <c r="D724" s="13" t="s">
        <v>134</v>
      </c>
      <c r="E724" s="13" t="s">
        <v>42</v>
      </c>
      <c r="F724" s="13" t="s">
        <v>79</v>
      </c>
      <c r="G724" s="13" t="s">
        <v>32</v>
      </c>
      <c r="H724" s="13" t="s">
        <v>24</v>
      </c>
      <c r="I724" s="13" t="s">
        <v>45</v>
      </c>
      <c r="J724" s="13">
        <v>5</v>
      </c>
      <c r="K724" s="21">
        <v>1877</v>
      </c>
      <c r="L724" s="21">
        <v>9385</v>
      </c>
      <c r="M724" s="23">
        <v>0</v>
      </c>
      <c r="N724" s="21">
        <v>0</v>
      </c>
      <c r="O724" s="21">
        <v>9385</v>
      </c>
      <c r="P724" s="13">
        <v>4.9000000000000004</v>
      </c>
      <c r="Q724" s="13" t="s">
        <v>26</v>
      </c>
    </row>
    <row r="725" spans="1:17" x14ac:dyDescent="0.25">
      <c r="A725" s="13" t="s">
        <v>1105</v>
      </c>
      <c r="B725" s="14">
        <v>46189</v>
      </c>
      <c r="C725" s="13" t="s">
        <v>19</v>
      </c>
      <c r="D725" s="13" t="s">
        <v>20</v>
      </c>
      <c r="E725" s="13" t="s">
        <v>60</v>
      </c>
      <c r="F725" s="13" t="s">
        <v>72</v>
      </c>
      <c r="G725" s="13" t="s">
        <v>23</v>
      </c>
      <c r="H725" s="13" t="s">
        <v>24</v>
      </c>
      <c r="I725" s="13" t="s">
        <v>34</v>
      </c>
      <c r="J725" s="13">
        <v>3</v>
      </c>
      <c r="K725" s="21">
        <v>881</v>
      </c>
      <c r="L725" s="21">
        <v>2643</v>
      </c>
      <c r="M725" s="23">
        <v>0.1</v>
      </c>
      <c r="N725" s="21">
        <v>264</v>
      </c>
      <c r="O725" s="21">
        <v>2379</v>
      </c>
      <c r="P725" s="13">
        <v>4.4000000000000004</v>
      </c>
      <c r="Q725" s="13" t="s">
        <v>75</v>
      </c>
    </row>
    <row r="726" spans="1:17" x14ac:dyDescent="0.25">
      <c r="A726" s="13" t="s">
        <v>1107</v>
      </c>
      <c r="B726" s="14">
        <v>46189</v>
      </c>
      <c r="C726" s="13" t="s">
        <v>40</v>
      </c>
      <c r="D726" s="13" t="s">
        <v>41</v>
      </c>
      <c r="E726" s="13" t="s">
        <v>78</v>
      </c>
      <c r="F726" s="13" t="s">
        <v>61</v>
      </c>
      <c r="G726" s="13" t="s">
        <v>23</v>
      </c>
      <c r="H726" s="13" t="s">
        <v>33</v>
      </c>
      <c r="I726" s="13" t="s">
        <v>34</v>
      </c>
      <c r="J726" s="13">
        <v>2</v>
      </c>
      <c r="K726" s="21">
        <v>340</v>
      </c>
      <c r="L726" s="21">
        <v>680</v>
      </c>
      <c r="M726" s="23">
        <v>0.2</v>
      </c>
      <c r="N726" s="21">
        <v>136</v>
      </c>
      <c r="O726" s="21">
        <v>544</v>
      </c>
      <c r="P726" s="13">
        <v>3.4</v>
      </c>
      <c r="Q726" s="13" t="s">
        <v>75</v>
      </c>
    </row>
    <row r="727" spans="1:17" x14ac:dyDescent="0.25">
      <c r="A727" s="13" t="s">
        <v>1108</v>
      </c>
      <c r="B727" s="14">
        <v>46189</v>
      </c>
      <c r="C727" s="13" t="s">
        <v>19</v>
      </c>
      <c r="D727" s="13" t="s">
        <v>20</v>
      </c>
      <c r="E727" s="13" t="s">
        <v>60</v>
      </c>
      <c r="F727" s="13" t="s">
        <v>119</v>
      </c>
      <c r="G727" s="13" t="s">
        <v>23</v>
      </c>
      <c r="H727" s="13" t="s">
        <v>33</v>
      </c>
      <c r="I727" s="13" t="s">
        <v>84</v>
      </c>
      <c r="J727" s="13">
        <v>1</v>
      </c>
      <c r="K727" s="21">
        <v>265</v>
      </c>
      <c r="L727" s="21">
        <v>265</v>
      </c>
      <c r="M727" s="23">
        <v>0.1</v>
      </c>
      <c r="N727" s="21">
        <v>26</v>
      </c>
      <c r="O727" s="21">
        <v>239</v>
      </c>
      <c r="P727" s="13">
        <v>3.9</v>
      </c>
      <c r="Q727" s="13" t="s">
        <v>26</v>
      </c>
    </row>
    <row r="728" spans="1:17" x14ac:dyDescent="0.25">
      <c r="A728" s="13" t="s">
        <v>1109</v>
      </c>
      <c r="B728" s="14">
        <v>46189</v>
      </c>
      <c r="C728" s="13" t="s">
        <v>63</v>
      </c>
      <c r="D728" s="13" t="s">
        <v>64</v>
      </c>
      <c r="E728" s="13" t="s">
        <v>155</v>
      </c>
      <c r="F728" s="13" t="s">
        <v>22</v>
      </c>
      <c r="G728" s="13" t="s">
        <v>23</v>
      </c>
      <c r="H728" s="13" t="s">
        <v>33</v>
      </c>
      <c r="I728" s="13" t="s">
        <v>98</v>
      </c>
      <c r="J728" s="13">
        <v>3</v>
      </c>
      <c r="K728" s="21">
        <v>437</v>
      </c>
      <c r="L728" s="21">
        <v>1311</v>
      </c>
      <c r="M728" s="23">
        <v>0.1</v>
      </c>
      <c r="N728" s="21">
        <v>131</v>
      </c>
      <c r="O728" s="21">
        <v>1180</v>
      </c>
      <c r="P728" s="13">
        <v>3.5</v>
      </c>
      <c r="Q728" s="13" t="s">
        <v>26</v>
      </c>
    </row>
    <row r="729" spans="1:17" x14ac:dyDescent="0.25">
      <c r="A729" s="13" t="s">
        <v>1110</v>
      </c>
      <c r="B729" s="14">
        <v>46191</v>
      </c>
      <c r="C729" s="13" t="s">
        <v>40</v>
      </c>
      <c r="D729" s="13" t="s">
        <v>57</v>
      </c>
      <c r="E729" s="13" t="s">
        <v>155</v>
      </c>
      <c r="F729" s="13" t="s">
        <v>79</v>
      </c>
      <c r="G729" s="13" t="s">
        <v>44</v>
      </c>
      <c r="H729" s="13" t="s">
        <v>104</v>
      </c>
      <c r="I729" s="13" t="s">
        <v>34</v>
      </c>
      <c r="J729" s="13">
        <v>4</v>
      </c>
      <c r="K729" s="21">
        <v>1030</v>
      </c>
      <c r="L729" s="21">
        <v>4120</v>
      </c>
      <c r="M729" s="23">
        <v>0.1</v>
      </c>
      <c r="N729" s="21">
        <v>412</v>
      </c>
      <c r="O729" s="21">
        <v>3708</v>
      </c>
      <c r="P729" s="13">
        <v>3.7</v>
      </c>
      <c r="Q729" s="13" t="s">
        <v>26</v>
      </c>
    </row>
    <row r="730" spans="1:17" x14ac:dyDescent="0.25">
      <c r="A730" s="13" t="s">
        <v>1112</v>
      </c>
      <c r="B730" s="14">
        <v>46192</v>
      </c>
      <c r="C730" s="13" t="s">
        <v>51</v>
      </c>
      <c r="D730" s="13" t="s">
        <v>70</v>
      </c>
      <c r="E730" s="13" t="s">
        <v>82</v>
      </c>
      <c r="F730" s="13" t="s">
        <v>22</v>
      </c>
      <c r="G730" s="13" t="s">
        <v>32</v>
      </c>
      <c r="H730" s="13" t="s">
        <v>24</v>
      </c>
      <c r="I730" s="13" t="s">
        <v>25</v>
      </c>
      <c r="J730" s="13">
        <v>4</v>
      </c>
      <c r="K730" s="21">
        <v>668</v>
      </c>
      <c r="L730" s="21">
        <v>2672</v>
      </c>
      <c r="M730" s="23">
        <v>0.3</v>
      </c>
      <c r="N730" s="21">
        <v>802</v>
      </c>
      <c r="O730" s="21">
        <v>1870</v>
      </c>
      <c r="P730" s="13">
        <v>4.5999999999999996</v>
      </c>
      <c r="Q730" s="13" t="s">
        <v>75</v>
      </c>
    </row>
    <row r="731" spans="1:17" x14ac:dyDescent="0.25">
      <c r="A731" s="13" t="s">
        <v>1114</v>
      </c>
      <c r="B731" s="14">
        <v>46193</v>
      </c>
      <c r="C731" s="13" t="s">
        <v>91</v>
      </c>
      <c r="D731" s="13" t="s">
        <v>110</v>
      </c>
      <c r="E731" s="13" t="s">
        <v>101</v>
      </c>
      <c r="F731" s="13" t="s">
        <v>43</v>
      </c>
      <c r="G731" s="13" t="s">
        <v>32</v>
      </c>
      <c r="H731" s="13" t="s">
        <v>33</v>
      </c>
      <c r="I731" s="13" t="s">
        <v>45</v>
      </c>
      <c r="J731" s="13">
        <v>5</v>
      </c>
      <c r="K731" s="21">
        <v>1140</v>
      </c>
      <c r="L731" s="21">
        <v>5700</v>
      </c>
      <c r="M731" s="23">
        <v>0</v>
      </c>
      <c r="N731" s="21">
        <v>0</v>
      </c>
      <c r="O731" s="21">
        <v>5700</v>
      </c>
      <c r="P731" s="13">
        <v>4.2</v>
      </c>
      <c r="Q731" s="13" t="s">
        <v>26</v>
      </c>
    </row>
    <row r="732" spans="1:17" x14ac:dyDescent="0.25">
      <c r="A732" s="13" t="s">
        <v>1116</v>
      </c>
      <c r="B732" s="14">
        <v>46194</v>
      </c>
      <c r="C732" s="13" t="s">
        <v>51</v>
      </c>
      <c r="D732" s="13" t="s">
        <v>70</v>
      </c>
      <c r="E732" s="13" t="s">
        <v>48</v>
      </c>
      <c r="F732" s="13" t="s">
        <v>61</v>
      </c>
      <c r="G732" s="13" t="s">
        <v>32</v>
      </c>
      <c r="H732" s="13" t="s">
        <v>24</v>
      </c>
      <c r="I732" s="13" t="s">
        <v>34</v>
      </c>
      <c r="J732" s="13">
        <v>5</v>
      </c>
      <c r="K732" s="21">
        <v>442</v>
      </c>
      <c r="L732" s="21">
        <v>2210</v>
      </c>
      <c r="M732" s="23">
        <v>0.05</v>
      </c>
      <c r="N732" s="21">
        <v>110</v>
      </c>
      <c r="O732" s="21">
        <v>2100</v>
      </c>
      <c r="P732" s="13">
        <v>4.9000000000000004</v>
      </c>
      <c r="Q732" s="13" t="s">
        <v>26</v>
      </c>
    </row>
    <row r="733" spans="1:17" x14ac:dyDescent="0.25">
      <c r="A733" s="13" t="s">
        <v>1118</v>
      </c>
      <c r="B733" s="14">
        <v>46194</v>
      </c>
      <c r="C733" s="15" t="s">
        <v>28</v>
      </c>
      <c r="D733" s="13" t="s">
        <v>29</v>
      </c>
      <c r="E733" s="13" t="s">
        <v>71</v>
      </c>
      <c r="F733" s="13" t="s">
        <v>119</v>
      </c>
      <c r="G733" s="13" t="s">
        <v>32</v>
      </c>
      <c r="H733" s="13" t="s">
        <v>33</v>
      </c>
      <c r="I733" s="13" t="s">
        <v>98</v>
      </c>
      <c r="J733" s="13">
        <v>4</v>
      </c>
      <c r="K733" s="21">
        <v>840</v>
      </c>
      <c r="L733" s="21">
        <v>3360</v>
      </c>
      <c r="M733" s="23">
        <v>0.25</v>
      </c>
      <c r="N733" s="21">
        <v>840</v>
      </c>
      <c r="O733" s="21">
        <v>2520</v>
      </c>
      <c r="P733" s="13">
        <v>4.5</v>
      </c>
      <c r="Q733" s="13" t="s">
        <v>26</v>
      </c>
    </row>
    <row r="734" spans="1:17" x14ac:dyDescent="0.25">
      <c r="A734" s="13" t="s">
        <v>1119</v>
      </c>
      <c r="B734" s="14">
        <v>46194</v>
      </c>
      <c r="C734" s="13" t="s">
        <v>40</v>
      </c>
      <c r="D734" s="13" t="s">
        <v>113</v>
      </c>
      <c r="E734" s="13" t="s">
        <v>30</v>
      </c>
      <c r="F734" s="13" t="s">
        <v>61</v>
      </c>
      <c r="G734" s="13" t="s">
        <v>23</v>
      </c>
      <c r="H734" s="13" t="s">
        <v>33</v>
      </c>
      <c r="I734" s="13" t="s">
        <v>84</v>
      </c>
      <c r="J734" s="13">
        <v>4</v>
      </c>
      <c r="K734" s="21">
        <v>344</v>
      </c>
      <c r="L734" s="21">
        <v>1376</v>
      </c>
      <c r="M734" s="23">
        <v>0.1</v>
      </c>
      <c r="N734" s="21">
        <v>138</v>
      </c>
      <c r="O734" s="21">
        <v>1238</v>
      </c>
      <c r="P734" s="13">
        <v>3.4</v>
      </c>
      <c r="Q734" s="13" t="s">
        <v>26</v>
      </c>
    </row>
    <row r="735" spans="1:17" x14ac:dyDescent="0.25">
      <c r="A735" s="13" t="s">
        <v>1120</v>
      </c>
      <c r="B735" s="14">
        <v>46194</v>
      </c>
      <c r="C735" s="13" t="s">
        <v>51</v>
      </c>
      <c r="D735" s="13" t="s">
        <v>97</v>
      </c>
      <c r="E735" s="13" t="s">
        <v>60</v>
      </c>
      <c r="F735" s="13" t="s">
        <v>119</v>
      </c>
      <c r="G735" s="13" t="s">
        <v>23</v>
      </c>
      <c r="H735" s="13" t="s">
        <v>33</v>
      </c>
      <c r="I735" s="13" t="s">
        <v>98</v>
      </c>
      <c r="J735" s="13">
        <v>1</v>
      </c>
      <c r="K735" s="21">
        <v>714</v>
      </c>
      <c r="L735" s="21">
        <v>714</v>
      </c>
      <c r="M735" s="23">
        <v>0.3</v>
      </c>
      <c r="N735" s="21">
        <v>214</v>
      </c>
      <c r="O735" s="21">
        <v>500</v>
      </c>
      <c r="P735" s="13">
        <v>4.5</v>
      </c>
      <c r="Q735" s="13" t="s">
        <v>26</v>
      </c>
    </row>
    <row r="736" spans="1:17" x14ac:dyDescent="0.25">
      <c r="A736" s="13" t="s">
        <v>1121</v>
      </c>
      <c r="B736" s="14">
        <v>46194</v>
      </c>
      <c r="C736" s="13" t="s">
        <v>28</v>
      </c>
      <c r="D736" s="13" t="s">
        <v>77</v>
      </c>
      <c r="E736" s="13" t="s">
        <v>48</v>
      </c>
      <c r="F736" s="13" t="s">
        <v>79</v>
      </c>
      <c r="G736" s="13" t="s">
        <v>44</v>
      </c>
      <c r="H736" s="13" t="s">
        <v>33</v>
      </c>
      <c r="I736" s="13" t="s">
        <v>84</v>
      </c>
      <c r="J736" s="13">
        <v>1</v>
      </c>
      <c r="K736" s="21">
        <v>599</v>
      </c>
      <c r="L736" s="21">
        <v>599</v>
      </c>
      <c r="M736" s="23">
        <v>0.05</v>
      </c>
      <c r="N736" s="21">
        <v>30</v>
      </c>
      <c r="O736" s="21">
        <v>569</v>
      </c>
      <c r="P736" s="13">
        <v>3.8</v>
      </c>
      <c r="Q736" s="13" t="s">
        <v>26</v>
      </c>
    </row>
    <row r="737" spans="1:17" x14ac:dyDescent="0.25">
      <c r="A737" s="13" t="s">
        <v>1122</v>
      </c>
      <c r="B737" s="14">
        <v>46195</v>
      </c>
      <c r="C737" s="13" t="s">
        <v>63</v>
      </c>
      <c r="D737" s="13" t="s">
        <v>134</v>
      </c>
      <c r="E737" s="13" t="s">
        <v>78</v>
      </c>
      <c r="F737" s="13" t="s">
        <v>65</v>
      </c>
      <c r="G737" s="13" t="s">
        <v>32</v>
      </c>
      <c r="H737" s="13" t="s">
        <v>33</v>
      </c>
      <c r="I737" s="13" t="s">
        <v>25</v>
      </c>
      <c r="J737" s="13">
        <v>5</v>
      </c>
      <c r="K737" s="21">
        <v>2043</v>
      </c>
      <c r="L737" s="21">
        <v>10215</v>
      </c>
      <c r="M737" s="23">
        <v>0.1</v>
      </c>
      <c r="N737" s="21">
        <v>1022</v>
      </c>
      <c r="O737" s="21">
        <v>9193</v>
      </c>
      <c r="P737" s="13">
        <v>4.2</v>
      </c>
      <c r="Q737" s="13" t="s">
        <v>26</v>
      </c>
    </row>
    <row r="738" spans="1:17" x14ac:dyDescent="0.25">
      <c r="A738" s="13" t="s">
        <v>1124</v>
      </c>
      <c r="B738" s="14">
        <v>46195</v>
      </c>
      <c r="C738" s="13" t="s">
        <v>51</v>
      </c>
      <c r="D738" s="13" t="s">
        <v>52</v>
      </c>
      <c r="E738" s="13" t="s">
        <v>155</v>
      </c>
      <c r="F738" s="13" t="s">
        <v>43</v>
      </c>
      <c r="G738" s="13" t="s">
        <v>23</v>
      </c>
      <c r="H738" s="13" t="s">
        <v>24</v>
      </c>
      <c r="I738" s="13" t="s">
        <v>25</v>
      </c>
      <c r="J738" s="13">
        <v>1</v>
      </c>
      <c r="K738" s="21">
        <v>655</v>
      </c>
      <c r="L738" s="21">
        <v>655</v>
      </c>
      <c r="M738" s="23">
        <v>0.05</v>
      </c>
      <c r="N738" s="21">
        <v>33</v>
      </c>
      <c r="O738" s="21">
        <v>622</v>
      </c>
      <c r="P738" s="13">
        <v>3.5</v>
      </c>
      <c r="Q738" s="13" t="s">
        <v>75</v>
      </c>
    </row>
    <row r="739" spans="1:17" x14ac:dyDescent="0.25">
      <c r="A739" s="13" t="s">
        <v>1125</v>
      </c>
      <c r="B739" s="14">
        <v>46195</v>
      </c>
      <c r="C739" s="13" t="s">
        <v>19</v>
      </c>
      <c r="D739" s="13" t="s">
        <v>20</v>
      </c>
      <c r="E739" s="13" t="s">
        <v>21</v>
      </c>
      <c r="F739" s="13" t="s">
        <v>72</v>
      </c>
      <c r="G739" s="13" t="s">
        <v>44</v>
      </c>
      <c r="H739" s="13" t="s">
        <v>24</v>
      </c>
      <c r="I739" s="13" t="s">
        <v>34</v>
      </c>
      <c r="J739" s="13">
        <v>4</v>
      </c>
      <c r="K739" s="21">
        <v>807</v>
      </c>
      <c r="L739" s="21">
        <v>3228</v>
      </c>
      <c r="M739" s="23">
        <v>0.1</v>
      </c>
      <c r="N739" s="21">
        <v>323</v>
      </c>
      <c r="O739" s="21">
        <v>2905</v>
      </c>
      <c r="P739" s="13">
        <v>3.7</v>
      </c>
      <c r="Q739" s="13" t="s">
        <v>26</v>
      </c>
    </row>
    <row r="740" spans="1:17" x14ac:dyDescent="0.25">
      <c r="A740" s="13" t="s">
        <v>1126</v>
      </c>
      <c r="B740" s="14">
        <v>46196</v>
      </c>
      <c r="C740" s="13" t="s">
        <v>91</v>
      </c>
      <c r="D740" s="13" t="s">
        <v>110</v>
      </c>
      <c r="E740" s="13" t="s">
        <v>82</v>
      </c>
      <c r="F740" s="13" t="s">
        <v>65</v>
      </c>
      <c r="G740" s="13" t="s">
        <v>23</v>
      </c>
      <c r="H740" s="13" t="s">
        <v>24</v>
      </c>
      <c r="I740" s="13" t="s">
        <v>98</v>
      </c>
      <c r="J740" s="13">
        <v>5</v>
      </c>
      <c r="K740" s="21">
        <v>2343</v>
      </c>
      <c r="L740" s="21">
        <v>11715</v>
      </c>
      <c r="M740" s="23">
        <v>0.15</v>
      </c>
      <c r="N740" s="21">
        <v>1757</v>
      </c>
      <c r="O740" s="21">
        <v>9958</v>
      </c>
      <c r="P740" s="13">
        <v>4.5</v>
      </c>
      <c r="Q740" s="13" t="s">
        <v>26</v>
      </c>
    </row>
    <row r="741" spans="1:17" x14ac:dyDescent="0.25">
      <c r="A741" s="13" t="s">
        <v>1128</v>
      </c>
      <c r="B741" s="14">
        <v>46196</v>
      </c>
      <c r="C741" s="13" t="s">
        <v>19</v>
      </c>
      <c r="D741" s="13" t="s">
        <v>20</v>
      </c>
      <c r="E741" s="13" t="s">
        <v>30</v>
      </c>
      <c r="F741" s="13" t="s">
        <v>43</v>
      </c>
      <c r="G741" s="13" t="s">
        <v>23</v>
      </c>
      <c r="H741" s="13" t="s">
        <v>33</v>
      </c>
      <c r="I741" s="13" t="s">
        <v>25</v>
      </c>
      <c r="J741" s="13">
        <v>3</v>
      </c>
      <c r="K741" s="21">
        <v>624</v>
      </c>
      <c r="L741" s="21">
        <v>1872</v>
      </c>
      <c r="M741" s="23">
        <v>0.25</v>
      </c>
      <c r="N741" s="21">
        <v>468</v>
      </c>
      <c r="O741" s="21">
        <v>1404</v>
      </c>
      <c r="P741" s="13">
        <v>4.5999999999999996</v>
      </c>
      <c r="Q741" s="13" t="s">
        <v>26</v>
      </c>
    </row>
    <row r="742" spans="1:17" x14ac:dyDescent="0.25">
      <c r="A742" s="13" t="s">
        <v>1129</v>
      </c>
      <c r="B742" s="14">
        <v>46196</v>
      </c>
      <c r="C742" s="13" t="s">
        <v>91</v>
      </c>
      <c r="D742" s="13" t="s">
        <v>92</v>
      </c>
      <c r="E742" s="13" t="s">
        <v>30</v>
      </c>
      <c r="F742" s="13" t="s">
        <v>119</v>
      </c>
      <c r="G742" s="13" t="s">
        <v>32</v>
      </c>
      <c r="H742" s="13" t="s">
        <v>33</v>
      </c>
      <c r="I742" s="13" t="s">
        <v>45</v>
      </c>
      <c r="J742" s="13">
        <v>2</v>
      </c>
      <c r="K742" s="21">
        <v>2919</v>
      </c>
      <c r="L742" s="21">
        <v>5838</v>
      </c>
      <c r="M742" s="23">
        <v>0.3</v>
      </c>
      <c r="N742" s="21">
        <v>1751</v>
      </c>
      <c r="O742" s="21">
        <v>4087</v>
      </c>
      <c r="P742" s="13">
        <v>3.6</v>
      </c>
      <c r="Q742" s="13" t="s">
        <v>26</v>
      </c>
    </row>
    <row r="743" spans="1:17" x14ac:dyDescent="0.25">
      <c r="A743" s="13" t="s">
        <v>1130</v>
      </c>
      <c r="B743" s="14">
        <v>46197</v>
      </c>
      <c r="C743" s="13" t="s">
        <v>51</v>
      </c>
      <c r="D743" s="13" t="s">
        <v>97</v>
      </c>
      <c r="E743" s="13" t="s">
        <v>155</v>
      </c>
      <c r="F743" s="13" t="s">
        <v>61</v>
      </c>
      <c r="G743" s="13" t="s">
        <v>32</v>
      </c>
      <c r="H743" s="13" t="s">
        <v>24</v>
      </c>
      <c r="I743" s="13" t="s">
        <v>84</v>
      </c>
      <c r="J743" s="13">
        <v>5</v>
      </c>
      <c r="K743" s="21">
        <v>200</v>
      </c>
      <c r="L743" s="21">
        <v>1000</v>
      </c>
      <c r="M743" s="23">
        <v>0.3</v>
      </c>
      <c r="N743" s="21">
        <v>300</v>
      </c>
      <c r="O743" s="21">
        <v>700</v>
      </c>
      <c r="P743" s="13">
        <v>4.5999999999999996</v>
      </c>
      <c r="Q743" s="13" t="s">
        <v>26</v>
      </c>
    </row>
    <row r="744" spans="1:17" x14ac:dyDescent="0.25">
      <c r="A744" s="13" t="s">
        <v>1132</v>
      </c>
      <c r="B744" s="14">
        <v>46197</v>
      </c>
      <c r="C744" s="13" t="s">
        <v>28</v>
      </c>
      <c r="D744" s="13" t="s">
        <v>29</v>
      </c>
      <c r="E744" s="13" t="s">
        <v>48</v>
      </c>
      <c r="F744" s="13" t="s">
        <v>119</v>
      </c>
      <c r="G744" s="13" t="s">
        <v>23</v>
      </c>
      <c r="H744" s="13" t="s">
        <v>33</v>
      </c>
      <c r="I744" s="13" t="s">
        <v>98</v>
      </c>
      <c r="J744" s="13">
        <v>1</v>
      </c>
      <c r="K744" s="21">
        <v>755</v>
      </c>
      <c r="L744" s="21">
        <v>755</v>
      </c>
      <c r="M744" s="23">
        <v>0.25</v>
      </c>
      <c r="N744" s="21">
        <v>189</v>
      </c>
      <c r="O744" s="21">
        <v>566</v>
      </c>
      <c r="P744" s="13">
        <v>4.7</v>
      </c>
      <c r="Q744" s="13" t="s">
        <v>26</v>
      </c>
    </row>
    <row r="745" spans="1:17" x14ac:dyDescent="0.25">
      <c r="A745" s="13" t="s">
        <v>1133</v>
      </c>
      <c r="B745" s="14">
        <v>46198</v>
      </c>
      <c r="C745" s="13" t="s">
        <v>51</v>
      </c>
      <c r="D745" s="13" t="s">
        <v>97</v>
      </c>
      <c r="E745" s="13" t="s">
        <v>101</v>
      </c>
      <c r="F745" s="13" t="s">
        <v>72</v>
      </c>
      <c r="G745" s="13" t="s">
        <v>23</v>
      </c>
      <c r="H745" s="13" t="s">
        <v>24</v>
      </c>
      <c r="I745" s="13" t="s">
        <v>84</v>
      </c>
      <c r="J745" s="13">
        <v>4</v>
      </c>
      <c r="K745" s="21">
        <v>219</v>
      </c>
      <c r="L745" s="21">
        <v>876</v>
      </c>
      <c r="M745" s="23">
        <v>0.2</v>
      </c>
      <c r="N745" s="21">
        <v>175</v>
      </c>
      <c r="O745" s="21">
        <v>701</v>
      </c>
      <c r="P745" s="13">
        <v>3.6</v>
      </c>
      <c r="Q745" s="13" t="s">
        <v>26</v>
      </c>
    </row>
    <row r="746" spans="1:17" x14ac:dyDescent="0.25">
      <c r="A746" s="13" t="s">
        <v>1135</v>
      </c>
      <c r="B746" s="14">
        <v>46199</v>
      </c>
      <c r="C746" s="13" t="s">
        <v>28</v>
      </c>
      <c r="D746" s="13" t="s">
        <v>77</v>
      </c>
      <c r="E746" s="13" t="s">
        <v>71</v>
      </c>
      <c r="F746" s="13" t="s">
        <v>83</v>
      </c>
      <c r="G746" s="13" t="s">
        <v>23</v>
      </c>
      <c r="H746" s="13" t="s">
        <v>33</v>
      </c>
      <c r="I746" s="13" t="s">
        <v>34</v>
      </c>
      <c r="J746" s="13">
        <v>1</v>
      </c>
      <c r="K746" s="21">
        <v>636</v>
      </c>
      <c r="L746" s="21">
        <v>636</v>
      </c>
      <c r="M746" s="23">
        <v>0.25</v>
      </c>
      <c r="N746" s="21">
        <v>159</v>
      </c>
      <c r="O746" s="21">
        <v>477</v>
      </c>
      <c r="P746" s="13">
        <v>3.3</v>
      </c>
      <c r="Q746" s="13" t="s">
        <v>26</v>
      </c>
    </row>
    <row r="747" spans="1:17" x14ac:dyDescent="0.25">
      <c r="A747" s="13" t="s">
        <v>1137</v>
      </c>
      <c r="B747" s="14">
        <v>46199</v>
      </c>
      <c r="C747" s="13" t="s">
        <v>63</v>
      </c>
      <c r="D747" s="13" t="s">
        <v>143</v>
      </c>
      <c r="E747" s="13" t="s">
        <v>78</v>
      </c>
      <c r="F747" s="13" t="s">
        <v>22</v>
      </c>
      <c r="G747" s="13" t="s">
        <v>32</v>
      </c>
      <c r="H747" s="13" t="s">
        <v>24</v>
      </c>
      <c r="I747" s="13" t="s">
        <v>34</v>
      </c>
      <c r="J747" s="13">
        <v>5</v>
      </c>
      <c r="K747" s="21">
        <v>1542</v>
      </c>
      <c r="L747" s="21">
        <v>7710</v>
      </c>
      <c r="M747" s="23">
        <v>0.05</v>
      </c>
      <c r="N747" s="21">
        <v>386</v>
      </c>
      <c r="O747" s="21">
        <v>7324</v>
      </c>
      <c r="P747" s="13">
        <v>3.9</v>
      </c>
      <c r="Q747" s="13" t="s">
        <v>26</v>
      </c>
    </row>
    <row r="748" spans="1:17" x14ac:dyDescent="0.25">
      <c r="A748" s="13" t="s">
        <v>1138</v>
      </c>
      <c r="B748" s="14">
        <v>46200</v>
      </c>
      <c r="C748" s="13" t="s">
        <v>91</v>
      </c>
      <c r="D748" s="13" t="s">
        <v>92</v>
      </c>
      <c r="E748" s="13" t="s">
        <v>82</v>
      </c>
      <c r="F748" s="13" t="s">
        <v>83</v>
      </c>
      <c r="G748" s="13" t="s">
        <v>23</v>
      </c>
      <c r="H748" s="13" t="s">
        <v>33</v>
      </c>
      <c r="I748" s="13" t="s">
        <v>98</v>
      </c>
      <c r="J748" s="13">
        <v>4</v>
      </c>
      <c r="K748" s="21">
        <v>1538</v>
      </c>
      <c r="L748" s="21">
        <v>6152</v>
      </c>
      <c r="M748" s="23">
        <v>0.05</v>
      </c>
      <c r="N748" s="21">
        <v>308</v>
      </c>
      <c r="O748" s="21">
        <v>5844</v>
      </c>
      <c r="P748" s="13">
        <v>4.7</v>
      </c>
      <c r="Q748" s="13" t="s">
        <v>26</v>
      </c>
    </row>
    <row r="749" spans="1:17" x14ac:dyDescent="0.25">
      <c r="A749" s="13" t="s">
        <v>1140</v>
      </c>
      <c r="B749" s="14">
        <v>46201</v>
      </c>
      <c r="C749" s="13" t="s">
        <v>51</v>
      </c>
      <c r="D749" s="13" t="s">
        <v>97</v>
      </c>
      <c r="E749" s="13" t="s">
        <v>21</v>
      </c>
      <c r="F749" s="13" t="s">
        <v>79</v>
      </c>
      <c r="G749" s="13" t="s">
        <v>23</v>
      </c>
      <c r="H749" s="13" t="s">
        <v>33</v>
      </c>
      <c r="I749" s="13" t="s">
        <v>34</v>
      </c>
      <c r="J749" s="13">
        <v>3</v>
      </c>
      <c r="K749" s="21">
        <v>587</v>
      </c>
      <c r="L749" s="21">
        <v>1761</v>
      </c>
      <c r="M749" s="23">
        <v>0.15</v>
      </c>
      <c r="N749" s="21">
        <v>264</v>
      </c>
      <c r="O749" s="21">
        <v>1497</v>
      </c>
      <c r="P749" s="13">
        <v>4.3</v>
      </c>
      <c r="Q749" s="13" t="s">
        <v>26</v>
      </c>
    </row>
    <row r="750" spans="1:17" x14ac:dyDescent="0.25">
      <c r="A750" s="13" t="s">
        <v>1142</v>
      </c>
      <c r="B750" s="14">
        <v>46201</v>
      </c>
      <c r="C750" s="13" t="s">
        <v>28</v>
      </c>
      <c r="D750" s="13" t="s">
        <v>36</v>
      </c>
      <c r="E750" s="13" t="s">
        <v>37</v>
      </c>
      <c r="F750" s="13" t="s">
        <v>43</v>
      </c>
      <c r="G750" s="13" t="s">
        <v>23</v>
      </c>
      <c r="H750" s="13" t="s">
        <v>104</v>
      </c>
      <c r="I750" s="13" t="s">
        <v>98</v>
      </c>
      <c r="J750" s="13">
        <v>2</v>
      </c>
      <c r="K750" s="21">
        <v>600</v>
      </c>
      <c r="L750" s="21">
        <v>1200</v>
      </c>
      <c r="M750" s="23">
        <v>0</v>
      </c>
      <c r="N750" s="21">
        <v>0</v>
      </c>
      <c r="O750" s="21">
        <v>1200</v>
      </c>
      <c r="P750" s="13">
        <v>4.9000000000000004</v>
      </c>
      <c r="Q750" s="13" t="s">
        <v>75</v>
      </c>
    </row>
    <row r="751" spans="1:17" x14ac:dyDescent="0.25">
      <c r="A751" s="13" t="s">
        <v>1143</v>
      </c>
      <c r="B751" s="14">
        <v>46202</v>
      </c>
      <c r="C751" s="13" t="s">
        <v>40</v>
      </c>
      <c r="D751" s="13" t="s">
        <v>41</v>
      </c>
      <c r="E751" s="13" t="s">
        <v>42</v>
      </c>
      <c r="F751" s="13" t="s">
        <v>31</v>
      </c>
      <c r="G751" s="13" t="s">
        <v>23</v>
      </c>
      <c r="H751" s="13" t="s">
        <v>24</v>
      </c>
      <c r="I751" s="13" t="s">
        <v>45</v>
      </c>
      <c r="J751" s="13">
        <v>1</v>
      </c>
      <c r="K751" s="21">
        <v>569</v>
      </c>
      <c r="L751" s="21">
        <v>569</v>
      </c>
      <c r="M751" s="23">
        <v>0.3</v>
      </c>
      <c r="N751" s="21">
        <v>171</v>
      </c>
      <c r="O751" s="21">
        <v>398</v>
      </c>
      <c r="P751" s="13">
        <v>4.8</v>
      </c>
      <c r="Q751" s="13" t="s">
        <v>26</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DF9D-D23C-4E8A-87DD-3E138F6C6974}">
  <dimension ref="B2:U115"/>
  <sheetViews>
    <sheetView topLeftCell="O24" zoomScale="73" workbookViewId="0">
      <selection activeCell="T35" sqref="T35"/>
    </sheetView>
  </sheetViews>
  <sheetFormatPr defaultRowHeight="15" x14ac:dyDescent="0.25"/>
  <cols>
    <col min="2" max="2" width="17.7109375" bestFit="1" customWidth="1"/>
    <col min="3" max="3" width="21.7109375" bestFit="1" customWidth="1"/>
    <col min="4" max="4" width="27.7109375" bestFit="1" customWidth="1"/>
    <col min="20" max="20" width="17.7109375" bestFit="1" customWidth="1"/>
    <col min="21" max="21" width="17" bestFit="1" customWidth="1"/>
    <col min="22" max="22" width="23.5703125" bestFit="1" customWidth="1"/>
  </cols>
  <sheetData>
    <row r="2" spans="2:3" x14ac:dyDescent="0.25">
      <c r="B2" t="s">
        <v>1196</v>
      </c>
    </row>
    <row r="3" spans="2:3" x14ac:dyDescent="0.25">
      <c r="B3" s="11" t="s">
        <v>1175</v>
      </c>
      <c r="C3" t="s">
        <v>1177</v>
      </c>
    </row>
    <row r="4" spans="2:3" x14ac:dyDescent="0.25">
      <c r="B4" s="12" t="s">
        <v>1178</v>
      </c>
      <c r="C4">
        <v>161556</v>
      </c>
    </row>
    <row r="5" spans="2:3" x14ac:dyDescent="0.25">
      <c r="B5" s="12" t="s">
        <v>1179</v>
      </c>
      <c r="C5">
        <v>109091</v>
      </c>
    </row>
    <row r="6" spans="2:3" x14ac:dyDescent="0.25">
      <c r="B6" s="12" t="s">
        <v>1180</v>
      </c>
      <c r="C6">
        <v>127770</v>
      </c>
    </row>
    <row r="7" spans="2:3" x14ac:dyDescent="0.25">
      <c r="B7" s="12" t="s">
        <v>1181</v>
      </c>
      <c r="C7">
        <v>137619</v>
      </c>
    </row>
    <row r="8" spans="2:3" x14ac:dyDescent="0.25">
      <c r="B8" s="12" t="s">
        <v>1182</v>
      </c>
      <c r="C8">
        <v>181959</v>
      </c>
    </row>
    <row r="9" spans="2:3" x14ac:dyDescent="0.25">
      <c r="B9" s="12" t="s">
        <v>1183</v>
      </c>
      <c r="C9">
        <v>147218</v>
      </c>
    </row>
    <row r="10" spans="2:3" x14ac:dyDescent="0.25">
      <c r="B10" s="12" t="s">
        <v>1184</v>
      </c>
      <c r="C10">
        <v>133870</v>
      </c>
    </row>
    <row r="11" spans="2:3" x14ac:dyDescent="0.25">
      <c r="B11" s="12" t="s">
        <v>1185</v>
      </c>
      <c r="C11">
        <v>209278</v>
      </c>
    </row>
    <row r="12" spans="2:3" x14ac:dyDescent="0.25">
      <c r="B12" s="12" t="s">
        <v>1186</v>
      </c>
      <c r="C12">
        <v>217240</v>
      </c>
    </row>
    <row r="13" spans="2:3" x14ac:dyDescent="0.25">
      <c r="B13" s="12" t="s">
        <v>1187</v>
      </c>
      <c r="C13">
        <v>176944</v>
      </c>
    </row>
    <row r="14" spans="2:3" x14ac:dyDescent="0.25">
      <c r="B14" s="12" t="s">
        <v>1188</v>
      </c>
      <c r="C14">
        <v>113563</v>
      </c>
    </row>
    <row r="15" spans="2:3" x14ac:dyDescent="0.25">
      <c r="B15" s="12" t="s">
        <v>1189</v>
      </c>
      <c r="C15">
        <v>190538</v>
      </c>
    </row>
    <row r="16" spans="2:3" x14ac:dyDescent="0.25">
      <c r="B16" s="12" t="s">
        <v>1176</v>
      </c>
      <c r="C16">
        <v>1906646</v>
      </c>
    </row>
    <row r="22" spans="2:3" x14ac:dyDescent="0.25">
      <c r="B22" t="s">
        <v>1197</v>
      </c>
    </row>
    <row r="23" spans="2:3" x14ac:dyDescent="0.25">
      <c r="B23" s="11" t="s">
        <v>1175</v>
      </c>
      <c r="C23" t="s">
        <v>1177</v>
      </c>
    </row>
    <row r="24" spans="2:3" x14ac:dyDescent="0.25">
      <c r="B24" s="12" t="s">
        <v>24</v>
      </c>
      <c r="C24">
        <v>780722</v>
      </c>
    </row>
    <row r="25" spans="2:3" x14ac:dyDescent="0.25">
      <c r="B25" s="12" t="s">
        <v>104</v>
      </c>
      <c r="C25">
        <v>294093</v>
      </c>
    </row>
    <row r="26" spans="2:3" x14ac:dyDescent="0.25">
      <c r="B26" s="12" t="s">
        <v>33</v>
      </c>
      <c r="C26">
        <v>831831</v>
      </c>
    </row>
    <row r="27" spans="2:3" x14ac:dyDescent="0.25">
      <c r="B27" s="12" t="s">
        <v>1176</v>
      </c>
      <c r="C27">
        <v>1906646</v>
      </c>
    </row>
    <row r="31" spans="2:3" x14ac:dyDescent="0.25">
      <c r="B31" t="s">
        <v>1198</v>
      </c>
    </row>
    <row r="32" spans="2:3" x14ac:dyDescent="0.25">
      <c r="B32" s="11" t="s">
        <v>1175</v>
      </c>
      <c r="C32" t="s">
        <v>1177</v>
      </c>
    </row>
    <row r="33" spans="2:21" x14ac:dyDescent="0.25">
      <c r="B33" s="12" t="s">
        <v>45</v>
      </c>
      <c r="C33">
        <v>400803</v>
      </c>
    </row>
    <row r="34" spans="2:21" x14ac:dyDescent="0.25">
      <c r="B34" s="12" t="s">
        <v>84</v>
      </c>
      <c r="C34">
        <v>365038</v>
      </c>
      <c r="T34" s="11" t="s">
        <v>1175</v>
      </c>
      <c r="U34" t="s">
        <v>1194</v>
      </c>
    </row>
    <row r="35" spans="2:21" x14ac:dyDescent="0.25">
      <c r="B35" s="12" t="s">
        <v>34</v>
      </c>
      <c r="C35">
        <v>352917</v>
      </c>
      <c r="T35" s="12" t="s">
        <v>53</v>
      </c>
      <c r="U35">
        <v>198</v>
      </c>
    </row>
    <row r="36" spans="2:21" x14ac:dyDescent="0.25">
      <c r="B36" s="12" t="s">
        <v>25</v>
      </c>
      <c r="C36">
        <v>361406</v>
      </c>
      <c r="T36" s="12" t="s">
        <v>101</v>
      </c>
      <c r="U36">
        <v>177</v>
      </c>
    </row>
    <row r="37" spans="2:21" x14ac:dyDescent="0.25">
      <c r="B37" s="12" t="s">
        <v>98</v>
      </c>
      <c r="C37">
        <v>426482</v>
      </c>
      <c r="T37" s="12" t="s">
        <v>48</v>
      </c>
      <c r="U37">
        <v>192</v>
      </c>
    </row>
    <row r="38" spans="2:21" x14ac:dyDescent="0.25">
      <c r="B38" s="12" t="s">
        <v>1176</v>
      </c>
      <c r="C38">
        <v>1906646</v>
      </c>
      <c r="T38" s="12" t="s">
        <v>71</v>
      </c>
      <c r="U38">
        <v>165</v>
      </c>
    </row>
    <row r="39" spans="2:21" x14ac:dyDescent="0.25">
      <c r="T39" s="12" t="s">
        <v>37</v>
      </c>
      <c r="U39">
        <v>197</v>
      </c>
    </row>
    <row r="40" spans="2:21" x14ac:dyDescent="0.25">
      <c r="T40" s="12" t="s">
        <v>155</v>
      </c>
      <c r="U40">
        <v>190</v>
      </c>
    </row>
    <row r="41" spans="2:21" x14ac:dyDescent="0.25">
      <c r="T41" s="12" t="s">
        <v>82</v>
      </c>
      <c r="U41">
        <v>189</v>
      </c>
    </row>
    <row r="42" spans="2:21" x14ac:dyDescent="0.25">
      <c r="B42" t="s">
        <v>1199</v>
      </c>
      <c r="T42" s="12" t="s">
        <v>60</v>
      </c>
      <c r="U42">
        <v>235</v>
      </c>
    </row>
    <row r="43" spans="2:21" x14ac:dyDescent="0.25">
      <c r="B43" s="11" t="s">
        <v>1175</v>
      </c>
      <c r="C43" t="s">
        <v>1190</v>
      </c>
      <c r="T43" s="12" t="s">
        <v>42</v>
      </c>
      <c r="U43">
        <v>205</v>
      </c>
    </row>
    <row r="44" spans="2:21" x14ac:dyDescent="0.25">
      <c r="B44" s="12" t="s">
        <v>26</v>
      </c>
      <c r="C44">
        <v>695</v>
      </c>
      <c r="T44" s="12" t="s">
        <v>78</v>
      </c>
      <c r="U44">
        <v>222</v>
      </c>
    </row>
    <row r="45" spans="2:21" x14ac:dyDescent="0.25">
      <c r="B45" s="12" t="s">
        <v>75</v>
      </c>
      <c r="C45">
        <v>55</v>
      </c>
      <c r="T45" s="12" t="s">
        <v>30</v>
      </c>
      <c r="U45">
        <v>178</v>
      </c>
    </row>
    <row r="46" spans="2:21" x14ac:dyDescent="0.25">
      <c r="B46" s="12" t="s">
        <v>1176</v>
      </c>
      <c r="C46">
        <v>750</v>
      </c>
      <c r="T46" s="12" t="s">
        <v>21</v>
      </c>
      <c r="U46">
        <v>176</v>
      </c>
    </row>
    <row r="47" spans="2:21" x14ac:dyDescent="0.25">
      <c r="T47" s="12" t="s">
        <v>1176</v>
      </c>
      <c r="U47">
        <v>2324</v>
      </c>
    </row>
    <row r="50" spans="2:3" x14ac:dyDescent="0.25">
      <c r="B50" t="s">
        <v>1200</v>
      </c>
    </row>
    <row r="51" spans="2:3" x14ac:dyDescent="0.25">
      <c r="B51" s="11" t="s">
        <v>1175</v>
      </c>
      <c r="C51" t="s">
        <v>1191</v>
      </c>
    </row>
    <row r="52" spans="2:3" x14ac:dyDescent="0.25">
      <c r="B52" s="12" t="s">
        <v>21</v>
      </c>
      <c r="C52" s="18">
        <v>4.1018181818181816</v>
      </c>
    </row>
    <row r="53" spans="2:3" x14ac:dyDescent="0.25">
      <c r="B53" s="12" t="s">
        <v>30</v>
      </c>
      <c r="C53" s="18">
        <v>4.1017857142857137</v>
      </c>
    </row>
    <row r="54" spans="2:3" x14ac:dyDescent="0.25">
      <c r="B54" s="12" t="s">
        <v>78</v>
      </c>
      <c r="C54" s="18">
        <v>4.0514285714285707</v>
      </c>
    </row>
    <row r="55" spans="2:3" x14ac:dyDescent="0.25">
      <c r="B55" s="12" t="s">
        <v>42</v>
      </c>
      <c r="C55" s="18">
        <v>4.2014285714285711</v>
      </c>
    </row>
    <row r="56" spans="2:3" x14ac:dyDescent="0.25">
      <c r="B56" s="12" t="s">
        <v>60</v>
      </c>
      <c r="C56" s="18">
        <v>4.1513513513513516</v>
      </c>
    </row>
    <row r="57" spans="2:3" x14ac:dyDescent="0.25">
      <c r="B57" s="12" t="s">
        <v>82</v>
      </c>
      <c r="C57" s="18">
        <v>4.125</v>
      </c>
    </row>
    <row r="58" spans="2:3" x14ac:dyDescent="0.25">
      <c r="B58" s="12" t="s">
        <v>155</v>
      </c>
      <c r="C58" s="18">
        <v>4.1344262295081977</v>
      </c>
    </row>
    <row r="59" spans="2:3" x14ac:dyDescent="0.25">
      <c r="B59" s="12" t="s">
        <v>37</v>
      </c>
      <c r="C59" s="18">
        <v>4.011111111111112</v>
      </c>
    </row>
    <row r="60" spans="2:3" x14ac:dyDescent="0.25">
      <c r="B60" s="12" t="s">
        <v>71</v>
      </c>
      <c r="C60" s="18">
        <v>4.1875000000000009</v>
      </c>
    </row>
    <row r="61" spans="2:3" x14ac:dyDescent="0.25">
      <c r="B61" s="12" t="s">
        <v>48</v>
      </c>
      <c r="C61" s="18">
        <v>4.1049180327868857</v>
      </c>
    </row>
    <row r="62" spans="2:3" x14ac:dyDescent="0.25">
      <c r="B62" s="12" t="s">
        <v>101</v>
      </c>
      <c r="C62" s="18">
        <v>4.1472727272727266</v>
      </c>
    </row>
    <row r="63" spans="2:3" x14ac:dyDescent="0.25">
      <c r="B63" s="12" t="s">
        <v>53</v>
      </c>
      <c r="C63" s="18">
        <v>4.3014492753623186</v>
      </c>
    </row>
    <row r="64" spans="2:3" x14ac:dyDescent="0.25">
      <c r="B64" s="12" t="s">
        <v>1176</v>
      </c>
      <c r="C64" s="18">
        <v>4.1365333333333396</v>
      </c>
    </row>
    <row r="68" spans="2:4" x14ac:dyDescent="0.25">
      <c r="B68" t="s">
        <v>1201</v>
      </c>
    </row>
    <row r="69" spans="2:4" x14ac:dyDescent="0.25">
      <c r="B69" s="11" t="s">
        <v>1175</v>
      </c>
      <c r="C69" t="s">
        <v>1193</v>
      </c>
      <c r="D69" t="s">
        <v>1192</v>
      </c>
    </row>
    <row r="70" spans="2:4" x14ac:dyDescent="0.25">
      <c r="B70" s="12" t="s">
        <v>21</v>
      </c>
      <c r="C70" s="18">
        <v>17.181818181818183</v>
      </c>
      <c r="D70" s="19">
        <v>28658</v>
      </c>
    </row>
    <row r="71" spans="2:4" x14ac:dyDescent="0.25">
      <c r="B71" s="12" t="s">
        <v>30</v>
      </c>
      <c r="C71" s="18">
        <v>16.607142857142858</v>
      </c>
      <c r="D71" s="19">
        <v>29959</v>
      </c>
    </row>
    <row r="72" spans="2:4" x14ac:dyDescent="0.25">
      <c r="B72" s="12" t="s">
        <v>78</v>
      </c>
      <c r="C72" s="18">
        <v>11.785714285714286</v>
      </c>
      <c r="D72" s="19">
        <v>27262</v>
      </c>
    </row>
    <row r="73" spans="2:4" x14ac:dyDescent="0.25">
      <c r="B73" s="12" t="s">
        <v>42</v>
      </c>
      <c r="C73" s="18">
        <v>13</v>
      </c>
      <c r="D73" s="19">
        <v>30644</v>
      </c>
    </row>
    <row r="74" spans="2:4" x14ac:dyDescent="0.25">
      <c r="B74" s="12" t="s">
        <v>60</v>
      </c>
      <c r="C74" s="18">
        <v>15.54054054054054</v>
      </c>
      <c r="D74" s="19">
        <v>32475</v>
      </c>
    </row>
    <row r="75" spans="2:4" x14ac:dyDescent="0.25">
      <c r="B75" s="12" t="s">
        <v>82</v>
      </c>
      <c r="C75" s="18">
        <v>14.416666666666666</v>
      </c>
      <c r="D75" s="19">
        <v>24770</v>
      </c>
    </row>
    <row r="76" spans="2:4" x14ac:dyDescent="0.25">
      <c r="B76" s="12" t="s">
        <v>155</v>
      </c>
      <c r="C76" s="18">
        <v>14.754098360655737</v>
      </c>
      <c r="D76" s="19">
        <v>30844</v>
      </c>
    </row>
    <row r="77" spans="2:4" x14ac:dyDescent="0.25">
      <c r="B77" s="12" t="s">
        <v>37</v>
      </c>
      <c r="C77" s="18">
        <v>14.126984126984127</v>
      </c>
      <c r="D77" s="19">
        <v>22926</v>
      </c>
    </row>
    <row r="78" spans="2:4" x14ac:dyDescent="0.25">
      <c r="B78" s="12" t="s">
        <v>71</v>
      </c>
      <c r="C78" s="18">
        <v>15</v>
      </c>
      <c r="D78" s="19">
        <v>26342</v>
      </c>
    </row>
    <row r="79" spans="2:4" x14ac:dyDescent="0.25">
      <c r="B79" s="12" t="s">
        <v>48</v>
      </c>
      <c r="C79" s="18">
        <v>16.885245901639344</v>
      </c>
      <c r="D79" s="19">
        <v>25314</v>
      </c>
    </row>
    <row r="80" spans="2:4" x14ac:dyDescent="0.25">
      <c r="B80" s="12" t="s">
        <v>101</v>
      </c>
      <c r="C80" s="18">
        <v>13.545454545454545</v>
      </c>
      <c r="D80" s="19">
        <v>27497</v>
      </c>
    </row>
    <row r="81" spans="2:4" x14ac:dyDescent="0.25">
      <c r="B81" s="12" t="s">
        <v>53</v>
      </c>
      <c r="C81" s="18">
        <v>15.797101449275363</v>
      </c>
      <c r="D81" s="19">
        <v>32158</v>
      </c>
    </row>
    <row r="82" spans="2:4" x14ac:dyDescent="0.25">
      <c r="B82" s="12" t="s">
        <v>1176</v>
      </c>
      <c r="C82" s="18">
        <v>14.826666666666666</v>
      </c>
      <c r="D82" s="19">
        <v>338849</v>
      </c>
    </row>
    <row r="87" spans="2:4" x14ac:dyDescent="0.25">
      <c r="B87" t="s">
        <v>1202</v>
      </c>
    </row>
    <row r="88" spans="2:4" x14ac:dyDescent="0.25">
      <c r="B88" s="11" t="s">
        <v>1175</v>
      </c>
      <c r="C88" t="s">
        <v>1194</v>
      </c>
    </row>
    <row r="89" spans="2:4" x14ac:dyDescent="0.25">
      <c r="B89" s="12" t="s">
        <v>128</v>
      </c>
      <c r="C89">
        <v>111</v>
      </c>
    </row>
    <row r="90" spans="2:4" x14ac:dyDescent="0.25">
      <c r="B90" s="12" t="s">
        <v>125</v>
      </c>
      <c r="C90">
        <v>112</v>
      </c>
    </row>
    <row r="91" spans="2:4" x14ac:dyDescent="0.25">
      <c r="B91" s="12" t="s">
        <v>143</v>
      </c>
      <c r="C91">
        <v>112</v>
      </c>
    </row>
    <row r="92" spans="2:4" x14ac:dyDescent="0.25">
      <c r="B92" s="12" t="s">
        <v>134</v>
      </c>
      <c r="C92">
        <v>126</v>
      </c>
    </row>
    <row r="93" spans="2:4" x14ac:dyDescent="0.25">
      <c r="B93" s="12" t="s">
        <v>110</v>
      </c>
      <c r="C93">
        <v>128</v>
      </c>
    </row>
    <row r="94" spans="2:4" x14ac:dyDescent="0.25">
      <c r="B94" s="12" t="s">
        <v>92</v>
      </c>
      <c r="C94">
        <v>134</v>
      </c>
    </row>
    <row r="95" spans="2:4" x14ac:dyDescent="0.25">
      <c r="B95" s="12" t="s">
        <v>70</v>
      </c>
      <c r="C95">
        <v>140</v>
      </c>
    </row>
    <row r="96" spans="2:4" x14ac:dyDescent="0.25">
      <c r="B96" s="12" t="s">
        <v>97</v>
      </c>
      <c r="C96">
        <v>141</v>
      </c>
    </row>
    <row r="97" spans="2:3" x14ac:dyDescent="0.25">
      <c r="B97" s="12" t="s">
        <v>52</v>
      </c>
      <c r="C97">
        <v>146</v>
      </c>
    </row>
    <row r="98" spans="2:3" x14ac:dyDescent="0.25">
      <c r="B98" s="12" t="s">
        <v>64</v>
      </c>
      <c r="C98">
        <v>148</v>
      </c>
    </row>
    <row r="99" spans="2:3" x14ac:dyDescent="0.25">
      <c r="B99" s="12" t="s">
        <v>1176</v>
      </c>
      <c r="C99">
        <v>1298</v>
      </c>
    </row>
    <row r="103" spans="2:3" x14ac:dyDescent="0.25">
      <c r="B103" t="s">
        <v>1195</v>
      </c>
    </row>
    <row r="104" spans="2:3" x14ac:dyDescent="0.25">
      <c r="B104" s="11" t="s">
        <v>1175</v>
      </c>
      <c r="C104" t="s">
        <v>1177</v>
      </c>
    </row>
    <row r="105" spans="2:3" x14ac:dyDescent="0.25">
      <c r="B105" s="12" t="s">
        <v>61</v>
      </c>
      <c r="C105">
        <v>198196</v>
      </c>
    </row>
    <row r="106" spans="2:3" x14ac:dyDescent="0.25">
      <c r="B106" s="12" t="s">
        <v>31</v>
      </c>
      <c r="C106">
        <v>224419</v>
      </c>
    </row>
    <row r="107" spans="2:3" x14ac:dyDescent="0.25">
      <c r="B107" s="12" t="s">
        <v>65</v>
      </c>
      <c r="C107">
        <v>168904</v>
      </c>
    </row>
    <row r="108" spans="2:3" x14ac:dyDescent="0.25">
      <c r="B108" s="12" t="s">
        <v>72</v>
      </c>
      <c r="C108">
        <v>207127</v>
      </c>
    </row>
    <row r="109" spans="2:3" x14ac:dyDescent="0.25">
      <c r="B109" s="12" t="s">
        <v>83</v>
      </c>
      <c r="C109">
        <v>194306</v>
      </c>
    </row>
    <row r="110" spans="2:3" x14ac:dyDescent="0.25">
      <c r="B110" s="12" t="s">
        <v>22</v>
      </c>
      <c r="C110">
        <v>180344</v>
      </c>
    </row>
    <row r="111" spans="2:3" x14ac:dyDescent="0.25">
      <c r="B111" s="12" t="s">
        <v>43</v>
      </c>
      <c r="C111">
        <v>182351</v>
      </c>
    </row>
    <row r="112" spans="2:3" x14ac:dyDescent="0.25">
      <c r="B112" s="12" t="s">
        <v>79</v>
      </c>
      <c r="C112">
        <v>224405</v>
      </c>
    </row>
    <row r="113" spans="2:3" x14ac:dyDescent="0.25">
      <c r="B113" s="12" t="s">
        <v>130</v>
      </c>
      <c r="C113">
        <v>154242</v>
      </c>
    </row>
    <row r="114" spans="2:3" x14ac:dyDescent="0.25">
      <c r="B114" s="12" t="s">
        <v>119</v>
      </c>
      <c r="C114">
        <v>172352</v>
      </c>
    </row>
    <row r="115" spans="2:3" x14ac:dyDescent="0.25">
      <c r="B115" s="12" t="s">
        <v>1176</v>
      </c>
      <c r="C115">
        <v>1906646</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0FAB1-0A52-440B-9D82-AF1B6B16DEFE}">
  <dimension ref="A1:BE80"/>
  <sheetViews>
    <sheetView showGridLines="0" tabSelected="1" topLeftCell="W14" zoomScale="82" zoomScaleNormal="80" workbookViewId="0">
      <selection activeCell="AL52" sqref="AL52"/>
    </sheetView>
  </sheetViews>
  <sheetFormatPr defaultRowHeight="15" x14ac:dyDescent="0.25"/>
  <sheetData>
    <row r="1" spans="1:50" x14ac:dyDescent="0.25">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row>
    <row r="2" spans="1:50" x14ac:dyDescent="0.25">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row>
    <row r="3" spans="1:50" x14ac:dyDescent="0.25">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row>
    <row r="4" spans="1:50" x14ac:dyDescent="0.25">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row>
    <row r="5" spans="1:50" x14ac:dyDescent="0.25">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row>
    <row r="6" spans="1:50" x14ac:dyDescent="0.25">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row>
    <row r="7" spans="1:50" x14ac:dyDescent="0.25">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row>
    <row r="8" spans="1:50" x14ac:dyDescent="0.25">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row>
    <row r="9" spans="1:50" x14ac:dyDescent="0.25">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row>
    <row r="10" spans="1:50" x14ac:dyDescent="0.25">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row>
    <row r="11" spans="1:50" x14ac:dyDescent="0.25">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row>
    <row r="12" spans="1:50" x14ac:dyDescent="0.25">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row>
    <row r="13" spans="1:50" x14ac:dyDescent="0.25">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row>
    <row r="14" spans="1:50" x14ac:dyDescent="0.25">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row>
    <row r="15" spans="1:50" x14ac:dyDescent="0.2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row>
    <row r="16" spans="1:50" x14ac:dyDescent="0.25">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row>
    <row r="17" spans="1:57" x14ac:dyDescent="0.25">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row>
    <row r="18" spans="1:57" x14ac:dyDescent="0.25">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row>
    <row r="19" spans="1:57" x14ac:dyDescent="0.25">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row>
    <row r="20" spans="1:57" x14ac:dyDescent="0.25">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row>
    <row r="21" spans="1:57" x14ac:dyDescent="0.25">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BE21" t="s">
        <v>1203</v>
      </c>
    </row>
    <row r="22" spans="1:57" x14ac:dyDescent="0.25">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row>
    <row r="23" spans="1:57" x14ac:dyDescent="0.25">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row>
    <row r="24" spans="1:57" x14ac:dyDescent="0.25">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row>
    <row r="25" spans="1:57" x14ac:dyDescent="0.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row>
    <row r="26" spans="1:57" x14ac:dyDescent="0.25">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row>
    <row r="27" spans="1:57" x14ac:dyDescent="0.25">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row>
    <row r="28" spans="1:57" x14ac:dyDescent="0.25">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row>
    <row r="29" spans="1:57" x14ac:dyDescent="0.25">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row>
    <row r="30" spans="1:57" x14ac:dyDescent="0.25">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row>
    <row r="31" spans="1:57" x14ac:dyDescent="0.25">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row>
    <row r="32" spans="1:57" x14ac:dyDescent="0.25">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row>
    <row r="33" spans="1:50" x14ac:dyDescent="0.25">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row>
    <row r="34" spans="1:50" x14ac:dyDescent="0.25">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row>
    <row r="35" spans="1:50" x14ac:dyDescent="0.2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row>
    <row r="36" spans="1:50" x14ac:dyDescent="0.25">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row>
    <row r="37" spans="1:50" x14ac:dyDescent="0.25">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row>
    <row r="38" spans="1:50"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row>
    <row r="39" spans="1:50" x14ac:dyDescent="0.25">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row>
    <row r="40" spans="1:50" x14ac:dyDescent="0.25">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row>
    <row r="41" spans="1:50" x14ac:dyDescent="0.25">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row>
    <row r="42" spans="1:50" x14ac:dyDescent="0.25">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row>
    <row r="43" spans="1:50" x14ac:dyDescent="0.25">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row>
    <row r="44" spans="1:50" x14ac:dyDescent="0.25">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row>
    <row r="45" spans="1:50" x14ac:dyDescent="0.2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row>
    <row r="46" spans="1:50" x14ac:dyDescent="0.25">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row>
    <row r="47" spans="1:50" x14ac:dyDescent="0.25">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row>
    <row r="48" spans="1:50" x14ac:dyDescent="0.25">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row>
    <row r="49" spans="1:50" x14ac:dyDescent="0.2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row>
    <row r="50" spans="1:50" x14ac:dyDescent="0.2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row>
    <row r="51" spans="1:50" x14ac:dyDescent="0.2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row>
    <row r="52" spans="1:50" x14ac:dyDescent="0.2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row>
    <row r="53" spans="1:50" x14ac:dyDescent="0.2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row>
    <row r="54" spans="1:50" x14ac:dyDescent="0.2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row>
    <row r="55" spans="1:50" x14ac:dyDescent="0.2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row>
    <row r="56" spans="1:50" x14ac:dyDescent="0.2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row>
    <row r="57" spans="1:50" x14ac:dyDescent="0.2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row>
    <row r="58" spans="1:50" x14ac:dyDescent="0.2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row>
    <row r="59" spans="1:50" x14ac:dyDescent="0.2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row>
    <row r="60" spans="1:50" x14ac:dyDescent="0.2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row>
    <row r="61" spans="1:50" x14ac:dyDescent="0.2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row>
    <row r="62" spans="1:50" x14ac:dyDescent="0.2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row>
    <row r="63" spans="1:50" x14ac:dyDescent="0.2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row>
    <row r="64" spans="1:50" x14ac:dyDescent="0.2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row>
    <row r="65" spans="1:50" x14ac:dyDescent="0.2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row>
    <row r="66" spans="1:50" x14ac:dyDescent="0.2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row>
    <row r="67" spans="1:50" x14ac:dyDescent="0.2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row>
    <row r="68" spans="1:50" x14ac:dyDescent="0.2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row>
    <row r="69" spans="1:50" x14ac:dyDescent="0.25">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row>
    <row r="70" spans="1:50" x14ac:dyDescent="0.25">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row>
    <row r="71" spans="1:50" x14ac:dyDescent="0.25">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row>
    <row r="72" spans="1:50" x14ac:dyDescent="0.25">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row>
    <row r="73" spans="1:50" x14ac:dyDescent="0.2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row>
    <row r="74" spans="1:50" x14ac:dyDescent="0.2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row>
    <row r="75" spans="1:50" x14ac:dyDescent="0.2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row>
    <row r="76" spans="1:50" x14ac:dyDescent="0.2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row>
    <row r="77" spans="1:50" x14ac:dyDescent="0.2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row>
    <row r="78" spans="1:50" x14ac:dyDescent="0.2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row>
    <row r="79" spans="1:50" x14ac:dyDescent="0.2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row>
    <row r="80" spans="1:50" x14ac:dyDescent="0.2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10"/>
  <sheetViews>
    <sheetView showGridLines="0" topLeftCell="A22" zoomScale="61" zoomScaleNormal="100" workbookViewId="0">
      <pane ySplit="1" topLeftCell="A23" activePane="bottomLeft" state="frozen"/>
      <selection activeCell="A22" sqref="A22"/>
      <selection pane="bottomLeft" activeCell="A52" sqref="A52"/>
    </sheetView>
  </sheetViews>
  <sheetFormatPr defaultColWidth="8.7109375" defaultRowHeight="15" x14ac:dyDescent="0.25"/>
  <cols>
    <col min="1" max="1" width="21.5703125" bestFit="1" customWidth="1"/>
    <col min="2" max="2" width="19.140625" bestFit="1" customWidth="1"/>
    <col min="3" max="3" width="22.85546875" bestFit="1" customWidth="1"/>
    <col min="4" max="4" width="8" bestFit="1" customWidth="1"/>
    <col min="5" max="5" width="27.42578125" bestFit="1" customWidth="1"/>
    <col min="6" max="6" width="11.28515625" bestFit="1" customWidth="1"/>
    <col min="7" max="7" width="17.42578125" bestFit="1" customWidth="1"/>
    <col min="8" max="8" width="11.28515625" bestFit="1" customWidth="1"/>
  </cols>
  <sheetData>
    <row r="1" spans="1:8" x14ac:dyDescent="0.25">
      <c r="A1" s="31" t="s">
        <v>1145</v>
      </c>
      <c r="B1" s="31"/>
      <c r="C1" s="31"/>
      <c r="D1" s="31"/>
      <c r="E1" s="31"/>
      <c r="F1" s="31"/>
      <c r="G1" s="31"/>
      <c r="H1" s="31"/>
    </row>
    <row r="2" spans="1:8" x14ac:dyDescent="0.25">
      <c r="A2" s="31"/>
      <c r="B2" s="31"/>
      <c r="C2" s="31"/>
      <c r="D2" s="31"/>
      <c r="E2" s="31"/>
      <c r="F2" s="31"/>
      <c r="G2" s="31"/>
      <c r="H2" s="31"/>
    </row>
    <row r="4" spans="1:8" ht="26.25" x14ac:dyDescent="0.4">
      <c r="A4" s="3" t="s">
        <v>1146</v>
      </c>
      <c r="B4" s="4">
        <f>SUM('Raw Data'!O2:O751)</f>
        <v>1906646</v>
      </c>
      <c r="C4" s="3" t="s">
        <v>1147</v>
      </c>
      <c r="D4" s="4">
        <f>COUNTA('Raw Data'!A2:A751)</f>
        <v>750</v>
      </c>
      <c r="E4" s="3" t="s">
        <v>1148</v>
      </c>
      <c r="F4" s="4">
        <f>B4/D4</f>
        <v>2542.1946666666668</v>
      </c>
      <c r="G4" s="3" t="s">
        <v>1149</v>
      </c>
      <c r="H4" s="4">
        <f>SUM('Raw Data'!J2:J751)</f>
        <v>2324</v>
      </c>
    </row>
    <row r="8" spans="1:8" ht="20.25" x14ac:dyDescent="0.3">
      <c r="A8" s="3" t="s">
        <v>1150</v>
      </c>
      <c r="B8" s="5">
        <f>COUNTIF('Raw Data'!Q2:Q751,"Yes")/COUNTA('Raw Data'!A2:A751)</f>
        <v>7.3333333333333334E-2</v>
      </c>
      <c r="C8" s="3" t="s">
        <v>1151</v>
      </c>
      <c r="D8" s="6">
        <f>AVERAGE('Raw Data'!P2:P751)</f>
        <v>4.1365333333333361</v>
      </c>
    </row>
    <row r="44" spans="1:8" x14ac:dyDescent="0.25">
      <c r="A44" s="30"/>
      <c r="B44" s="30"/>
      <c r="C44" s="30"/>
      <c r="D44" s="30"/>
      <c r="E44" s="30"/>
      <c r="F44" s="30"/>
      <c r="G44" s="30"/>
      <c r="H44" s="30"/>
    </row>
    <row r="45" spans="1:8" x14ac:dyDescent="0.25">
      <c r="A45" s="30"/>
      <c r="B45" s="30"/>
      <c r="C45" s="30"/>
      <c r="D45" s="30"/>
      <c r="E45" s="30"/>
      <c r="F45" s="30"/>
      <c r="G45" s="30"/>
      <c r="H45" s="30"/>
    </row>
    <row r="46" spans="1:8" x14ac:dyDescent="0.25">
      <c r="A46" s="1"/>
      <c r="B46" s="30"/>
      <c r="C46" s="1"/>
      <c r="D46" s="30"/>
      <c r="E46" s="1"/>
      <c r="F46" s="30"/>
      <c r="G46" s="1"/>
      <c r="H46" s="30"/>
    </row>
    <row r="88" spans="1:4" x14ac:dyDescent="0.25">
      <c r="A88" s="30"/>
      <c r="B88" s="30"/>
      <c r="C88" s="30"/>
      <c r="D88" s="30"/>
    </row>
    <row r="89" spans="1:4" x14ac:dyDescent="0.25">
      <c r="A89" s="30"/>
      <c r="B89" s="30"/>
      <c r="C89" s="30"/>
      <c r="D89" s="30"/>
    </row>
    <row r="90" spans="1:4" x14ac:dyDescent="0.25">
      <c r="A90" s="1"/>
      <c r="B90" s="30"/>
      <c r="C90" s="1"/>
      <c r="D90" s="30"/>
    </row>
    <row r="91" spans="1:4" x14ac:dyDescent="0.25">
      <c r="A91" s="1"/>
      <c r="B91" s="30"/>
      <c r="C91" s="1"/>
      <c r="D91" s="30"/>
    </row>
    <row r="92" spans="1:4" x14ac:dyDescent="0.25">
      <c r="A92" s="1"/>
      <c r="B92" s="30"/>
      <c r="C92" s="1"/>
      <c r="D92" s="30"/>
    </row>
    <row r="93" spans="1:4" x14ac:dyDescent="0.25">
      <c r="A93" s="1"/>
      <c r="B93" s="30"/>
      <c r="C93" s="1"/>
      <c r="D93" s="30"/>
    </row>
    <row r="94" spans="1:4" x14ac:dyDescent="0.25">
      <c r="A94" s="1"/>
      <c r="B94" s="30"/>
      <c r="C94" s="1"/>
      <c r="D94" s="30"/>
    </row>
    <row r="95" spans="1:4" x14ac:dyDescent="0.25">
      <c r="A95" s="1"/>
      <c r="B95" s="30"/>
      <c r="C95" s="1"/>
      <c r="D95" s="30"/>
    </row>
    <row r="96" spans="1:4" x14ac:dyDescent="0.25">
      <c r="A96" s="1"/>
      <c r="B96" s="30"/>
      <c r="C96" s="1"/>
      <c r="D96" s="30"/>
    </row>
    <row r="97" spans="1:4" x14ac:dyDescent="0.25">
      <c r="A97" s="1"/>
      <c r="B97" s="30"/>
      <c r="C97" s="1"/>
      <c r="D97" s="30"/>
    </row>
    <row r="98" spans="1:4" x14ac:dyDescent="0.25">
      <c r="A98" s="1"/>
      <c r="B98" s="30"/>
      <c r="C98" s="1"/>
      <c r="D98" s="30"/>
    </row>
    <row r="99" spans="1:4" x14ac:dyDescent="0.25">
      <c r="A99" s="1"/>
      <c r="B99" s="30"/>
      <c r="C99" s="1"/>
      <c r="D99" s="30"/>
    </row>
    <row r="100" spans="1:4" x14ac:dyDescent="0.25">
      <c r="A100" s="1"/>
      <c r="B100" s="30"/>
      <c r="C100" s="1"/>
      <c r="D100" s="30"/>
    </row>
    <row r="101" spans="1:4" x14ac:dyDescent="0.25">
      <c r="A101" s="1"/>
      <c r="B101" s="30"/>
      <c r="C101" s="1"/>
      <c r="D101" s="30"/>
    </row>
    <row r="102" spans="1:4" x14ac:dyDescent="0.25">
      <c r="A102" s="1"/>
      <c r="B102" s="30"/>
      <c r="C102" s="1"/>
      <c r="D102" s="30"/>
    </row>
    <row r="103" spans="1:4" x14ac:dyDescent="0.25">
      <c r="A103" s="1"/>
      <c r="B103" s="30"/>
      <c r="C103" s="1"/>
      <c r="D103" s="30"/>
    </row>
    <row r="104" spans="1:4" x14ac:dyDescent="0.25">
      <c r="A104" s="1"/>
      <c r="B104" s="30"/>
      <c r="C104" s="1"/>
      <c r="D104" s="30"/>
    </row>
    <row r="105" spans="1:4" x14ac:dyDescent="0.25">
      <c r="A105" s="1"/>
      <c r="B105" s="30"/>
      <c r="C105" s="1"/>
      <c r="D105" s="30"/>
    </row>
    <row r="106" spans="1:4" x14ac:dyDescent="0.25">
      <c r="A106" s="1"/>
      <c r="B106" s="30"/>
      <c r="C106" s="1"/>
      <c r="D106" s="30"/>
    </row>
    <row r="107" spans="1:4" x14ac:dyDescent="0.25">
      <c r="A107" s="1"/>
      <c r="B107" s="30"/>
      <c r="C107" s="1"/>
      <c r="D107" s="30"/>
    </row>
    <row r="108" spans="1:4" x14ac:dyDescent="0.25">
      <c r="A108" s="1"/>
      <c r="B108" s="30"/>
      <c r="C108" s="1"/>
      <c r="D108" s="30"/>
    </row>
    <row r="109" spans="1:4" x14ac:dyDescent="0.25">
      <c r="A109" s="1"/>
      <c r="B109" s="30"/>
      <c r="C109" s="1"/>
      <c r="D109" s="30"/>
    </row>
    <row r="110" spans="1:4" x14ac:dyDescent="0.25">
      <c r="A110" s="1"/>
      <c r="B110" s="30"/>
      <c r="C110" s="1"/>
      <c r="D110" s="30"/>
    </row>
    <row r="111" spans="1:4" x14ac:dyDescent="0.25">
      <c r="A111" s="1"/>
      <c r="B111" s="30"/>
      <c r="C111" s="1"/>
      <c r="D111" s="30"/>
    </row>
    <row r="112" spans="1:4" x14ac:dyDescent="0.25">
      <c r="A112" s="1"/>
      <c r="B112" s="30"/>
      <c r="C112" s="1"/>
      <c r="D112" s="30"/>
    </row>
    <row r="113" spans="1:4" x14ac:dyDescent="0.25">
      <c r="A113" s="1"/>
      <c r="B113" s="30"/>
      <c r="C113" s="1"/>
      <c r="D113" s="30"/>
    </row>
    <row r="114" spans="1:4" x14ac:dyDescent="0.25">
      <c r="A114" s="1"/>
      <c r="B114" s="30"/>
      <c r="C114" s="1"/>
      <c r="D114" s="30"/>
    </row>
    <row r="115" spans="1:4" x14ac:dyDescent="0.25">
      <c r="A115" s="1"/>
      <c r="B115" s="30"/>
      <c r="C115" s="1"/>
      <c r="D115" s="30"/>
    </row>
    <row r="116" spans="1:4" x14ac:dyDescent="0.25">
      <c r="A116" s="1"/>
      <c r="B116" s="30"/>
      <c r="C116" s="1"/>
      <c r="D116" s="30"/>
    </row>
    <row r="117" spans="1:4" x14ac:dyDescent="0.25">
      <c r="A117" s="1"/>
      <c r="B117" s="30"/>
      <c r="C117" s="1"/>
      <c r="D117" s="30"/>
    </row>
    <row r="118" spans="1:4" x14ac:dyDescent="0.25">
      <c r="A118" s="1"/>
      <c r="B118" s="30"/>
      <c r="C118" s="1"/>
      <c r="D118" s="30"/>
    </row>
    <row r="119" spans="1:4" x14ac:dyDescent="0.25">
      <c r="A119" s="1"/>
      <c r="B119" s="30"/>
      <c r="C119" s="1"/>
      <c r="D119" s="30"/>
    </row>
    <row r="120" spans="1:4" x14ac:dyDescent="0.25">
      <c r="A120" s="1"/>
      <c r="B120" s="30"/>
      <c r="C120" s="1"/>
      <c r="D120" s="30"/>
    </row>
    <row r="121" spans="1:4" x14ac:dyDescent="0.25">
      <c r="A121" s="1"/>
      <c r="B121" s="30"/>
      <c r="C121" s="1"/>
      <c r="D121" s="30"/>
    </row>
    <row r="122" spans="1:4" x14ac:dyDescent="0.25">
      <c r="A122" s="1"/>
      <c r="B122" s="30"/>
      <c r="C122" s="1"/>
      <c r="D122" s="30"/>
    </row>
    <row r="123" spans="1:4" x14ac:dyDescent="0.25">
      <c r="A123" s="1"/>
      <c r="B123" s="30"/>
      <c r="C123" s="1"/>
      <c r="D123" s="30"/>
    </row>
    <row r="124" spans="1:4" x14ac:dyDescent="0.25">
      <c r="A124" s="1"/>
      <c r="B124" s="30"/>
      <c r="C124" s="1"/>
      <c r="D124" s="30"/>
    </row>
    <row r="125" spans="1:4" x14ac:dyDescent="0.25">
      <c r="A125" s="1"/>
      <c r="B125" s="30"/>
      <c r="C125" s="1"/>
      <c r="D125" s="30"/>
    </row>
    <row r="126" spans="1:4" x14ac:dyDescent="0.25">
      <c r="A126" s="1"/>
      <c r="B126" s="30"/>
      <c r="C126" s="1"/>
      <c r="D126" s="30"/>
    </row>
    <row r="127" spans="1:4" x14ac:dyDescent="0.25">
      <c r="A127" s="1"/>
      <c r="B127" s="30"/>
      <c r="C127" s="1"/>
      <c r="D127" s="30"/>
    </row>
    <row r="128" spans="1:4" x14ac:dyDescent="0.25">
      <c r="A128" s="1"/>
      <c r="B128" s="30"/>
      <c r="C128" s="1"/>
      <c r="D128" s="30"/>
    </row>
    <row r="129" spans="1:4" x14ac:dyDescent="0.25">
      <c r="A129" s="1"/>
      <c r="B129" s="30"/>
      <c r="C129" s="1"/>
      <c r="D129" s="30"/>
    </row>
    <row r="130" spans="1:4" x14ac:dyDescent="0.25">
      <c r="A130" s="1"/>
      <c r="B130" s="30"/>
      <c r="C130" s="1"/>
      <c r="D130" s="30"/>
    </row>
    <row r="131" spans="1:4" x14ac:dyDescent="0.25">
      <c r="A131" s="1"/>
      <c r="B131" s="30"/>
      <c r="C131" s="1"/>
      <c r="D131" s="30"/>
    </row>
    <row r="132" spans="1:4" x14ac:dyDescent="0.25">
      <c r="A132" s="1"/>
      <c r="B132" s="30"/>
      <c r="C132" s="1"/>
      <c r="D132" s="30"/>
    </row>
    <row r="133" spans="1:4" x14ac:dyDescent="0.25">
      <c r="A133" s="1"/>
      <c r="B133" s="30"/>
      <c r="C133" s="1"/>
      <c r="D133" s="30"/>
    </row>
    <row r="134" spans="1:4" x14ac:dyDescent="0.25">
      <c r="A134" s="1"/>
      <c r="B134" s="30"/>
      <c r="C134" s="1"/>
      <c r="D134" s="30"/>
    </row>
    <row r="135" spans="1:4" x14ac:dyDescent="0.25">
      <c r="A135" s="1"/>
      <c r="B135" s="30"/>
      <c r="C135" s="1"/>
      <c r="D135" s="30"/>
    </row>
    <row r="136" spans="1:4" x14ac:dyDescent="0.25">
      <c r="A136" s="1"/>
      <c r="B136" s="30"/>
      <c r="C136" s="1"/>
      <c r="D136" s="30"/>
    </row>
    <row r="137" spans="1:4" x14ac:dyDescent="0.25">
      <c r="A137" s="1"/>
      <c r="B137" s="30"/>
      <c r="C137" s="1"/>
      <c r="D137" s="30"/>
    </row>
    <row r="138" spans="1:4" x14ac:dyDescent="0.25">
      <c r="A138" s="1"/>
      <c r="B138" s="30"/>
      <c r="C138" s="1"/>
      <c r="D138" s="30"/>
    </row>
    <row r="139" spans="1:4" x14ac:dyDescent="0.25">
      <c r="A139" s="1"/>
      <c r="B139" s="30"/>
      <c r="C139" s="1"/>
      <c r="D139" s="30"/>
    </row>
    <row r="140" spans="1:4" x14ac:dyDescent="0.25">
      <c r="A140" s="1"/>
      <c r="B140" s="30"/>
      <c r="C140" s="1"/>
      <c r="D140" s="30"/>
    </row>
    <row r="141" spans="1:4" x14ac:dyDescent="0.25">
      <c r="A141" s="1"/>
      <c r="B141" s="30"/>
      <c r="C141" s="1"/>
      <c r="D141" s="30"/>
    </row>
    <row r="142" spans="1:4" x14ac:dyDescent="0.25">
      <c r="A142" s="1"/>
      <c r="B142" s="30"/>
      <c r="C142" s="1"/>
      <c r="D142" s="30"/>
    </row>
    <row r="143" spans="1:4" x14ac:dyDescent="0.25">
      <c r="A143" s="1"/>
      <c r="B143" s="30"/>
      <c r="C143" s="1"/>
      <c r="D143" s="30"/>
    </row>
    <row r="144" spans="1:4" x14ac:dyDescent="0.25">
      <c r="A144" s="1"/>
      <c r="B144" s="30"/>
      <c r="C144" s="1"/>
      <c r="D144" s="30"/>
    </row>
    <row r="145" spans="1:4" x14ac:dyDescent="0.25">
      <c r="A145" s="1"/>
      <c r="B145" s="30"/>
      <c r="C145" s="1"/>
      <c r="D145" s="30"/>
    </row>
    <row r="146" spans="1:4" x14ac:dyDescent="0.25">
      <c r="A146" s="1"/>
      <c r="B146" s="30"/>
      <c r="C146" s="1"/>
      <c r="D146" s="30"/>
    </row>
    <row r="147" spans="1:4" x14ac:dyDescent="0.25">
      <c r="A147" s="1"/>
      <c r="B147" s="30"/>
      <c r="C147" s="1"/>
      <c r="D147" s="30"/>
    </row>
    <row r="148" spans="1:4" x14ac:dyDescent="0.25">
      <c r="A148" s="1"/>
      <c r="B148" s="30"/>
      <c r="C148" s="1"/>
      <c r="D148" s="30"/>
    </row>
    <row r="149" spans="1:4" x14ac:dyDescent="0.25">
      <c r="A149" s="1"/>
      <c r="B149" s="30"/>
      <c r="C149" s="1"/>
      <c r="D149" s="30"/>
    </row>
    <row r="150" spans="1:4" x14ac:dyDescent="0.25">
      <c r="A150" s="1"/>
      <c r="B150" s="30"/>
      <c r="C150" s="1"/>
      <c r="D150" s="30"/>
    </row>
    <row r="151" spans="1:4" x14ac:dyDescent="0.25">
      <c r="A151" s="1"/>
      <c r="B151" s="30"/>
      <c r="C151" s="1"/>
      <c r="D151" s="30"/>
    </row>
    <row r="152" spans="1:4" x14ac:dyDescent="0.25">
      <c r="A152" s="1"/>
      <c r="B152" s="30"/>
      <c r="C152" s="1"/>
      <c r="D152" s="30"/>
    </row>
    <row r="153" spans="1:4" x14ac:dyDescent="0.25">
      <c r="A153" s="1"/>
      <c r="B153" s="30"/>
      <c r="C153" s="1"/>
      <c r="D153" s="30"/>
    </row>
    <row r="154" spans="1:4" x14ac:dyDescent="0.25">
      <c r="A154" s="1"/>
      <c r="B154" s="30"/>
      <c r="C154" s="1"/>
      <c r="D154" s="30"/>
    </row>
    <row r="155" spans="1:4" x14ac:dyDescent="0.25">
      <c r="A155" s="1"/>
      <c r="B155" s="30"/>
      <c r="C155" s="1"/>
      <c r="D155" s="30"/>
    </row>
    <row r="156" spans="1:4" x14ac:dyDescent="0.25">
      <c r="A156" s="1"/>
      <c r="B156" s="30"/>
      <c r="C156" s="1"/>
      <c r="D156" s="30"/>
    </row>
    <row r="157" spans="1:4" x14ac:dyDescent="0.25">
      <c r="A157" s="1"/>
      <c r="B157" s="30"/>
      <c r="C157" s="1"/>
      <c r="D157" s="30"/>
    </row>
    <row r="158" spans="1:4" x14ac:dyDescent="0.25">
      <c r="A158" s="1"/>
      <c r="B158" s="30"/>
      <c r="C158" s="1"/>
      <c r="D158" s="30"/>
    </row>
    <row r="159" spans="1:4" x14ac:dyDescent="0.25">
      <c r="A159" s="1"/>
      <c r="B159" s="30"/>
      <c r="C159" s="1"/>
      <c r="D159" s="30"/>
    </row>
    <row r="160" spans="1:4" x14ac:dyDescent="0.25">
      <c r="A160" s="1"/>
      <c r="B160" s="30"/>
      <c r="C160" s="1"/>
      <c r="D160" s="30"/>
    </row>
    <row r="161" spans="1:4" x14ac:dyDescent="0.25">
      <c r="A161" s="1"/>
      <c r="B161" s="30"/>
      <c r="C161" s="1"/>
      <c r="D161" s="30"/>
    </row>
    <row r="162" spans="1:4" x14ac:dyDescent="0.25">
      <c r="A162" s="1"/>
      <c r="B162" s="30"/>
      <c r="C162" s="1"/>
      <c r="D162" s="30"/>
    </row>
    <row r="163" spans="1:4" x14ac:dyDescent="0.25">
      <c r="A163" s="1"/>
      <c r="B163" s="30"/>
      <c r="C163" s="1"/>
      <c r="D163" s="30"/>
    </row>
    <row r="164" spans="1:4" x14ac:dyDescent="0.25">
      <c r="A164" s="1"/>
      <c r="B164" s="30"/>
      <c r="C164" s="1"/>
      <c r="D164" s="30"/>
    </row>
    <row r="165" spans="1:4" x14ac:dyDescent="0.25">
      <c r="A165" s="1"/>
      <c r="B165" s="30"/>
      <c r="C165" s="1"/>
      <c r="D165" s="30"/>
    </row>
    <row r="166" spans="1:4" x14ac:dyDescent="0.25">
      <c r="A166" s="1"/>
      <c r="B166" s="30"/>
      <c r="C166" s="1"/>
      <c r="D166" s="30"/>
    </row>
    <row r="167" spans="1:4" x14ac:dyDescent="0.25">
      <c r="A167" s="1"/>
      <c r="B167" s="30"/>
      <c r="C167" s="1"/>
      <c r="D167" s="30"/>
    </row>
    <row r="168" spans="1:4" x14ac:dyDescent="0.25">
      <c r="A168" s="1"/>
      <c r="B168" s="30"/>
      <c r="C168" s="1"/>
      <c r="D168" s="30"/>
    </row>
    <row r="169" spans="1:4" x14ac:dyDescent="0.25">
      <c r="A169" s="1"/>
      <c r="B169" s="30"/>
      <c r="C169" s="1"/>
      <c r="D169" s="30"/>
    </row>
    <row r="170" spans="1:4" x14ac:dyDescent="0.25">
      <c r="A170" s="1"/>
      <c r="B170" s="30"/>
      <c r="C170" s="1"/>
      <c r="D170" s="30"/>
    </row>
    <row r="171" spans="1:4" x14ac:dyDescent="0.25">
      <c r="A171" s="1"/>
      <c r="B171" s="30"/>
      <c r="C171" s="1"/>
      <c r="D171" s="30"/>
    </row>
    <row r="172" spans="1:4" x14ac:dyDescent="0.25">
      <c r="A172" s="1"/>
      <c r="B172" s="30"/>
      <c r="C172" s="1"/>
      <c r="D172" s="30"/>
    </row>
    <row r="173" spans="1:4" x14ac:dyDescent="0.25">
      <c r="A173" s="1"/>
      <c r="B173" s="30"/>
      <c r="C173" s="1"/>
      <c r="D173" s="30"/>
    </row>
    <row r="174" spans="1:4" x14ac:dyDescent="0.25">
      <c r="A174" s="1"/>
      <c r="B174" s="30"/>
      <c r="C174" s="1"/>
      <c r="D174" s="30"/>
    </row>
    <row r="175" spans="1:4" x14ac:dyDescent="0.25">
      <c r="A175" s="1"/>
      <c r="B175" s="30"/>
      <c r="C175" s="1"/>
      <c r="D175" s="30"/>
    </row>
    <row r="176" spans="1:4" x14ac:dyDescent="0.25">
      <c r="A176" s="1"/>
      <c r="B176" s="30"/>
      <c r="C176" s="1"/>
      <c r="D176" s="30"/>
    </row>
    <row r="177" spans="1:4" x14ac:dyDescent="0.25">
      <c r="A177" s="1"/>
      <c r="B177" s="30"/>
      <c r="C177" s="1"/>
      <c r="D177" s="30"/>
    </row>
    <row r="178" spans="1:4" x14ac:dyDescent="0.25">
      <c r="A178" s="1"/>
      <c r="B178" s="30"/>
      <c r="C178" s="1"/>
      <c r="D178" s="30"/>
    </row>
    <row r="179" spans="1:4" x14ac:dyDescent="0.25">
      <c r="A179" s="1"/>
      <c r="B179" s="30"/>
      <c r="C179" s="1"/>
      <c r="D179" s="30"/>
    </row>
    <row r="180" spans="1:4" x14ac:dyDescent="0.25">
      <c r="A180" s="1"/>
      <c r="B180" s="30"/>
      <c r="C180" s="1"/>
      <c r="D180" s="30"/>
    </row>
    <row r="181" spans="1:4" x14ac:dyDescent="0.25">
      <c r="A181" s="1"/>
      <c r="B181" s="30"/>
      <c r="C181" s="1"/>
      <c r="D181" s="30"/>
    </row>
    <row r="182" spans="1:4" x14ac:dyDescent="0.25">
      <c r="A182" s="1"/>
      <c r="B182" s="30"/>
      <c r="C182" s="1"/>
      <c r="D182" s="30"/>
    </row>
    <row r="183" spans="1:4" x14ac:dyDescent="0.25">
      <c r="A183" s="1"/>
      <c r="B183" s="30"/>
      <c r="C183" s="1"/>
      <c r="D183" s="30"/>
    </row>
    <row r="184" spans="1:4" x14ac:dyDescent="0.25">
      <c r="A184" s="1"/>
      <c r="B184" s="30"/>
      <c r="C184" s="1"/>
      <c r="D184" s="30"/>
    </row>
    <row r="185" spans="1:4" x14ac:dyDescent="0.25">
      <c r="A185" s="1"/>
      <c r="B185" s="30"/>
      <c r="C185" s="1"/>
      <c r="D185" s="30"/>
    </row>
    <row r="186" spans="1:4" x14ac:dyDescent="0.25">
      <c r="A186" s="1"/>
      <c r="B186" s="30"/>
      <c r="C186" s="1"/>
      <c r="D186" s="30"/>
    </row>
    <row r="187" spans="1:4" x14ac:dyDescent="0.25">
      <c r="A187" s="1"/>
      <c r="B187" s="30"/>
      <c r="C187" s="1"/>
      <c r="D187" s="30"/>
    </row>
    <row r="188" spans="1:4" x14ac:dyDescent="0.25">
      <c r="A188" s="1"/>
      <c r="B188" s="30"/>
      <c r="C188" s="1"/>
      <c r="D188" s="30"/>
    </row>
    <row r="189" spans="1:4" x14ac:dyDescent="0.25">
      <c r="A189" s="1"/>
      <c r="B189" s="30"/>
      <c r="C189" s="1"/>
      <c r="D189" s="30"/>
    </row>
    <row r="190" spans="1:4" x14ac:dyDescent="0.25">
      <c r="A190" s="1"/>
      <c r="B190" s="30"/>
      <c r="C190" s="1"/>
      <c r="D190" s="30"/>
    </row>
    <row r="191" spans="1:4" x14ac:dyDescent="0.25">
      <c r="A191" s="1"/>
      <c r="B191" s="30"/>
      <c r="C191" s="1"/>
      <c r="D191" s="30"/>
    </row>
    <row r="192" spans="1:4" x14ac:dyDescent="0.25">
      <c r="A192" s="1"/>
      <c r="B192" s="30"/>
      <c r="C192" s="1"/>
      <c r="D192" s="30"/>
    </row>
    <row r="193" spans="1:4" x14ac:dyDescent="0.25">
      <c r="A193" s="1"/>
      <c r="B193" s="30"/>
      <c r="C193" s="1"/>
      <c r="D193" s="30"/>
    </row>
    <row r="194" spans="1:4" x14ac:dyDescent="0.25">
      <c r="A194" s="1"/>
      <c r="B194" s="30"/>
      <c r="C194" s="1"/>
      <c r="D194" s="30"/>
    </row>
    <row r="195" spans="1:4" x14ac:dyDescent="0.25">
      <c r="A195" s="1"/>
      <c r="B195" s="30"/>
      <c r="C195" s="1"/>
      <c r="D195" s="30"/>
    </row>
    <row r="196" spans="1:4" x14ac:dyDescent="0.25">
      <c r="A196" s="1"/>
      <c r="B196" s="30"/>
      <c r="C196" s="1"/>
      <c r="D196" s="30"/>
    </row>
    <row r="197" spans="1:4" x14ac:dyDescent="0.25">
      <c r="A197" s="1"/>
      <c r="B197" s="30"/>
      <c r="C197" s="1"/>
      <c r="D197" s="30"/>
    </row>
    <row r="198" spans="1:4" x14ac:dyDescent="0.25">
      <c r="A198" s="1"/>
      <c r="B198" s="30"/>
      <c r="C198" s="1"/>
      <c r="D198" s="30"/>
    </row>
    <row r="199" spans="1:4" x14ac:dyDescent="0.25">
      <c r="A199" s="1"/>
      <c r="B199" s="30"/>
      <c r="C199" s="1"/>
      <c r="D199" s="30"/>
    </row>
    <row r="200" spans="1:4" x14ac:dyDescent="0.25">
      <c r="A200" s="1"/>
      <c r="B200" s="30"/>
      <c r="C200" s="1"/>
      <c r="D200" s="30"/>
    </row>
    <row r="201" spans="1:4" x14ac:dyDescent="0.25">
      <c r="A201" s="1"/>
      <c r="B201" s="30"/>
      <c r="C201" s="1"/>
      <c r="D201" s="30"/>
    </row>
    <row r="202" spans="1:4" x14ac:dyDescent="0.25">
      <c r="A202" s="1"/>
      <c r="B202" s="30"/>
      <c r="C202" s="1"/>
      <c r="D202" s="30"/>
    </row>
    <row r="203" spans="1:4" x14ac:dyDescent="0.25">
      <c r="A203" s="1"/>
      <c r="B203" s="30"/>
      <c r="C203" s="1"/>
      <c r="D203" s="30"/>
    </row>
    <row r="204" spans="1:4" x14ac:dyDescent="0.25">
      <c r="A204" s="1"/>
      <c r="B204" s="30"/>
      <c r="C204" s="1"/>
      <c r="D204" s="30"/>
    </row>
    <row r="205" spans="1:4" x14ac:dyDescent="0.25">
      <c r="A205" s="1"/>
      <c r="B205" s="30"/>
      <c r="C205" s="1"/>
      <c r="D205" s="30"/>
    </row>
    <row r="206" spans="1:4" x14ac:dyDescent="0.25">
      <c r="A206" s="1"/>
      <c r="B206" s="30"/>
      <c r="C206" s="1"/>
      <c r="D206" s="30"/>
    </row>
    <row r="207" spans="1:4" x14ac:dyDescent="0.25">
      <c r="A207" s="1"/>
      <c r="B207" s="30"/>
      <c r="C207" s="1"/>
      <c r="D207" s="30"/>
    </row>
    <row r="208" spans="1:4" x14ac:dyDescent="0.25">
      <c r="A208" s="1"/>
      <c r="B208" s="30"/>
      <c r="C208" s="1"/>
      <c r="D208" s="30"/>
    </row>
    <row r="209" spans="1:4" x14ac:dyDescent="0.25">
      <c r="A209" s="1"/>
      <c r="B209" s="30"/>
      <c r="C209" s="1"/>
      <c r="D209" s="30"/>
    </row>
    <row r="210" spans="1:4" x14ac:dyDescent="0.25">
      <c r="A210" s="1"/>
      <c r="B210" s="30"/>
      <c r="C210" s="1"/>
      <c r="D210" s="30"/>
    </row>
    <row r="211" spans="1:4" x14ac:dyDescent="0.25">
      <c r="A211" s="1"/>
      <c r="B211" s="30"/>
      <c r="C211" s="1"/>
      <c r="D211" s="30"/>
    </row>
    <row r="212" spans="1:4" x14ac:dyDescent="0.25">
      <c r="A212" s="1"/>
      <c r="B212" s="30"/>
      <c r="C212" s="1"/>
      <c r="D212" s="30"/>
    </row>
    <row r="213" spans="1:4" x14ac:dyDescent="0.25">
      <c r="A213" s="1"/>
      <c r="B213" s="30"/>
      <c r="C213" s="1"/>
      <c r="D213" s="30"/>
    </row>
    <row r="214" spans="1:4" x14ac:dyDescent="0.25">
      <c r="A214" s="1"/>
      <c r="B214" s="30"/>
      <c r="C214" s="1"/>
      <c r="D214" s="30"/>
    </row>
    <row r="215" spans="1:4" x14ac:dyDescent="0.25">
      <c r="A215" s="1"/>
      <c r="B215" s="30"/>
      <c r="C215" s="1"/>
      <c r="D215" s="30"/>
    </row>
    <row r="216" spans="1:4" x14ac:dyDescent="0.25">
      <c r="A216" s="1"/>
      <c r="B216" s="30"/>
      <c r="C216" s="1"/>
      <c r="D216" s="30"/>
    </row>
    <row r="217" spans="1:4" x14ac:dyDescent="0.25">
      <c r="A217" s="1"/>
      <c r="B217" s="30"/>
      <c r="C217" s="1"/>
      <c r="D217" s="30"/>
    </row>
    <row r="218" spans="1:4" x14ac:dyDescent="0.25">
      <c r="A218" s="1"/>
      <c r="B218" s="30"/>
      <c r="C218" s="1"/>
      <c r="D218" s="30"/>
    </row>
    <row r="219" spans="1:4" x14ac:dyDescent="0.25">
      <c r="A219" s="1"/>
      <c r="B219" s="30"/>
      <c r="C219" s="1"/>
      <c r="D219" s="30"/>
    </row>
    <row r="220" spans="1:4" x14ac:dyDescent="0.25">
      <c r="A220" s="1"/>
      <c r="B220" s="30"/>
      <c r="C220" s="1"/>
      <c r="D220" s="30"/>
    </row>
    <row r="221" spans="1:4" x14ac:dyDescent="0.25">
      <c r="A221" s="1"/>
      <c r="B221" s="30"/>
      <c r="C221" s="1"/>
      <c r="D221" s="30"/>
    </row>
    <row r="222" spans="1:4" x14ac:dyDescent="0.25">
      <c r="A222" s="1"/>
      <c r="B222" s="30"/>
      <c r="C222" s="1"/>
      <c r="D222" s="30"/>
    </row>
    <row r="223" spans="1:4" x14ac:dyDescent="0.25">
      <c r="A223" s="1"/>
      <c r="B223" s="30"/>
      <c r="C223" s="1"/>
      <c r="D223" s="30"/>
    </row>
    <row r="224" spans="1:4" x14ac:dyDescent="0.25">
      <c r="A224" s="1"/>
      <c r="B224" s="30"/>
      <c r="C224" s="1"/>
      <c r="D224" s="30"/>
    </row>
    <row r="225" spans="1:4" x14ac:dyDescent="0.25">
      <c r="A225" s="1"/>
      <c r="B225" s="30"/>
      <c r="C225" s="1"/>
      <c r="D225" s="30"/>
    </row>
    <row r="226" spans="1:4" x14ac:dyDescent="0.25">
      <c r="A226" s="1"/>
      <c r="B226" s="30"/>
      <c r="C226" s="1"/>
      <c r="D226" s="30"/>
    </row>
    <row r="227" spans="1:4" x14ac:dyDescent="0.25">
      <c r="A227" s="1"/>
      <c r="B227" s="30"/>
      <c r="C227" s="1"/>
      <c r="D227" s="30"/>
    </row>
    <row r="228" spans="1:4" x14ac:dyDescent="0.25">
      <c r="A228" s="1"/>
      <c r="B228" s="30"/>
      <c r="C228" s="1"/>
      <c r="D228" s="30"/>
    </row>
    <row r="229" spans="1:4" x14ac:dyDescent="0.25">
      <c r="A229" s="1"/>
      <c r="B229" s="30"/>
      <c r="C229" s="1"/>
      <c r="D229" s="30"/>
    </row>
    <row r="230" spans="1:4" x14ac:dyDescent="0.25">
      <c r="A230" s="1"/>
      <c r="B230" s="30"/>
      <c r="C230" s="1"/>
      <c r="D230" s="30"/>
    </row>
    <row r="231" spans="1:4" x14ac:dyDescent="0.25">
      <c r="A231" s="1"/>
      <c r="B231" s="30"/>
      <c r="C231" s="1"/>
      <c r="D231" s="30"/>
    </row>
    <row r="232" spans="1:4" x14ac:dyDescent="0.25">
      <c r="A232" s="1"/>
      <c r="B232" s="30"/>
      <c r="C232" s="1"/>
      <c r="D232" s="30"/>
    </row>
    <row r="233" spans="1:4" x14ac:dyDescent="0.25">
      <c r="A233" s="1"/>
      <c r="B233" s="30"/>
      <c r="C233" s="1"/>
      <c r="D233" s="30"/>
    </row>
    <row r="234" spans="1:4" x14ac:dyDescent="0.25">
      <c r="A234" s="1"/>
      <c r="B234" s="30"/>
      <c r="C234" s="1"/>
      <c r="D234" s="30"/>
    </row>
    <row r="235" spans="1:4" x14ac:dyDescent="0.25">
      <c r="A235" s="1"/>
      <c r="B235" s="30"/>
      <c r="C235" s="1"/>
      <c r="D235" s="30"/>
    </row>
    <row r="236" spans="1:4" x14ac:dyDescent="0.25">
      <c r="A236" s="1"/>
      <c r="B236" s="30"/>
      <c r="C236" s="1"/>
      <c r="D236" s="30"/>
    </row>
    <row r="237" spans="1:4" x14ac:dyDescent="0.25">
      <c r="A237" s="1"/>
      <c r="B237" s="30"/>
      <c r="C237" s="1"/>
      <c r="D237" s="30"/>
    </row>
    <row r="238" spans="1:4" x14ac:dyDescent="0.25">
      <c r="A238" s="1"/>
      <c r="B238" s="30"/>
      <c r="C238" s="1"/>
      <c r="D238" s="30"/>
    </row>
    <row r="239" spans="1:4" x14ac:dyDescent="0.25">
      <c r="A239" s="1"/>
      <c r="B239" s="30"/>
      <c r="C239" s="1"/>
      <c r="D239" s="30"/>
    </row>
    <row r="240" spans="1:4" x14ac:dyDescent="0.25">
      <c r="A240" s="1"/>
      <c r="B240" s="30"/>
      <c r="C240" s="1"/>
      <c r="D240" s="30"/>
    </row>
    <row r="241" spans="1:4" x14ac:dyDescent="0.25">
      <c r="A241" s="1"/>
      <c r="B241" s="30"/>
      <c r="C241" s="1"/>
      <c r="D241" s="30"/>
    </row>
    <row r="242" spans="1:4" x14ac:dyDescent="0.25">
      <c r="A242" s="1"/>
      <c r="B242" s="30"/>
      <c r="C242" s="1"/>
      <c r="D242" s="30"/>
    </row>
    <row r="243" spans="1:4" x14ac:dyDescent="0.25">
      <c r="A243" s="1"/>
      <c r="B243" s="30"/>
      <c r="C243" s="1"/>
      <c r="D243" s="30"/>
    </row>
    <row r="244" spans="1:4" x14ac:dyDescent="0.25">
      <c r="A244" s="1"/>
      <c r="B244" s="30"/>
      <c r="C244" s="1"/>
      <c r="D244" s="30"/>
    </row>
    <row r="245" spans="1:4" x14ac:dyDescent="0.25">
      <c r="A245" s="1"/>
      <c r="B245" s="30"/>
      <c r="C245" s="1"/>
      <c r="D245" s="30"/>
    </row>
    <row r="246" spans="1:4" x14ac:dyDescent="0.25">
      <c r="A246" s="1"/>
      <c r="B246" s="30"/>
      <c r="C246" s="1"/>
      <c r="D246" s="30"/>
    </row>
    <row r="247" spans="1:4" x14ac:dyDescent="0.25">
      <c r="A247" s="1"/>
      <c r="B247" s="30"/>
      <c r="C247" s="1"/>
      <c r="D247" s="30"/>
    </row>
    <row r="248" spans="1:4" x14ac:dyDescent="0.25">
      <c r="A248" s="1"/>
      <c r="B248" s="30"/>
      <c r="C248" s="1"/>
      <c r="D248" s="30"/>
    </row>
    <row r="249" spans="1:4" x14ac:dyDescent="0.25">
      <c r="A249" s="1"/>
      <c r="B249" s="30"/>
      <c r="C249" s="1"/>
      <c r="D249" s="30"/>
    </row>
    <row r="250" spans="1:4" x14ac:dyDescent="0.25">
      <c r="A250" s="1"/>
      <c r="B250" s="30"/>
      <c r="C250" s="1"/>
      <c r="D250" s="30"/>
    </row>
    <row r="251" spans="1:4" x14ac:dyDescent="0.25">
      <c r="A251" s="1"/>
      <c r="B251" s="30"/>
      <c r="C251" s="1"/>
      <c r="D251" s="30"/>
    </row>
    <row r="252" spans="1:4" x14ac:dyDescent="0.25">
      <c r="A252" s="1"/>
      <c r="B252" s="30"/>
      <c r="C252" s="1"/>
      <c r="D252" s="30"/>
    </row>
    <row r="253" spans="1:4" x14ac:dyDescent="0.25">
      <c r="A253" s="1"/>
      <c r="B253" s="30"/>
      <c r="C253" s="1"/>
      <c r="D253" s="30"/>
    </row>
    <row r="254" spans="1:4" x14ac:dyDescent="0.25">
      <c r="A254" s="1"/>
      <c r="B254" s="30"/>
      <c r="C254" s="1"/>
      <c r="D254" s="30"/>
    </row>
    <row r="255" spans="1:4" x14ac:dyDescent="0.25">
      <c r="A255" s="1"/>
      <c r="B255" s="30"/>
      <c r="C255" s="1"/>
      <c r="D255" s="30"/>
    </row>
    <row r="256" spans="1:4" x14ac:dyDescent="0.25">
      <c r="A256" s="1"/>
      <c r="B256" s="30"/>
      <c r="C256" s="1"/>
      <c r="D256" s="30"/>
    </row>
    <row r="257" spans="1:4" x14ac:dyDescent="0.25">
      <c r="A257" s="1"/>
      <c r="B257" s="30"/>
      <c r="C257" s="1"/>
      <c r="D257" s="30"/>
    </row>
    <row r="258" spans="1:4" x14ac:dyDescent="0.25">
      <c r="A258" s="1"/>
      <c r="B258" s="30"/>
      <c r="C258" s="1"/>
      <c r="D258" s="30"/>
    </row>
    <row r="259" spans="1:4" x14ac:dyDescent="0.25">
      <c r="A259" s="1"/>
      <c r="B259" s="30"/>
      <c r="C259" s="1"/>
      <c r="D259" s="30"/>
    </row>
    <row r="260" spans="1:4" x14ac:dyDescent="0.25">
      <c r="A260" s="1"/>
      <c r="B260" s="30"/>
      <c r="C260" s="1"/>
      <c r="D260" s="30"/>
    </row>
    <row r="261" spans="1:4" x14ac:dyDescent="0.25">
      <c r="A261" s="1"/>
      <c r="B261" s="30"/>
      <c r="C261" s="1"/>
      <c r="D261" s="30"/>
    </row>
    <row r="262" spans="1:4" x14ac:dyDescent="0.25">
      <c r="A262" s="1"/>
      <c r="B262" s="30"/>
      <c r="C262" s="1"/>
      <c r="D262" s="30"/>
    </row>
    <row r="263" spans="1:4" x14ac:dyDescent="0.25">
      <c r="A263" s="1"/>
      <c r="B263" s="30"/>
      <c r="C263" s="1"/>
      <c r="D263" s="30"/>
    </row>
    <row r="264" spans="1:4" x14ac:dyDescent="0.25">
      <c r="A264" s="1"/>
      <c r="B264" s="30"/>
      <c r="C264" s="1"/>
      <c r="D264" s="30"/>
    </row>
    <row r="265" spans="1:4" x14ac:dyDescent="0.25">
      <c r="A265" s="1"/>
      <c r="B265" s="30"/>
      <c r="C265" s="1"/>
      <c r="D265" s="30"/>
    </row>
    <row r="266" spans="1:4" x14ac:dyDescent="0.25">
      <c r="A266" s="1"/>
      <c r="B266" s="30"/>
      <c r="C266" s="1"/>
      <c r="D266" s="30"/>
    </row>
    <row r="267" spans="1:4" x14ac:dyDescent="0.25">
      <c r="A267" s="1"/>
      <c r="B267" s="30"/>
      <c r="C267" s="1"/>
      <c r="D267" s="30"/>
    </row>
    <row r="268" spans="1:4" x14ac:dyDescent="0.25">
      <c r="A268" s="1"/>
      <c r="B268" s="30"/>
      <c r="C268" s="1"/>
      <c r="D268" s="30"/>
    </row>
    <row r="269" spans="1:4" x14ac:dyDescent="0.25">
      <c r="A269" s="1"/>
      <c r="B269" s="30"/>
      <c r="C269" s="1"/>
      <c r="D269" s="30"/>
    </row>
    <row r="270" spans="1:4" x14ac:dyDescent="0.25">
      <c r="A270" s="1"/>
      <c r="B270" s="30"/>
      <c r="C270" s="1"/>
      <c r="D270" s="30"/>
    </row>
    <row r="271" spans="1:4" x14ac:dyDescent="0.25">
      <c r="A271" s="1"/>
      <c r="B271" s="30"/>
      <c r="C271" s="1"/>
      <c r="D271" s="30"/>
    </row>
    <row r="272" spans="1:4" x14ac:dyDescent="0.25">
      <c r="A272" s="1"/>
      <c r="B272" s="30"/>
      <c r="C272" s="1"/>
      <c r="D272" s="30"/>
    </row>
    <row r="273" spans="1:4" x14ac:dyDescent="0.25">
      <c r="A273" s="1"/>
      <c r="B273" s="30"/>
      <c r="C273" s="1"/>
      <c r="D273" s="30"/>
    </row>
    <row r="274" spans="1:4" x14ac:dyDescent="0.25">
      <c r="A274" s="1"/>
      <c r="B274" s="30"/>
      <c r="C274" s="1"/>
      <c r="D274" s="30"/>
    </row>
    <row r="275" spans="1:4" x14ac:dyDescent="0.25">
      <c r="A275" s="1"/>
      <c r="B275" s="30"/>
      <c r="C275" s="1"/>
      <c r="D275" s="30"/>
    </row>
    <row r="276" spans="1:4" x14ac:dyDescent="0.25">
      <c r="A276" s="1"/>
      <c r="B276" s="30"/>
      <c r="C276" s="1"/>
      <c r="D276" s="30"/>
    </row>
    <row r="277" spans="1:4" x14ac:dyDescent="0.25">
      <c r="A277" s="1"/>
      <c r="B277" s="30"/>
      <c r="C277" s="1"/>
      <c r="D277" s="30"/>
    </row>
    <row r="278" spans="1:4" x14ac:dyDescent="0.25">
      <c r="A278" s="1"/>
      <c r="B278" s="30"/>
      <c r="C278" s="1"/>
      <c r="D278" s="30"/>
    </row>
    <row r="279" spans="1:4" x14ac:dyDescent="0.25">
      <c r="A279" s="1"/>
      <c r="B279" s="30"/>
      <c r="C279" s="1"/>
      <c r="D279" s="30"/>
    </row>
    <row r="280" spans="1:4" x14ac:dyDescent="0.25">
      <c r="A280" s="1"/>
      <c r="B280" s="30"/>
      <c r="C280" s="1"/>
      <c r="D280" s="30"/>
    </row>
    <row r="281" spans="1:4" x14ac:dyDescent="0.25">
      <c r="A281" s="1"/>
      <c r="B281" s="30"/>
      <c r="C281" s="1"/>
      <c r="D281" s="30"/>
    </row>
    <row r="282" spans="1:4" x14ac:dyDescent="0.25">
      <c r="A282" s="1"/>
      <c r="B282" s="30"/>
      <c r="C282" s="1"/>
      <c r="D282" s="30"/>
    </row>
    <row r="283" spans="1:4" x14ac:dyDescent="0.25">
      <c r="A283" s="1"/>
      <c r="B283" s="30"/>
      <c r="C283" s="1"/>
      <c r="D283" s="30"/>
    </row>
    <row r="284" spans="1:4" x14ac:dyDescent="0.25">
      <c r="A284" s="1"/>
      <c r="B284" s="30"/>
      <c r="C284" s="1"/>
      <c r="D284" s="30"/>
    </row>
    <row r="285" spans="1:4" x14ac:dyDescent="0.25">
      <c r="A285" s="1"/>
      <c r="B285" s="30"/>
      <c r="C285" s="1"/>
      <c r="D285" s="30"/>
    </row>
    <row r="286" spans="1:4" x14ac:dyDescent="0.25">
      <c r="A286" s="1"/>
      <c r="B286" s="30"/>
      <c r="C286" s="1"/>
      <c r="D286" s="30"/>
    </row>
    <row r="287" spans="1:4" x14ac:dyDescent="0.25">
      <c r="A287" s="1"/>
      <c r="B287" s="30"/>
      <c r="C287" s="1"/>
      <c r="D287" s="30"/>
    </row>
    <row r="288" spans="1:4" x14ac:dyDescent="0.25">
      <c r="A288" s="1"/>
      <c r="B288" s="30"/>
      <c r="C288" s="1"/>
      <c r="D288" s="30"/>
    </row>
    <row r="289" spans="1:4" x14ac:dyDescent="0.25">
      <c r="A289" s="1"/>
      <c r="B289" s="30"/>
      <c r="C289" s="1"/>
      <c r="D289" s="30"/>
    </row>
    <row r="290" spans="1:4" x14ac:dyDescent="0.25">
      <c r="A290" s="1"/>
      <c r="B290" s="30"/>
      <c r="C290" s="1"/>
      <c r="D290" s="30"/>
    </row>
    <row r="291" spans="1:4" x14ac:dyDescent="0.25">
      <c r="A291" s="1"/>
      <c r="B291" s="30"/>
      <c r="C291" s="1"/>
      <c r="D291" s="30"/>
    </row>
    <row r="292" spans="1:4" x14ac:dyDescent="0.25">
      <c r="A292" s="1"/>
      <c r="B292" s="30"/>
      <c r="C292" s="1"/>
      <c r="D292" s="30"/>
    </row>
    <row r="293" spans="1:4" x14ac:dyDescent="0.25">
      <c r="A293" s="1"/>
      <c r="B293" s="30"/>
      <c r="C293" s="1"/>
      <c r="D293" s="30"/>
    </row>
    <row r="294" spans="1:4" x14ac:dyDescent="0.25">
      <c r="A294" s="1"/>
      <c r="B294" s="30"/>
      <c r="C294" s="1"/>
      <c r="D294" s="30"/>
    </row>
    <row r="295" spans="1:4" x14ac:dyDescent="0.25">
      <c r="A295" s="1"/>
      <c r="B295" s="30"/>
      <c r="C295" s="1"/>
      <c r="D295" s="30"/>
    </row>
    <row r="296" spans="1:4" x14ac:dyDescent="0.25">
      <c r="A296" s="1"/>
      <c r="B296" s="30"/>
      <c r="C296" s="1"/>
      <c r="D296" s="30"/>
    </row>
    <row r="297" spans="1:4" x14ac:dyDescent="0.25">
      <c r="A297" s="1"/>
      <c r="B297" s="30"/>
      <c r="C297" s="1"/>
      <c r="D297" s="30"/>
    </row>
    <row r="298" spans="1:4" x14ac:dyDescent="0.25">
      <c r="A298" s="1"/>
      <c r="B298" s="30"/>
      <c r="C298" s="1"/>
      <c r="D298" s="30"/>
    </row>
    <row r="299" spans="1:4" x14ac:dyDescent="0.25">
      <c r="A299" s="1"/>
      <c r="B299" s="30"/>
      <c r="C299" s="1"/>
      <c r="D299" s="30"/>
    </row>
    <row r="300" spans="1:4" x14ac:dyDescent="0.25">
      <c r="A300" s="1"/>
      <c r="B300" s="30"/>
      <c r="C300" s="1"/>
      <c r="D300" s="30"/>
    </row>
    <row r="301" spans="1:4" x14ac:dyDescent="0.25">
      <c r="A301" s="1"/>
      <c r="B301" s="30"/>
      <c r="C301" s="1"/>
      <c r="D301" s="30"/>
    </row>
    <row r="302" spans="1:4" x14ac:dyDescent="0.25">
      <c r="A302" s="1"/>
      <c r="B302" s="30"/>
      <c r="C302" s="1"/>
      <c r="D302" s="30"/>
    </row>
    <row r="303" spans="1:4" x14ac:dyDescent="0.25">
      <c r="A303" s="1"/>
      <c r="B303" s="30"/>
      <c r="C303" s="1"/>
      <c r="D303" s="30"/>
    </row>
    <row r="304" spans="1:4" x14ac:dyDescent="0.25">
      <c r="A304" s="1"/>
      <c r="B304" s="30"/>
      <c r="C304" s="1"/>
      <c r="D304" s="30"/>
    </row>
    <row r="305" spans="1:4" x14ac:dyDescent="0.25">
      <c r="A305" s="1"/>
      <c r="B305" s="30"/>
      <c r="C305" s="1"/>
      <c r="D305" s="30"/>
    </row>
    <row r="306" spans="1:4" x14ac:dyDescent="0.25">
      <c r="A306" s="1"/>
      <c r="B306" s="30"/>
      <c r="C306" s="1"/>
      <c r="D306" s="30"/>
    </row>
    <row r="307" spans="1:4" x14ac:dyDescent="0.25">
      <c r="A307" s="1"/>
      <c r="B307" s="30"/>
      <c r="C307" s="1"/>
      <c r="D307" s="30"/>
    </row>
    <row r="308" spans="1:4" x14ac:dyDescent="0.25">
      <c r="A308" s="1"/>
      <c r="B308" s="30"/>
      <c r="C308" s="1"/>
      <c r="D308" s="30"/>
    </row>
    <row r="309" spans="1:4" x14ac:dyDescent="0.25">
      <c r="A309" s="1"/>
      <c r="B309" s="30"/>
      <c r="C309" s="1"/>
      <c r="D309" s="30"/>
    </row>
    <row r="310" spans="1:4" x14ac:dyDescent="0.25">
      <c r="A310" s="1"/>
      <c r="B310" s="30"/>
      <c r="C310" s="1"/>
      <c r="D310" s="30"/>
    </row>
    <row r="311" spans="1:4" x14ac:dyDescent="0.25">
      <c r="A311" s="1"/>
      <c r="B311" s="30"/>
      <c r="C311" s="1"/>
      <c r="D311" s="30"/>
    </row>
    <row r="312" spans="1:4" x14ac:dyDescent="0.25">
      <c r="A312" s="1"/>
      <c r="B312" s="30"/>
      <c r="C312" s="1"/>
      <c r="D312" s="30"/>
    </row>
    <row r="313" spans="1:4" x14ac:dyDescent="0.25">
      <c r="A313" s="1"/>
      <c r="B313" s="30"/>
      <c r="C313" s="1"/>
      <c r="D313" s="30"/>
    </row>
    <row r="314" spans="1:4" x14ac:dyDescent="0.25">
      <c r="A314" s="1"/>
      <c r="B314" s="30"/>
      <c r="C314" s="1"/>
      <c r="D314" s="30"/>
    </row>
    <row r="315" spans="1:4" x14ac:dyDescent="0.25">
      <c r="A315" s="1"/>
      <c r="B315" s="30"/>
      <c r="C315" s="1"/>
      <c r="D315" s="30"/>
    </row>
    <row r="316" spans="1:4" x14ac:dyDescent="0.25">
      <c r="A316" s="1"/>
      <c r="B316" s="30"/>
      <c r="C316" s="1"/>
      <c r="D316" s="30"/>
    </row>
    <row r="317" spans="1:4" x14ac:dyDescent="0.25">
      <c r="A317" s="1"/>
      <c r="B317" s="30"/>
      <c r="C317" s="1"/>
      <c r="D317" s="30"/>
    </row>
    <row r="318" spans="1:4" x14ac:dyDescent="0.25">
      <c r="A318" s="1"/>
      <c r="B318" s="30"/>
      <c r="C318" s="1"/>
      <c r="D318" s="30"/>
    </row>
    <row r="319" spans="1:4" x14ac:dyDescent="0.25">
      <c r="A319" s="1"/>
      <c r="B319" s="30"/>
      <c r="C319" s="1"/>
      <c r="D319" s="30"/>
    </row>
    <row r="320" spans="1:4" x14ac:dyDescent="0.25">
      <c r="A320" s="1"/>
      <c r="B320" s="30"/>
      <c r="C320" s="1"/>
      <c r="D320" s="30"/>
    </row>
    <row r="321" spans="1:4" x14ac:dyDescent="0.25">
      <c r="A321" s="1"/>
      <c r="B321" s="30"/>
      <c r="C321" s="1"/>
      <c r="D321" s="30"/>
    </row>
    <row r="322" spans="1:4" x14ac:dyDescent="0.25">
      <c r="A322" s="1"/>
      <c r="B322" s="30"/>
      <c r="C322" s="1"/>
      <c r="D322" s="30"/>
    </row>
    <row r="323" spans="1:4" x14ac:dyDescent="0.25">
      <c r="A323" s="1"/>
      <c r="B323" s="30"/>
      <c r="C323" s="1"/>
      <c r="D323" s="30"/>
    </row>
    <row r="324" spans="1:4" x14ac:dyDescent="0.25">
      <c r="A324" s="1"/>
      <c r="B324" s="30"/>
      <c r="C324" s="1"/>
      <c r="D324" s="30"/>
    </row>
    <row r="325" spans="1:4" x14ac:dyDescent="0.25">
      <c r="A325" s="1"/>
      <c r="B325" s="30"/>
      <c r="C325" s="1"/>
      <c r="D325" s="30"/>
    </row>
    <row r="326" spans="1:4" x14ac:dyDescent="0.25">
      <c r="A326" s="1"/>
      <c r="B326" s="30"/>
      <c r="C326" s="1"/>
      <c r="D326" s="30"/>
    </row>
    <row r="327" spans="1:4" x14ac:dyDescent="0.25">
      <c r="A327" s="1"/>
      <c r="B327" s="30"/>
      <c r="C327" s="1"/>
      <c r="D327" s="30"/>
    </row>
    <row r="328" spans="1:4" x14ac:dyDescent="0.25">
      <c r="A328" s="1"/>
      <c r="B328" s="30"/>
      <c r="C328" s="1"/>
      <c r="D328" s="30"/>
    </row>
    <row r="329" spans="1:4" x14ac:dyDescent="0.25">
      <c r="A329" s="1"/>
      <c r="B329" s="30"/>
      <c r="C329" s="1"/>
      <c r="D329" s="30"/>
    </row>
    <row r="330" spans="1:4" x14ac:dyDescent="0.25">
      <c r="A330" s="1"/>
      <c r="B330" s="30"/>
      <c r="C330" s="1"/>
      <c r="D330" s="30"/>
    </row>
    <row r="331" spans="1:4" x14ac:dyDescent="0.25">
      <c r="A331" s="1"/>
      <c r="B331" s="30"/>
      <c r="C331" s="1"/>
      <c r="D331" s="30"/>
    </row>
    <row r="332" spans="1:4" x14ac:dyDescent="0.25">
      <c r="A332" s="1"/>
      <c r="B332" s="30"/>
      <c r="C332" s="1"/>
      <c r="D332" s="30"/>
    </row>
    <row r="333" spans="1:4" x14ac:dyDescent="0.25">
      <c r="A333" s="1"/>
      <c r="B333" s="30"/>
      <c r="C333" s="1"/>
      <c r="D333" s="30"/>
    </row>
    <row r="334" spans="1:4" x14ac:dyDescent="0.25">
      <c r="A334" s="1"/>
      <c r="B334" s="30"/>
      <c r="C334" s="1"/>
      <c r="D334" s="30"/>
    </row>
    <row r="335" spans="1:4" x14ac:dyDescent="0.25">
      <c r="A335" s="1"/>
      <c r="B335" s="30"/>
      <c r="C335" s="1"/>
      <c r="D335" s="30"/>
    </row>
    <row r="336" spans="1:4" x14ac:dyDescent="0.25">
      <c r="A336" s="1"/>
      <c r="B336" s="30"/>
      <c r="C336" s="1"/>
      <c r="D336" s="30"/>
    </row>
    <row r="337" spans="1:4" x14ac:dyDescent="0.25">
      <c r="A337" s="1"/>
      <c r="B337" s="30"/>
      <c r="C337" s="1"/>
      <c r="D337" s="30"/>
    </row>
    <row r="338" spans="1:4" x14ac:dyDescent="0.25">
      <c r="A338" s="1"/>
      <c r="B338" s="30"/>
      <c r="C338" s="1"/>
      <c r="D338" s="30"/>
    </row>
    <row r="339" spans="1:4" x14ac:dyDescent="0.25">
      <c r="A339" s="1"/>
      <c r="B339" s="30"/>
      <c r="C339" s="1"/>
      <c r="D339" s="30"/>
    </row>
    <row r="340" spans="1:4" x14ac:dyDescent="0.25">
      <c r="A340" s="1"/>
      <c r="B340" s="30"/>
      <c r="C340" s="1"/>
      <c r="D340" s="30"/>
    </row>
    <row r="341" spans="1:4" x14ac:dyDescent="0.25">
      <c r="A341" s="1"/>
      <c r="B341" s="30"/>
      <c r="C341" s="1"/>
      <c r="D341" s="30"/>
    </row>
    <row r="342" spans="1:4" x14ac:dyDescent="0.25">
      <c r="A342" s="1"/>
      <c r="B342" s="30"/>
      <c r="C342" s="1"/>
      <c r="D342" s="30"/>
    </row>
    <row r="343" spans="1:4" x14ac:dyDescent="0.25">
      <c r="A343" s="1"/>
      <c r="B343" s="30"/>
      <c r="C343" s="1"/>
      <c r="D343" s="30"/>
    </row>
    <row r="344" spans="1:4" x14ac:dyDescent="0.25">
      <c r="A344" s="1"/>
      <c r="B344" s="30"/>
      <c r="C344" s="1"/>
      <c r="D344" s="30"/>
    </row>
    <row r="345" spans="1:4" x14ac:dyDescent="0.25">
      <c r="A345" s="1"/>
      <c r="B345" s="30"/>
      <c r="C345" s="1"/>
      <c r="D345" s="30"/>
    </row>
    <row r="346" spans="1:4" x14ac:dyDescent="0.25">
      <c r="A346" s="1"/>
      <c r="B346" s="30"/>
      <c r="C346" s="1"/>
      <c r="D346" s="30"/>
    </row>
    <row r="347" spans="1:4" x14ac:dyDescent="0.25">
      <c r="A347" s="1"/>
      <c r="B347" s="30"/>
      <c r="C347" s="1"/>
      <c r="D347" s="30"/>
    </row>
    <row r="348" spans="1:4" x14ac:dyDescent="0.25">
      <c r="A348" s="1"/>
      <c r="B348" s="30"/>
      <c r="C348" s="1"/>
      <c r="D348" s="30"/>
    </row>
    <row r="349" spans="1:4" x14ac:dyDescent="0.25">
      <c r="A349" s="1"/>
      <c r="B349" s="30"/>
      <c r="C349" s="1"/>
      <c r="D349" s="30"/>
    </row>
    <row r="350" spans="1:4" x14ac:dyDescent="0.25">
      <c r="A350" s="1"/>
      <c r="B350" s="30"/>
      <c r="C350" s="1"/>
      <c r="D350" s="30"/>
    </row>
    <row r="351" spans="1:4" x14ac:dyDescent="0.25">
      <c r="A351" s="1"/>
      <c r="B351" s="30"/>
      <c r="C351" s="1"/>
      <c r="D351" s="30"/>
    </row>
    <row r="352" spans="1:4" x14ac:dyDescent="0.25">
      <c r="A352" s="1"/>
      <c r="B352" s="30"/>
      <c r="C352" s="1"/>
      <c r="D352" s="30"/>
    </row>
    <row r="353" spans="1:4" x14ac:dyDescent="0.25">
      <c r="A353" s="1"/>
      <c r="B353" s="30"/>
      <c r="C353" s="1"/>
      <c r="D353" s="30"/>
    </row>
    <row r="354" spans="1:4" x14ac:dyDescent="0.25">
      <c r="A354" s="1"/>
      <c r="B354" s="30"/>
      <c r="C354" s="1"/>
      <c r="D354" s="30"/>
    </row>
    <row r="355" spans="1:4" x14ac:dyDescent="0.25">
      <c r="A355" s="1"/>
      <c r="B355" s="30"/>
      <c r="C355" s="1"/>
      <c r="D355" s="30"/>
    </row>
    <row r="356" spans="1:4" x14ac:dyDescent="0.25">
      <c r="A356" s="1"/>
      <c r="B356" s="30"/>
      <c r="C356" s="1"/>
      <c r="D356" s="30"/>
    </row>
    <row r="357" spans="1:4" x14ac:dyDescent="0.25">
      <c r="A357" s="1"/>
      <c r="B357" s="30"/>
      <c r="C357" s="1"/>
      <c r="D357" s="30"/>
    </row>
    <row r="358" spans="1:4" x14ac:dyDescent="0.25">
      <c r="A358" s="1"/>
      <c r="B358" s="30"/>
      <c r="C358" s="1"/>
      <c r="D358" s="30"/>
    </row>
    <row r="359" spans="1:4" x14ac:dyDescent="0.25">
      <c r="A359" s="1"/>
      <c r="B359" s="30"/>
      <c r="C359" s="1"/>
      <c r="D359" s="30"/>
    </row>
    <row r="360" spans="1:4" x14ac:dyDescent="0.25">
      <c r="A360" s="1"/>
      <c r="B360" s="30"/>
      <c r="C360" s="1"/>
      <c r="D360" s="30"/>
    </row>
    <row r="361" spans="1:4" x14ac:dyDescent="0.25">
      <c r="A361" s="1"/>
      <c r="B361" s="30"/>
      <c r="C361" s="1"/>
      <c r="D361" s="30"/>
    </row>
    <row r="362" spans="1:4" x14ac:dyDescent="0.25">
      <c r="A362" s="1"/>
      <c r="B362" s="30"/>
      <c r="C362" s="1"/>
      <c r="D362" s="30"/>
    </row>
    <row r="363" spans="1:4" x14ac:dyDescent="0.25">
      <c r="A363" s="1"/>
      <c r="B363" s="30"/>
      <c r="C363" s="1"/>
      <c r="D363" s="30"/>
    </row>
    <row r="364" spans="1:4" x14ac:dyDescent="0.25">
      <c r="A364" s="1"/>
      <c r="B364" s="30"/>
      <c r="C364" s="1"/>
      <c r="D364" s="30"/>
    </row>
    <row r="365" spans="1:4" x14ac:dyDescent="0.25">
      <c r="A365" s="1"/>
      <c r="B365" s="30"/>
      <c r="C365" s="1"/>
      <c r="D365" s="30"/>
    </row>
    <row r="366" spans="1:4" x14ac:dyDescent="0.25">
      <c r="A366" s="1"/>
      <c r="B366" s="30"/>
      <c r="C366" s="1"/>
      <c r="D366" s="30"/>
    </row>
    <row r="367" spans="1:4" x14ac:dyDescent="0.25">
      <c r="A367" s="1"/>
      <c r="B367" s="30"/>
      <c r="C367" s="1"/>
      <c r="D367" s="30"/>
    </row>
    <row r="368" spans="1:4" x14ac:dyDescent="0.25">
      <c r="A368" s="1"/>
      <c r="B368" s="30"/>
      <c r="C368" s="1"/>
      <c r="D368" s="30"/>
    </row>
    <row r="369" spans="1:4" x14ac:dyDescent="0.25">
      <c r="A369" s="1"/>
      <c r="B369" s="30"/>
      <c r="C369" s="1"/>
      <c r="D369" s="30"/>
    </row>
    <row r="370" spans="1:4" x14ac:dyDescent="0.25">
      <c r="A370" s="1"/>
      <c r="B370" s="30"/>
      <c r="C370" s="1"/>
      <c r="D370" s="30"/>
    </row>
    <row r="371" spans="1:4" x14ac:dyDescent="0.25">
      <c r="A371" s="1"/>
      <c r="B371" s="30"/>
      <c r="C371" s="1"/>
      <c r="D371" s="30"/>
    </row>
    <row r="372" spans="1:4" x14ac:dyDescent="0.25">
      <c r="A372" s="1"/>
      <c r="B372" s="30"/>
      <c r="C372" s="1"/>
      <c r="D372" s="30"/>
    </row>
    <row r="373" spans="1:4" x14ac:dyDescent="0.25">
      <c r="A373" s="1"/>
      <c r="B373" s="30"/>
      <c r="C373" s="1"/>
      <c r="D373" s="30"/>
    </row>
    <row r="374" spans="1:4" x14ac:dyDescent="0.25">
      <c r="A374" s="1"/>
      <c r="B374" s="30"/>
      <c r="C374" s="1"/>
      <c r="D374" s="30"/>
    </row>
    <row r="375" spans="1:4" x14ac:dyDescent="0.25">
      <c r="A375" s="1"/>
      <c r="B375" s="30"/>
      <c r="C375" s="1"/>
      <c r="D375" s="30"/>
    </row>
    <row r="376" spans="1:4" x14ac:dyDescent="0.25">
      <c r="A376" s="1"/>
      <c r="B376" s="30"/>
      <c r="C376" s="1"/>
      <c r="D376" s="30"/>
    </row>
    <row r="377" spans="1:4" x14ac:dyDescent="0.25">
      <c r="A377" s="1"/>
      <c r="B377" s="30"/>
      <c r="C377" s="1"/>
      <c r="D377" s="30"/>
    </row>
    <row r="378" spans="1:4" x14ac:dyDescent="0.25">
      <c r="A378" s="1"/>
      <c r="B378" s="30"/>
      <c r="C378" s="1"/>
      <c r="D378" s="30"/>
    </row>
    <row r="379" spans="1:4" x14ac:dyDescent="0.25">
      <c r="A379" s="1"/>
      <c r="B379" s="30"/>
      <c r="C379" s="1"/>
      <c r="D379" s="30"/>
    </row>
    <row r="380" spans="1:4" x14ac:dyDescent="0.25">
      <c r="A380" s="1"/>
      <c r="B380" s="30"/>
      <c r="C380" s="1"/>
      <c r="D380" s="30"/>
    </row>
    <row r="381" spans="1:4" x14ac:dyDescent="0.25">
      <c r="A381" s="1"/>
      <c r="B381" s="30"/>
      <c r="C381" s="1"/>
      <c r="D381" s="30"/>
    </row>
    <row r="382" spans="1:4" x14ac:dyDescent="0.25">
      <c r="A382" s="1"/>
      <c r="B382" s="30"/>
      <c r="C382" s="1"/>
      <c r="D382" s="30"/>
    </row>
    <row r="383" spans="1:4" x14ac:dyDescent="0.25">
      <c r="A383" s="1"/>
      <c r="B383" s="30"/>
      <c r="C383" s="1"/>
      <c r="D383" s="30"/>
    </row>
    <row r="384" spans="1:4" x14ac:dyDescent="0.25">
      <c r="A384" s="1"/>
      <c r="B384" s="30"/>
      <c r="C384" s="1"/>
      <c r="D384" s="30"/>
    </row>
    <row r="385" spans="1:4" x14ac:dyDescent="0.25">
      <c r="A385" s="1"/>
      <c r="B385" s="30"/>
      <c r="C385" s="1"/>
      <c r="D385" s="30"/>
    </row>
    <row r="386" spans="1:4" x14ac:dyDescent="0.25">
      <c r="A386" s="1"/>
      <c r="B386" s="30"/>
      <c r="C386" s="1"/>
      <c r="D386" s="30"/>
    </row>
    <row r="387" spans="1:4" x14ac:dyDescent="0.25">
      <c r="A387" s="1"/>
      <c r="B387" s="30"/>
      <c r="C387" s="1"/>
      <c r="D387" s="30"/>
    </row>
    <row r="388" spans="1:4" x14ac:dyDescent="0.25">
      <c r="A388" s="1"/>
      <c r="B388" s="30"/>
      <c r="C388" s="1"/>
      <c r="D388" s="30"/>
    </row>
    <row r="389" spans="1:4" x14ac:dyDescent="0.25">
      <c r="A389" s="1"/>
      <c r="B389" s="30"/>
      <c r="C389" s="1"/>
      <c r="D389" s="30"/>
    </row>
    <row r="390" spans="1:4" x14ac:dyDescent="0.25">
      <c r="A390" s="1"/>
      <c r="B390" s="30"/>
      <c r="C390" s="1"/>
      <c r="D390" s="30"/>
    </row>
    <row r="391" spans="1:4" x14ac:dyDescent="0.25">
      <c r="A391" s="1"/>
      <c r="B391" s="30"/>
      <c r="C391" s="1"/>
      <c r="D391" s="30"/>
    </row>
    <row r="392" spans="1:4" x14ac:dyDescent="0.25">
      <c r="A392" s="1"/>
      <c r="B392" s="30"/>
      <c r="C392" s="1"/>
      <c r="D392" s="30"/>
    </row>
    <row r="393" spans="1:4" x14ac:dyDescent="0.25">
      <c r="A393" s="1"/>
      <c r="B393" s="30"/>
      <c r="C393" s="1"/>
      <c r="D393" s="30"/>
    </row>
    <row r="394" spans="1:4" x14ac:dyDescent="0.25">
      <c r="A394" s="1"/>
      <c r="B394" s="30"/>
      <c r="C394" s="1"/>
      <c r="D394" s="30"/>
    </row>
    <row r="395" spans="1:4" x14ac:dyDescent="0.25">
      <c r="A395" s="1"/>
      <c r="B395" s="30"/>
      <c r="C395" s="1"/>
      <c r="D395" s="30"/>
    </row>
    <row r="396" spans="1:4" x14ac:dyDescent="0.25">
      <c r="A396" s="1"/>
      <c r="B396" s="30"/>
      <c r="C396" s="1"/>
      <c r="D396" s="30"/>
    </row>
    <row r="397" spans="1:4" x14ac:dyDescent="0.25">
      <c r="A397" s="1"/>
      <c r="B397" s="30"/>
      <c r="C397" s="1"/>
      <c r="D397" s="30"/>
    </row>
    <row r="398" spans="1:4" x14ac:dyDescent="0.25">
      <c r="A398" s="1"/>
      <c r="B398" s="30"/>
      <c r="C398" s="1"/>
      <c r="D398" s="30"/>
    </row>
    <row r="399" spans="1:4" x14ac:dyDescent="0.25">
      <c r="A399" s="1"/>
      <c r="B399" s="30"/>
      <c r="C399" s="1"/>
      <c r="D399" s="30"/>
    </row>
    <row r="400" spans="1:4" x14ac:dyDescent="0.25">
      <c r="A400" s="1"/>
      <c r="B400" s="30"/>
      <c r="C400" s="1"/>
      <c r="D400" s="30"/>
    </row>
    <row r="401" spans="1:4" x14ac:dyDescent="0.25">
      <c r="A401" s="1"/>
      <c r="B401" s="30"/>
      <c r="C401" s="1"/>
      <c r="D401" s="30"/>
    </row>
    <row r="402" spans="1:4" x14ac:dyDescent="0.25">
      <c r="A402" s="1"/>
      <c r="B402" s="30"/>
      <c r="C402" s="1"/>
      <c r="D402" s="30"/>
    </row>
    <row r="403" spans="1:4" x14ac:dyDescent="0.25">
      <c r="A403" s="1"/>
      <c r="B403" s="30"/>
      <c r="C403" s="1"/>
      <c r="D403" s="30"/>
    </row>
    <row r="404" spans="1:4" x14ac:dyDescent="0.25">
      <c r="A404" s="1"/>
      <c r="B404" s="30"/>
      <c r="C404" s="1"/>
      <c r="D404" s="30"/>
    </row>
    <row r="405" spans="1:4" x14ac:dyDescent="0.25">
      <c r="A405" s="1"/>
      <c r="B405" s="30"/>
      <c r="C405" s="1"/>
      <c r="D405" s="30"/>
    </row>
    <row r="406" spans="1:4" x14ac:dyDescent="0.25">
      <c r="A406" s="1"/>
      <c r="B406" s="30"/>
      <c r="C406" s="1"/>
      <c r="D406" s="30"/>
    </row>
    <row r="407" spans="1:4" x14ac:dyDescent="0.25">
      <c r="A407" s="1"/>
      <c r="B407" s="30"/>
      <c r="C407" s="1"/>
      <c r="D407" s="30"/>
    </row>
    <row r="408" spans="1:4" x14ac:dyDescent="0.25">
      <c r="A408" s="1"/>
      <c r="B408" s="30"/>
      <c r="C408" s="1"/>
      <c r="D408" s="30"/>
    </row>
    <row r="409" spans="1:4" x14ac:dyDescent="0.25">
      <c r="A409" s="1"/>
      <c r="B409" s="30"/>
      <c r="C409" s="1"/>
      <c r="D409" s="30"/>
    </row>
    <row r="410" spans="1:4" x14ac:dyDescent="0.25">
      <c r="A410" s="1"/>
      <c r="B410" s="30"/>
      <c r="C410" s="1"/>
      <c r="D410" s="30"/>
    </row>
    <row r="411" spans="1:4" x14ac:dyDescent="0.25">
      <c r="A411" s="1"/>
      <c r="B411" s="30"/>
      <c r="C411" s="1"/>
      <c r="D411" s="30"/>
    </row>
    <row r="412" spans="1:4" x14ac:dyDescent="0.25">
      <c r="A412" s="1"/>
      <c r="B412" s="30"/>
      <c r="C412" s="1"/>
      <c r="D412" s="30"/>
    </row>
    <row r="413" spans="1:4" x14ac:dyDescent="0.25">
      <c r="A413" s="1"/>
      <c r="B413" s="30"/>
      <c r="C413" s="1"/>
      <c r="D413" s="30"/>
    </row>
    <row r="414" spans="1:4" x14ac:dyDescent="0.25">
      <c r="A414" s="1"/>
      <c r="B414" s="30"/>
      <c r="C414" s="1"/>
      <c r="D414" s="30"/>
    </row>
    <row r="415" spans="1:4" x14ac:dyDescent="0.25">
      <c r="A415" s="1"/>
      <c r="B415" s="30"/>
      <c r="C415" s="1"/>
      <c r="D415" s="30"/>
    </row>
    <row r="416" spans="1:4" x14ac:dyDescent="0.25">
      <c r="A416" s="1"/>
      <c r="B416" s="30"/>
      <c r="C416" s="1"/>
      <c r="D416" s="30"/>
    </row>
    <row r="417" spans="1:4" x14ac:dyDescent="0.25">
      <c r="A417" s="1"/>
      <c r="B417" s="30"/>
      <c r="C417" s="1"/>
      <c r="D417" s="30"/>
    </row>
    <row r="418" spans="1:4" x14ac:dyDescent="0.25">
      <c r="A418" s="1"/>
      <c r="B418" s="30"/>
      <c r="C418" s="1"/>
      <c r="D418" s="30"/>
    </row>
    <row r="419" spans="1:4" x14ac:dyDescent="0.25">
      <c r="A419" s="1"/>
      <c r="B419" s="30"/>
      <c r="C419" s="1"/>
      <c r="D419" s="30"/>
    </row>
    <row r="420" spans="1:4" x14ac:dyDescent="0.25">
      <c r="A420" s="1"/>
      <c r="B420" s="30"/>
      <c r="C420" s="1"/>
      <c r="D420" s="30"/>
    </row>
    <row r="421" spans="1:4" x14ac:dyDescent="0.25">
      <c r="A421" s="1"/>
      <c r="B421" s="30"/>
      <c r="C421" s="1"/>
      <c r="D421" s="30"/>
    </row>
    <row r="422" spans="1:4" x14ac:dyDescent="0.25">
      <c r="A422" s="1"/>
      <c r="B422" s="30"/>
      <c r="C422" s="1"/>
      <c r="D422" s="30"/>
    </row>
    <row r="423" spans="1:4" x14ac:dyDescent="0.25">
      <c r="A423" s="1"/>
      <c r="B423" s="30"/>
      <c r="C423" s="1"/>
      <c r="D423" s="30"/>
    </row>
    <row r="424" spans="1:4" x14ac:dyDescent="0.25">
      <c r="A424" s="1"/>
      <c r="B424" s="30"/>
      <c r="C424" s="1"/>
      <c r="D424" s="30"/>
    </row>
    <row r="425" spans="1:4" x14ac:dyDescent="0.25">
      <c r="A425" s="1"/>
      <c r="B425" s="30"/>
      <c r="C425" s="1"/>
      <c r="D425" s="30"/>
    </row>
    <row r="426" spans="1:4" x14ac:dyDescent="0.25">
      <c r="A426" s="1"/>
      <c r="B426" s="30"/>
      <c r="C426" s="1"/>
      <c r="D426" s="30"/>
    </row>
    <row r="427" spans="1:4" x14ac:dyDescent="0.25">
      <c r="A427" s="1"/>
      <c r="B427" s="30"/>
      <c r="C427" s="1"/>
      <c r="D427" s="30"/>
    </row>
    <row r="428" spans="1:4" x14ac:dyDescent="0.25">
      <c r="A428" s="1"/>
      <c r="B428" s="30"/>
      <c r="C428" s="1"/>
      <c r="D428" s="30"/>
    </row>
    <row r="429" spans="1:4" x14ac:dyDescent="0.25">
      <c r="A429" s="1"/>
      <c r="B429" s="30"/>
      <c r="C429" s="1"/>
      <c r="D429" s="30"/>
    </row>
    <row r="430" spans="1:4" x14ac:dyDescent="0.25">
      <c r="A430" s="1"/>
      <c r="B430" s="30"/>
      <c r="C430" s="1"/>
      <c r="D430" s="30"/>
    </row>
    <row r="431" spans="1:4" x14ac:dyDescent="0.25">
      <c r="A431" s="1"/>
      <c r="B431" s="30"/>
      <c r="C431" s="1"/>
      <c r="D431" s="30"/>
    </row>
    <row r="432" spans="1:4" x14ac:dyDescent="0.25">
      <c r="A432" s="1"/>
      <c r="B432" s="30"/>
      <c r="C432" s="1"/>
      <c r="D432" s="30"/>
    </row>
    <row r="433" spans="1:4" x14ac:dyDescent="0.25">
      <c r="A433" s="1"/>
      <c r="B433" s="30"/>
      <c r="C433" s="1"/>
      <c r="D433" s="30"/>
    </row>
    <row r="434" spans="1:4" x14ac:dyDescent="0.25">
      <c r="A434" s="1"/>
      <c r="B434" s="30"/>
      <c r="C434" s="1"/>
      <c r="D434" s="30"/>
    </row>
    <row r="435" spans="1:4" x14ac:dyDescent="0.25">
      <c r="A435" s="1"/>
      <c r="B435" s="30"/>
      <c r="C435" s="1"/>
      <c r="D435" s="30"/>
    </row>
    <row r="436" spans="1:4" x14ac:dyDescent="0.25">
      <c r="A436" s="1"/>
      <c r="B436" s="30"/>
      <c r="C436" s="1"/>
      <c r="D436" s="30"/>
    </row>
    <row r="437" spans="1:4" x14ac:dyDescent="0.25">
      <c r="A437" s="1"/>
      <c r="B437" s="30"/>
      <c r="C437" s="1"/>
      <c r="D437" s="30"/>
    </row>
    <row r="438" spans="1:4" x14ac:dyDescent="0.25">
      <c r="A438" s="1"/>
      <c r="B438" s="30"/>
      <c r="C438" s="1"/>
      <c r="D438" s="30"/>
    </row>
    <row r="439" spans="1:4" x14ac:dyDescent="0.25">
      <c r="A439" s="1"/>
      <c r="B439" s="30"/>
      <c r="C439" s="1"/>
      <c r="D439" s="30"/>
    </row>
    <row r="440" spans="1:4" x14ac:dyDescent="0.25">
      <c r="A440" s="1"/>
      <c r="B440" s="30"/>
      <c r="C440" s="1"/>
      <c r="D440" s="30"/>
    </row>
    <row r="441" spans="1:4" x14ac:dyDescent="0.25">
      <c r="A441" s="1"/>
      <c r="B441" s="30"/>
      <c r="C441" s="1"/>
      <c r="D441" s="30"/>
    </row>
    <row r="442" spans="1:4" x14ac:dyDescent="0.25">
      <c r="A442" s="1"/>
      <c r="B442" s="30"/>
      <c r="C442" s="1"/>
      <c r="D442" s="30"/>
    </row>
    <row r="443" spans="1:4" x14ac:dyDescent="0.25">
      <c r="A443" s="1"/>
      <c r="B443" s="30"/>
      <c r="C443" s="1"/>
      <c r="D443" s="30"/>
    </row>
    <row r="444" spans="1:4" x14ac:dyDescent="0.25">
      <c r="A444" s="1"/>
      <c r="B444" s="30"/>
      <c r="C444" s="1"/>
      <c r="D444" s="30"/>
    </row>
    <row r="445" spans="1:4" x14ac:dyDescent="0.25">
      <c r="A445" s="1"/>
      <c r="B445" s="30"/>
      <c r="C445" s="1"/>
      <c r="D445" s="30"/>
    </row>
    <row r="446" spans="1:4" x14ac:dyDescent="0.25">
      <c r="A446" s="1"/>
      <c r="B446" s="30"/>
      <c r="C446" s="1"/>
      <c r="D446" s="30"/>
    </row>
    <row r="447" spans="1:4" x14ac:dyDescent="0.25">
      <c r="A447" s="1"/>
      <c r="B447" s="30"/>
      <c r="C447" s="1"/>
      <c r="D447" s="30"/>
    </row>
    <row r="448" spans="1:4" x14ac:dyDescent="0.25">
      <c r="A448" s="1"/>
      <c r="B448" s="30"/>
      <c r="C448" s="1"/>
      <c r="D448" s="30"/>
    </row>
    <row r="449" spans="1:4" x14ac:dyDescent="0.25">
      <c r="A449" s="1"/>
      <c r="B449" s="30"/>
      <c r="C449" s="1"/>
      <c r="D449" s="30"/>
    </row>
    <row r="450" spans="1:4" x14ac:dyDescent="0.25">
      <c r="A450" s="1"/>
      <c r="B450" s="30"/>
      <c r="C450" s="1"/>
      <c r="D450" s="30"/>
    </row>
    <row r="451" spans="1:4" x14ac:dyDescent="0.25">
      <c r="A451" s="1"/>
      <c r="B451" s="30"/>
      <c r="C451" s="1"/>
      <c r="D451" s="30"/>
    </row>
    <row r="452" spans="1:4" x14ac:dyDescent="0.25">
      <c r="A452" s="1"/>
      <c r="B452" s="30"/>
      <c r="C452" s="1"/>
      <c r="D452" s="30"/>
    </row>
    <row r="453" spans="1:4" x14ac:dyDescent="0.25">
      <c r="A453" s="1"/>
      <c r="B453" s="30"/>
      <c r="C453" s="1"/>
      <c r="D453" s="30"/>
    </row>
    <row r="454" spans="1:4" x14ac:dyDescent="0.25">
      <c r="A454" s="1"/>
      <c r="B454" s="30"/>
      <c r="C454" s="1"/>
      <c r="D454" s="30"/>
    </row>
    <row r="455" spans="1:4" x14ac:dyDescent="0.25">
      <c r="A455" s="1"/>
      <c r="B455" s="30"/>
      <c r="C455" s="1"/>
      <c r="D455" s="30"/>
    </row>
    <row r="456" spans="1:4" x14ac:dyDescent="0.25">
      <c r="A456" s="1"/>
      <c r="B456" s="30"/>
      <c r="C456" s="1"/>
      <c r="D456" s="30"/>
    </row>
    <row r="457" spans="1:4" x14ac:dyDescent="0.25">
      <c r="A457" s="1"/>
      <c r="B457" s="30"/>
      <c r="C457" s="1"/>
      <c r="D457" s="30"/>
    </row>
    <row r="458" spans="1:4" x14ac:dyDescent="0.25">
      <c r="A458" s="1"/>
      <c r="B458" s="30"/>
      <c r="C458" s="1"/>
      <c r="D458" s="30"/>
    </row>
    <row r="459" spans="1:4" x14ac:dyDescent="0.25">
      <c r="A459" s="1"/>
      <c r="B459" s="30"/>
      <c r="C459" s="1"/>
      <c r="D459" s="30"/>
    </row>
    <row r="460" spans="1:4" x14ac:dyDescent="0.25">
      <c r="A460" s="1"/>
      <c r="B460" s="30"/>
      <c r="C460" s="1"/>
      <c r="D460" s="30"/>
    </row>
    <row r="461" spans="1:4" x14ac:dyDescent="0.25">
      <c r="A461" s="1"/>
      <c r="B461" s="30"/>
      <c r="C461" s="1"/>
      <c r="D461" s="30"/>
    </row>
    <row r="462" spans="1:4" x14ac:dyDescent="0.25">
      <c r="A462" s="1"/>
      <c r="B462" s="30"/>
      <c r="C462" s="1"/>
      <c r="D462" s="30"/>
    </row>
    <row r="463" spans="1:4" x14ac:dyDescent="0.25">
      <c r="A463" s="1"/>
      <c r="B463" s="30"/>
      <c r="C463" s="1"/>
      <c r="D463" s="30"/>
    </row>
    <row r="464" spans="1:4" x14ac:dyDescent="0.25">
      <c r="A464" s="1"/>
      <c r="B464" s="30"/>
      <c r="C464" s="1"/>
      <c r="D464" s="30"/>
    </row>
    <row r="465" spans="1:4" x14ac:dyDescent="0.25">
      <c r="A465" s="1"/>
      <c r="B465" s="30"/>
      <c r="C465" s="1"/>
      <c r="D465" s="30"/>
    </row>
    <row r="466" spans="1:4" x14ac:dyDescent="0.25">
      <c r="A466" s="1"/>
      <c r="B466" s="30"/>
      <c r="C466" s="1"/>
      <c r="D466" s="30"/>
    </row>
    <row r="467" spans="1:4" x14ac:dyDescent="0.25">
      <c r="A467" s="1"/>
      <c r="B467" s="30"/>
      <c r="C467" s="1"/>
      <c r="D467" s="30"/>
    </row>
    <row r="468" spans="1:4" x14ac:dyDescent="0.25">
      <c r="A468" s="1"/>
      <c r="B468" s="30"/>
      <c r="C468" s="1"/>
      <c r="D468" s="30"/>
    </row>
    <row r="469" spans="1:4" x14ac:dyDescent="0.25">
      <c r="A469" s="1"/>
      <c r="B469" s="30"/>
      <c r="C469" s="1"/>
      <c r="D469" s="30"/>
    </row>
    <row r="470" spans="1:4" x14ac:dyDescent="0.25">
      <c r="A470" s="1"/>
      <c r="B470" s="30"/>
      <c r="C470" s="1"/>
      <c r="D470" s="30"/>
    </row>
    <row r="471" spans="1:4" x14ac:dyDescent="0.25">
      <c r="A471" s="1"/>
      <c r="B471" s="30"/>
      <c r="C471" s="1"/>
      <c r="D471" s="30"/>
    </row>
    <row r="472" spans="1:4" x14ac:dyDescent="0.25">
      <c r="A472" s="1"/>
      <c r="B472" s="30"/>
      <c r="C472" s="1"/>
      <c r="D472" s="30"/>
    </row>
    <row r="473" spans="1:4" x14ac:dyDescent="0.25">
      <c r="A473" s="1"/>
      <c r="B473" s="30"/>
      <c r="C473" s="1"/>
      <c r="D473" s="30"/>
    </row>
    <row r="474" spans="1:4" x14ac:dyDescent="0.25">
      <c r="A474" s="1"/>
      <c r="B474" s="30"/>
      <c r="C474" s="1"/>
      <c r="D474" s="30"/>
    </row>
    <row r="475" spans="1:4" x14ac:dyDescent="0.25">
      <c r="A475" s="1"/>
      <c r="B475" s="30"/>
      <c r="C475" s="1"/>
      <c r="D475" s="30"/>
    </row>
    <row r="476" spans="1:4" x14ac:dyDescent="0.25">
      <c r="A476" s="1"/>
      <c r="B476" s="30"/>
      <c r="C476" s="1"/>
      <c r="D476" s="30"/>
    </row>
    <row r="477" spans="1:4" x14ac:dyDescent="0.25">
      <c r="A477" s="1"/>
      <c r="B477" s="30"/>
      <c r="C477" s="1"/>
      <c r="D477" s="30"/>
    </row>
    <row r="478" spans="1:4" x14ac:dyDescent="0.25">
      <c r="A478" s="1"/>
      <c r="B478" s="30"/>
      <c r="C478" s="1"/>
      <c r="D478" s="30"/>
    </row>
    <row r="479" spans="1:4" x14ac:dyDescent="0.25">
      <c r="A479" s="1"/>
      <c r="B479" s="30"/>
      <c r="C479" s="1"/>
      <c r="D479" s="30"/>
    </row>
    <row r="480" spans="1:4" x14ac:dyDescent="0.25">
      <c r="A480" s="1"/>
      <c r="B480" s="30"/>
      <c r="C480" s="1"/>
      <c r="D480" s="30"/>
    </row>
    <row r="481" spans="1:4" x14ac:dyDescent="0.25">
      <c r="A481" s="1"/>
      <c r="B481" s="30"/>
      <c r="C481" s="1"/>
      <c r="D481" s="30"/>
    </row>
    <row r="482" spans="1:4" x14ac:dyDescent="0.25">
      <c r="A482" s="1"/>
      <c r="B482" s="30"/>
      <c r="C482" s="1"/>
      <c r="D482" s="30"/>
    </row>
    <row r="483" spans="1:4" x14ac:dyDescent="0.25">
      <c r="A483" s="1"/>
      <c r="B483" s="30"/>
      <c r="C483" s="1"/>
      <c r="D483" s="30"/>
    </row>
    <row r="484" spans="1:4" x14ac:dyDescent="0.25">
      <c r="A484" s="1"/>
      <c r="B484" s="30"/>
      <c r="C484" s="1"/>
      <c r="D484" s="30"/>
    </row>
    <row r="485" spans="1:4" x14ac:dyDescent="0.25">
      <c r="A485" s="1"/>
      <c r="B485" s="30"/>
      <c r="C485" s="1"/>
      <c r="D485" s="30"/>
    </row>
    <row r="486" spans="1:4" x14ac:dyDescent="0.25">
      <c r="A486" s="1"/>
      <c r="B486" s="30"/>
      <c r="C486" s="1"/>
      <c r="D486" s="30"/>
    </row>
    <row r="487" spans="1:4" x14ac:dyDescent="0.25">
      <c r="A487" s="1"/>
      <c r="B487" s="30"/>
      <c r="C487" s="1"/>
      <c r="D487" s="30"/>
    </row>
    <row r="488" spans="1:4" x14ac:dyDescent="0.25">
      <c r="A488" s="1"/>
      <c r="B488" s="30"/>
      <c r="C488" s="1"/>
      <c r="D488" s="30"/>
    </row>
    <row r="489" spans="1:4" x14ac:dyDescent="0.25">
      <c r="A489" s="1"/>
      <c r="B489" s="30"/>
      <c r="C489" s="1"/>
      <c r="D489" s="30"/>
    </row>
    <row r="490" spans="1:4" x14ac:dyDescent="0.25">
      <c r="A490" s="1"/>
      <c r="B490" s="30"/>
      <c r="C490" s="1"/>
      <c r="D490" s="30"/>
    </row>
    <row r="491" spans="1:4" x14ac:dyDescent="0.25">
      <c r="A491" s="1"/>
      <c r="B491" s="30"/>
      <c r="C491" s="1"/>
      <c r="D491" s="30"/>
    </row>
    <row r="492" spans="1:4" x14ac:dyDescent="0.25">
      <c r="A492" s="1"/>
      <c r="B492" s="30"/>
      <c r="C492" s="1"/>
      <c r="D492" s="30"/>
    </row>
    <row r="493" spans="1:4" x14ac:dyDescent="0.25">
      <c r="A493" s="1"/>
      <c r="B493" s="30"/>
      <c r="C493" s="1"/>
      <c r="D493" s="30"/>
    </row>
    <row r="494" spans="1:4" x14ac:dyDescent="0.25">
      <c r="A494" s="1"/>
      <c r="B494" s="30"/>
      <c r="C494" s="1"/>
      <c r="D494" s="30"/>
    </row>
    <row r="495" spans="1:4" x14ac:dyDescent="0.25">
      <c r="A495" s="1"/>
      <c r="B495" s="30"/>
      <c r="C495" s="1"/>
      <c r="D495" s="30"/>
    </row>
    <row r="496" spans="1:4" x14ac:dyDescent="0.25">
      <c r="A496" s="1"/>
      <c r="B496" s="30"/>
      <c r="C496" s="1"/>
      <c r="D496" s="30"/>
    </row>
    <row r="497" spans="1:4" x14ac:dyDescent="0.25">
      <c r="A497" s="1"/>
      <c r="B497" s="30"/>
      <c r="C497" s="1"/>
      <c r="D497" s="30"/>
    </row>
    <row r="498" spans="1:4" x14ac:dyDescent="0.25">
      <c r="A498" s="1"/>
      <c r="B498" s="30"/>
      <c r="C498" s="1"/>
      <c r="D498" s="30"/>
    </row>
    <row r="499" spans="1:4" x14ac:dyDescent="0.25">
      <c r="A499" s="1"/>
      <c r="B499" s="30"/>
      <c r="C499" s="1"/>
      <c r="D499" s="30"/>
    </row>
    <row r="500" spans="1:4" x14ac:dyDescent="0.25">
      <c r="A500" s="1"/>
      <c r="B500" s="30"/>
      <c r="C500" s="1"/>
      <c r="D500" s="30"/>
    </row>
    <row r="501" spans="1:4" x14ac:dyDescent="0.25">
      <c r="A501" s="1"/>
      <c r="B501" s="30"/>
      <c r="C501" s="1"/>
      <c r="D501" s="30"/>
    </row>
    <row r="502" spans="1:4" x14ac:dyDescent="0.25">
      <c r="A502" s="1"/>
      <c r="B502" s="30"/>
      <c r="C502" s="1"/>
      <c r="D502" s="30"/>
    </row>
    <row r="503" spans="1:4" x14ac:dyDescent="0.25">
      <c r="A503" s="1"/>
      <c r="B503" s="30"/>
      <c r="C503" s="1"/>
      <c r="D503" s="30"/>
    </row>
    <row r="504" spans="1:4" x14ac:dyDescent="0.25">
      <c r="A504" s="1"/>
      <c r="B504" s="30"/>
      <c r="C504" s="1"/>
      <c r="D504" s="30"/>
    </row>
    <row r="505" spans="1:4" x14ac:dyDescent="0.25">
      <c r="A505" s="1"/>
      <c r="B505" s="30"/>
      <c r="C505" s="1"/>
      <c r="D505" s="30"/>
    </row>
    <row r="506" spans="1:4" x14ac:dyDescent="0.25">
      <c r="A506" s="1"/>
      <c r="B506" s="30"/>
      <c r="C506" s="1"/>
      <c r="D506" s="30"/>
    </row>
    <row r="507" spans="1:4" x14ac:dyDescent="0.25">
      <c r="A507" s="1"/>
      <c r="B507" s="30"/>
      <c r="C507" s="1"/>
      <c r="D507" s="30"/>
    </row>
    <row r="508" spans="1:4" x14ac:dyDescent="0.25">
      <c r="A508" s="1"/>
      <c r="B508" s="30"/>
      <c r="C508" s="1"/>
      <c r="D508" s="30"/>
    </row>
    <row r="509" spans="1:4" x14ac:dyDescent="0.25">
      <c r="A509" s="1"/>
      <c r="B509" s="30"/>
      <c r="C509" s="1"/>
      <c r="D509" s="30"/>
    </row>
    <row r="510" spans="1:4" x14ac:dyDescent="0.25">
      <c r="A510" s="1"/>
      <c r="B510" s="30"/>
      <c r="C510" s="1"/>
      <c r="D510" s="30"/>
    </row>
    <row r="511" spans="1:4" x14ac:dyDescent="0.25">
      <c r="A511" s="1"/>
      <c r="B511" s="30"/>
      <c r="C511" s="1"/>
      <c r="D511" s="30"/>
    </row>
    <row r="512" spans="1:4" x14ac:dyDescent="0.25">
      <c r="A512" s="1"/>
      <c r="B512" s="30"/>
      <c r="C512" s="1"/>
      <c r="D512" s="30"/>
    </row>
    <row r="513" spans="1:4" x14ac:dyDescent="0.25">
      <c r="A513" s="1"/>
      <c r="B513" s="30"/>
      <c r="C513" s="1"/>
      <c r="D513" s="30"/>
    </row>
    <row r="514" spans="1:4" x14ac:dyDescent="0.25">
      <c r="A514" s="1"/>
      <c r="B514" s="30"/>
      <c r="C514" s="1"/>
      <c r="D514" s="30"/>
    </row>
    <row r="515" spans="1:4" x14ac:dyDescent="0.25">
      <c r="A515" s="1"/>
      <c r="B515" s="30"/>
      <c r="C515" s="1"/>
      <c r="D515" s="30"/>
    </row>
    <row r="516" spans="1:4" x14ac:dyDescent="0.25">
      <c r="A516" s="1"/>
      <c r="B516" s="30"/>
      <c r="C516" s="1"/>
      <c r="D516" s="30"/>
    </row>
    <row r="517" spans="1:4" x14ac:dyDescent="0.25">
      <c r="A517" s="1"/>
      <c r="B517" s="30"/>
      <c r="C517" s="1"/>
      <c r="D517" s="30"/>
    </row>
    <row r="518" spans="1:4" x14ac:dyDescent="0.25">
      <c r="A518" s="1"/>
      <c r="B518" s="30"/>
      <c r="C518" s="1"/>
      <c r="D518" s="30"/>
    </row>
    <row r="519" spans="1:4" x14ac:dyDescent="0.25">
      <c r="A519" s="1"/>
      <c r="B519" s="30"/>
      <c r="C519" s="1"/>
      <c r="D519" s="30"/>
    </row>
    <row r="520" spans="1:4" x14ac:dyDescent="0.25">
      <c r="A520" s="1"/>
      <c r="B520" s="30"/>
      <c r="C520" s="1"/>
      <c r="D520" s="30"/>
    </row>
    <row r="521" spans="1:4" x14ac:dyDescent="0.25">
      <c r="A521" s="1"/>
      <c r="B521" s="30"/>
      <c r="C521" s="1"/>
      <c r="D521" s="30"/>
    </row>
    <row r="522" spans="1:4" x14ac:dyDescent="0.25">
      <c r="A522" s="1"/>
      <c r="B522" s="30"/>
      <c r="C522" s="1"/>
      <c r="D522" s="30"/>
    </row>
    <row r="523" spans="1:4" x14ac:dyDescent="0.25">
      <c r="A523" s="1"/>
      <c r="B523" s="30"/>
      <c r="C523" s="1"/>
      <c r="D523" s="30"/>
    </row>
    <row r="524" spans="1:4" x14ac:dyDescent="0.25">
      <c r="A524" s="1"/>
      <c r="B524" s="30"/>
      <c r="C524" s="1"/>
      <c r="D524" s="30"/>
    </row>
    <row r="525" spans="1:4" x14ac:dyDescent="0.25">
      <c r="A525" s="1"/>
      <c r="B525" s="30"/>
      <c r="C525" s="1"/>
      <c r="D525" s="30"/>
    </row>
    <row r="526" spans="1:4" x14ac:dyDescent="0.25">
      <c r="A526" s="1"/>
      <c r="B526" s="30"/>
      <c r="C526" s="1"/>
      <c r="D526" s="30"/>
    </row>
    <row r="527" spans="1:4" x14ac:dyDescent="0.25">
      <c r="A527" s="1"/>
      <c r="B527" s="30"/>
      <c r="C527" s="1"/>
      <c r="D527" s="30"/>
    </row>
    <row r="528" spans="1:4" x14ac:dyDescent="0.25">
      <c r="A528" s="1"/>
      <c r="B528" s="30"/>
      <c r="C528" s="1"/>
      <c r="D528" s="30"/>
    </row>
    <row r="529" spans="1:4" x14ac:dyDescent="0.25">
      <c r="A529" s="1"/>
      <c r="B529" s="30"/>
      <c r="C529" s="1"/>
      <c r="D529" s="30"/>
    </row>
    <row r="530" spans="1:4" x14ac:dyDescent="0.25">
      <c r="A530" s="1"/>
      <c r="B530" s="30"/>
      <c r="C530" s="1"/>
      <c r="D530" s="30"/>
    </row>
    <row r="531" spans="1:4" x14ac:dyDescent="0.25">
      <c r="A531" s="1"/>
      <c r="B531" s="30"/>
      <c r="C531" s="1"/>
      <c r="D531" s="30"/>
    </row>
    <row r="532" spans="1:4" x14ac:dyDescent="0.25">
      <c r="A532" s="1"/>
      <c r="B532" s="30"/>
      <c r="C532" s="1"/>
      <c r="D532" s="30"/>
    </row>
    <row r="533" spans="1:4" x14ac:dyDescent="0.25">
      <c r="A533" s="1"/>
      <c r="B533" s="30"/>
      <c r="C533" s="1"/>
      <c r="D533" s="30"/>
    </row>
    <row r="534" spans="1:4" x14ac:dyDescent="0.25">
      <c r="A534" s="1"/>
      <c r="B534" s="30"/>
      <c r="C534" s="1"/>
      <c r="D534" s="30"/>
    </row>
    <row r="535" spans="1:4" x14ac:dyDescent="0.25">
      <c r="A535" s="1"/>
      <c r="B535" s="30"/>
      <c r="C535" s="1"/>
      <c r="D535" s="30"/>
    </row>
    <row r="536" spans="1:4" x14ac:dyDescent="0.25">
      <c r="A536" s="1"/>
      <c r="B536" s="30"/>
      <c r="C536" s="1"/>
      <c r="D536" s="30"/>
    </row>
    <row r="537" spans="1:4" x14ac:dyDescent="0.25">
      <c r="A537" s="1"/>
      <c r="B537" s="30"/>
      <c r="C537" s="1"/>
      <c r="D537" s="30"/>
    </row>
    <row r="538" spans="1:4" x14ac:dyDescent="0.25">
      <c r="A538" s="1"/>
      <c r="B538" s="30"/>
      <c r="C538" s="1"/>
      <c r="D538" s="30"/>
    </row>
    <row r="539" spans="1:4" x14ac:dyDescent="0.25">
      <c r="A539" s="1"/>
      <c r="B539" s="30"/>
      <c r="C539" s="1"/>
      <c r="D539" s="30"/>
    </row>
    <row r="540" spans="1:4" x14ac:dyDescent="0.25">
      <c r="A540" s="1"/>
      <c r="B540" s="30"/>
      <c r="C540" s="1"/>
      <c r="D540" s="30"/>
    </row>
    <row r="541" spans="1:4" x14ac:dyDescent="0.25">
      <c r="A541" s="1"/>
      <c r="B541" s="30"/>
      <c r="C541" s="1"/>
      <c r="D541" s="30"/>
    </row>
    <row r="542" spans="1:4" x14ac:dyDescent="0.25">
      <c r="A542" s="1"/>
      <c r="B542" s="30"/>
      <c r="C542" s="1"/>
      <c r="D542" s="30"/>
    </row>
    <row r="543" spans="1:4" x14ac:dyDescent="0.25">
      <c r="A543" s="1"/>
      <c r="B543" s="30"/>
      <c r="C543" s="1"/>
      <c r="D543" s="30"/>
    </row>
    <row r="544" spans="1:4" x14ac:dyDescent="0.25">
      <c r="A544" s="1"/>
      <c r="B544" s="30"/>
      <c r="C544" s="1"/>
      <c r="D544" s="30"/>
    </row>
    <row r="545" spans="1:4" x14ac:dyDescent="0.25">
      <c r="A545" s="1"/>
      <c r="B545" s="30"/>
      <c r="C545" s="1"/>
      <c r="D545" s="30"/>
    </row>
    <row r="546" spans="1:4" x14ac:dyDescent="0.25">
      <c r="A546" s="1"/>
      <c r="B546" s="30"/>
      <c r="C546" s="1"/>
      <c r="D546" s="30"/>
    </row>
    <row r="547" spans="1:4" x14ac:dyDescent="0.25">
      <c r="A547" s="1"/>
      <c r="B547" s="30"/>
      <c r="C547" s="1"/>
      <c r="D547" s="30"/>
    </row>
    <row r="548" spans="1:4" x14ac:dyDescent="0.25">
      <c r="A548" s="1"/>
      <c r="B548" s="30"/>
      <c r="C548" s="1"/>
      <c r="D548" s="30"/>
    </row>
    <row r="549" spans="1:4" x14ac:dyDescent="0.25">
      <c r="A549" s="1"/>
      <c r="B549" s="30"/>
      <c r="C549" s="1"/>
      <c r="D549" s="30"/>
    </row>
    <row r="550" spans="1:4" x14ac:dyDescent="0.25">
      <c r="A550" s="1"/>
      <c r="B550" s="30"/>
      <c r="C550" s="1"/>
      <c r="D550" s="30"/>
    </row>
    <row r="551" spans="1:4" x14ac:dyDescent="0.25">
      <c r="A551" s="1"/>
      <c r="B551" s="30"/>
      <c r="C551" s="1"/>
      <c r="D551" s="30"/>
    </row>
    <row r="552" spans="1:4" x14ac:dyDescent="0.25">
      <c r="A552" s="1"/>
      <c r="B552" s="30"/>
      <c r="C552" s="1"/>
      <c r="D552" s="30"/>
    </row>
    <row r="553" spans="1:4" x14ac:dyDescent="0.25">
      <c r="A553" s="1"/>
      <c r="B553" s="30"/>
      <c r="C553" s="1"/>
      <c r="D553" s="30"/>
    </row>
    <row r="554" spans="1:4" x14ac:dyDescent="0.25">
      <c r="A554" s="1"/>
      <c r="B554" s="30"/>
      <c r="C554" s="1"/>
      <c r="D554" s="30"/>
    </row>
    <row r="555" spans="1:4" x14ac:dyDescent="0.25">
      <c r="A555" s="1"/>
      <c r="B555" s="30"/>
      <c r="C555" s="1"/>
      <c r="D555" s="30"/>
    </row>
    <row r="556" spans="1:4" x14ac:dyDescent="0.25">
      <c r="A556" s="1"/>
      <c r="B556" s="30"/>
      <c r="C556" s="1"/>
      <c r="D556" s="30"/>
    </row>
    <row r="557" spans="1:4" x14ac:dyDescent="0.25">
      <c r="A557" s="1"/>
      <c r="B557" s="30"/>
      <c r="C557" s="1"/>
      <c r="D557" s="30"/>
    </row>
    <row r="558" spans="1:4" x14ac:dyDescent="0.25">
      <c r="A558" s="1"/>
      <c r="B558" s="30"/>
      <c r="C558" s="1"/>
      <c r="D558" s="30"/>
    </row>
    <row r="559" spans="1:4" x14ac:dyDescent="0.25">
      <c r="A559" s="1"/>
      <c r="B559" s="30"/>
      <c r="C559" s="1"/>
      <c r="D559" s="30"/>
    </row>
    <row r="560" spans="1:4" x14ac:dyDescent="0.25">
      <c r="A560" s="1"/>
      <c r="B560" s="30"/>
      <c r="C560" s="1"/>
      <c r="D560" s="30"/>
    </row>
    <row r="561" spans="1:4" x14ac:dyDescent="0.25">
      <c r="A561" s="1"/>
      <c r="B561" s="30"/>
      <c r="C561" s="1"/>
      <c r="D561" s="30"/>
    </row>
    <row r="562" spans="1:4" x14ac:dyDescent="0.25">
      <c r="A562" s="1"/>
      <c r="B562" s="30"/>
      <c r="C562" s="1"/>
      <c r="D562" s="30"/>
    </row>
    <row r="563" spans="1:4" x14ac:dyDescent="0.25">
      <c r="A563" s="1"/>
      <c r="B563" s="30"/>
      <c r="C563" s="1"/>
      <c r="D563" s="30"/>
    </row>
    <row r="564" spans="1:4" x14ac:dyDescent="0.25">
      <c r="A564" s="1"/>
      <c r="B564" s="30"/>
      <c r="C564" s="1"/>
      <c r="D564" s="30"/>
    </row>
    <row r="565" spans="1:4" x14ac:dyDescent="0.25">
      <c r="A565" s="1"/>
      <c r="B565" s="30"/>
      <c r="C565" s="1"/>
      <c r="D565" s="30"/>
    </row>
    <row r="566" spans="1:4" x14ac:dyDescent="0.25">
      <c r="A566" s="1"/>
      <c r="B566" s="30"/>
      <c r="C566" s="1"/>
      <c r="D566" s="30"/>
    </row>
    <row r="567" spans="1:4" x14ac:dyDescent="0.25">
      <c r="A567" s="1"/>
      <c r="B567" s="30"/>
      <c r="C567" s="1"/>
      <c r="D567" s="30"/>
    </row>
    <row r="568" spans="1:4" x14ac:dyDescent="0.25">
      <c r="A568" s="1"/>
      <c r="B568" s="30"/>
      <c r="C568" s="1"/>
      <c r="D568" s="30"/>
    </row>
    <row r="569" spans="1:4" x14ac:dyDescent="0.25">
      <c r="A569" s="1"/>
      <c r="B569" s="30"/>
      <c r="C569" s="1"/>
      <c r="D569" s="30"/>
    </row>
    <row r="570" spans="1:4" x14ac:dyDescent="0.25">
      <c r="A570" s="1"/>
      <c r="B570" s="30"/>
      <c r="C570" s="1"/>
      <c r="D570" s="30"/>
    </row>
    <row r="571" spans="1:4" x14ac:dyDescent="0.25">
      <c r="A571" s="1"/>
      <c r="B571" s="30"/>
      <c r="C571" s="1"/>
      <c r="D571" s="30"/>
    </row>
    <row r="572" spans="1:4" x14ac:dyDescent="0.25">
      <c r="A572" s="1"/>
      <c r="B572" s="30"/>
      <c r="C572" s="1"/>
      <c r="D572" s="30"/>
    </row>
    <row r="573" spans="1:4" x14ac:dyDescent="0.25">
      <c r="A573" s="1"/>
      <c r="B573" s="30"/>
      <c r="C573" s="1"/>
      <c r="D573" s="30"/>
    </row>
    <row r="574" spans="1:4" x14ac:dyDescent="0.25">
      <c r="A574" s="1"/>
      <c r="B574" s="30"/>
      <c r="C574" s="1"/>
      <c r="D574" s="30"/>
    </row>
    <row r="575" spans="1:4" x14ac:dyDescent="0.25">
      <c r="A575" s="1"/>
      <c r="B575" s="30"/>
      <c r="C575" s="1"/>
      <c r="D575" s="30"/>
    </row>
    <row r="576" spans="1:4" x14ac:dyDescent="0.25">
      <c r="A576" s="1"/>
      <c r="B576" s="30"/>
      <c r="C576" s="1"/>
      <c r="D576" s="30"/>
    </row>
    <row r="577" spans="1:4" x14ac:dyDescent="0.25">
      <c r="A577" s="1"/>
      <c r="B577" s="30"/>
      <c r="C577" s="1"/>
      <c r="D577" s="30"/>
    </row>
    <row r="578" spans="1:4" x14ac:dyDescent="0.25">
      <c r="A578" s="1"/>
      <c r="B578" s="30"/>
      <c r="C578" s="1"/>
      <c r="D578" s="30"/>
    </row>
    <row r="579" spans="1:4" x14ac:dyDescent="0.25">
      <c r="A579" s="1"/>
      <c r="B579" s="30"/>
      <c r="C579" s="1"/>
      <c r="D579" s="30"/>
    </row>
    <row r="580" spans="1:4" x14ac:dyDescent="0.25">
      <c r="A580" s="1"/>
      <c r="B580" s="30"/>
      <c r="C580" s="1"/>
      <c r="D580" s="30"/>
    </row>
    <row r="581" spans="1:4" x14ac:dyDescent="0.25">
      <c r="A581" s="1"/>
      <c r="B581" s="30"/>
      <c r="C581" s="1"/>
      <c r="D581" s="30"/>
    </row>
    <row r="582" spans="1:4" x14ac:dyDescent="0.25">
      <c r="A582" s="1"/>
      <c r="B582" s="30"/>
      <c r="C582" s="1"/>
      <c r="D582" s="30"/>
    </row>
    <row r="583" spans="1:4" x14ac:dyDescent="0.25">
      <c r="A583" s="1"/>
      <c r="B583" s="30"/>
      <c r="C583" s="1"/>
      <c r="D583" s="30"/>
    </row>
    <row r="584" spans="1:4" x14ac:dyDescent="0.25">
      <c r="A584" s="1"/>
      <c r="B584" s="30"/>
      <c r="C584" s="1"/>
      <c r="D584" s="30"/>
    </row>
    <row r="585" spans="1:4" x14ac:dyDescent="0.25">
      <c r="A585" s="1"/>
      <c r="B585" s="30"/>
      <c r="C585" s="1"/>
      <c r="D585" s="30"/>
    </row>
    <row r="586" spans="1:4" x14ac:dyDescent="0.25">
      <c r="A586" s="1"/>
      <c r="B586" s="30"/>
      <c r="C586" s="1"/>
      <c r="D586" s="30"/>
    </row>
    <row r="587" spans="1:4" x14ac:dyDescent="0.25">
      <c r="A587" s="1"/>
      <c r="B587" s="30"/>
      <c r="C587" s="1"/>
      <c r="D587" s="30"/>
    </row>
    <row r="588" spans="1:4" x14ac:dyDescent="0.25">
      <c r="A588" s="1"/>
      <c r="B588" s="30"/>
      <c r="C588" s="1"/>
      <c r="D588" s="30"/>
    </row>
    <row r="589" spans="1:4" x14ac:dyDescent="0.25">
      <c r="A589" s="1"/>
      <c r="B589" s="30"/>
      <c r="C589" s="1"/>
      <c r="D589" s="30"/>
    </row>
    <row r="590" spans="1:4" x14ac:dyDescent="0.25">
      <c r="A590" s="1"/>
      <c r="B590" s="30"/>
      <c r="C590" s="1"/>
      <c r="D590" s="30"/>
    </row>
    <row r="591" spans="1:4" x14ac:dyDescent="0.25">
      <c r="A591" s="1"/>
      <c r="B591" s="30"/>
      <c r="C591" s="1"/>
      <c r="D591" s="30"/>
    </row>
    <row r="592" spans="1:4" x14ac:dyDescent="0.25">
      <c r="A592" s="1"/>
      <c r="B592" s="30"/>
      <c r="C592" s="1"/>
      <c r="D592" s="30"/>
    </row>
    <row r="593" spans="1:4" x14ac:dyDescent="0.25">
      <c r="A593" s="1"/>
      <c r="B593" s="30"/>
      <c r="C593" s="1"/>
      <c r="D593" s="30"/>
    </row>
    <row r="594" spans="1:4" x14ac:dyDescent="0.25">
      <c r="A594" s="1"/>
      <c r="B594" s="30"/>
      <c r="C594" s="1"/>
      <c r="D594" s="30"/>
    </row>
    <row r="595" spans="1:4" x14ac:dyDescent="0.25">
      <c r="A595" s="1"/>
      <c r="B595" s="30"/>
      <c r="C595" s="1"/>
      <c r="D595" s="30"/>
    </row>
    <row r="596" spans="1:4" x14ac:dyDescent="0.25">
      <c r="A596" s="1"/>
      <c r="B596" s="30"/>
      <c r="C596" s="1"/>
      <c r="D596" s="30"/>
    </row>
    <row r="597" spans="1:4" x14ac:dyDescent="0.25">
      <c r="A597" s="1"/>
      <c r="B597" s="30"/>
      <c r="C597" s="1"/>
      <c r="D597" s="30"/>
    </row>
    <row r="598" spans="1:4" x14ac:dyDescent="0.25">
      <c r="A598" s="1"/>
      <c r="B598" s="30"/>
      <c r="C598" s="1"/>
      <c r="D598" s="30"/>
    </row>
    <row r="599" spans="1:4" x14ac:dyDescent="0.25">
      <c r="A599" s="1"/>
      <c r="B599" s="30"/>
      <c r="C599" s="1"/>
      <c r="D599" s="30"/>
    </row>
    <row r="600" spans="1:4" x14ac:dyDescent="0.25">
      <c r="A600" s="1"/>
      <c r="B600" s="30"/>
      <c r="C600" s="1"/>
      <c r="D600" s="30"/>
    </row>
    <row r="601" spans="1:4" x14ac:dyDescent="0.25">
      <c r="A601" s="1"/>
      <c r="B601" s="30"/>
      <c r="C601" s="1"/>
      <c r="D601" s="30"/>
    </row>
    <row r="602" spans="1:4" x14ac:dyDescent="0.25">
      <c r="A602" s="1"/>
      <c r="B602" s="30"/>
      <c r="C602" s="1"/>
      <c r="D602" s="30"/>
    </row>
    <row r="603" spans="1:4" x14ac:dyDescent="0.25">
      <c r="A603" s="1"/>
      <c r="B603" s="30"/>
      <c r="C603" s="1"/>
      <c r="D603" s="30"/>
    </row>
    <row r="604" spans="1:4" x14ac:dyDescent="0.25">
      <c r="A604" s="1"/>
      <c r="B604" s="30"/>
      <c r="C604" s="1"/>
      <c r="D604" s="30"/>
    </row>
    <row r="605" spans="1:4" x14ac:dyDescent="0.25">
      <c r="A605" s="1"/>
      <c r="B605" s="30"/>
      <c r="C605" s="1"/>
      <c r="D605" s="30"/>
    </row>
    <row r="606" spans="1:4" x14ac:dyDescent="0.25">
      <c r="A606" s="1"/>
      <c r="B606" s="30"/>
      <c r="C606" s="1"/>
      <c r="D606" s="30"/>
    </row>
    <row r="607" spans="1:4" x14ac:dyDescent="0.25">
      <c r="A607" s="1"/>
      <c r="B607" s="30"/>
      <c r="C607" s="1"/>
      <c r="D607" s="30"/>
    </row>
    <row r="608" spans="1:4" x14ac:dyDescent="0.25">
      <c r="A608" s="1"/>
      <c r="B608" s="30"/>
      <c r="C608" s="1"/>
      <c r="D608" s="30"/>
    </row>
    <row r="609" spans="1:4" x14ac:dyDescent="0.25">
      <c r="A609" s="1"/>
      <c r="B609" s="30"/>
      <c r="C609" s="1"/>
      <c r="D609" s="30"/>
    </row>
    <row r="610" spans="1:4" x14ac:dyDescent="0.25">
      <c r="A610" s="1"/>
      <c r="B610" s="30"/>
      <c r="C610" s="1"/>
      <c r="D610" s="30"/>
    </row>
    <row r="611" spans="1:4" x14ac:dyDescent="0.25">
      <c r="A611" s="1"/>
      <c r="B611" s="30"/>
      <c r="C611" s="1"/>
      <c r="D611" s="30"/>
    </row>
    <row r="612" spans="1:4" x14ac:dyDescent="0.25">
      <c r="A612" s="1"/>
      <c r="B612" s="30"/>
      <c r="C612" s="1"/>
      <c r="D612" s="30"/>
    </row>
    <row r="613" spans="1:4" x14ac:dyDescent="0.25">
      <c r="A613" s="1"/>
      <c r="B613" s="30"/>
      <c r="C613" s="1"/>
      <c r="D613" s="30"/>
    </row>
    <row r="614" spans="1:4" x14ac:dyDescent="0.25">
      <c r="A614" s="1"/>
      <c r="B614" s="30"/>
      <c r="C614" s="1"/>
      <c r="D614" s="30"/>
    </row>
    <row r="615" spans="1:4" x14ac:dyDescent="0.25">
      <c r="A615" s="1"/>
      <c r="B615" s="30"/>
      <c r="C615" s="1"/>
      <c r="D615" s="30"/>
    </row>
    <row r="616" spans="1:4" x14ac:dyDescent="0.25">
      <c r="A616" s="1"/>
      <c r="B616" s="30"/>
      <c r="C616" s="1"/>
      <c r="D616" s="30"/>
    </row>
    <row r="617" spans="1:4" x14ac:dyDescent="0.25">
      <c r="A617" s="1"/>
      <c r="B617" s="30"/>
      <c r="C617" s="1"/>
      <c r="D617" s="30"/>
    </row>
    <row r="618" spans="1:4" x14ac:dyDescent="0.25">
      <c r="A618" s="1"/>
      <c r="B618" s="30"/>
      <c r="C618" s="1"/>
      <c r="D618" s="30"/>
    </row>
    <row r="619" spans="1:4" x14ac:dyDescent="0.25">
      <c r="A619" s="1"/>
      <c r="B619" s="30"/>
      <c r="C619" s="1"/>
      <c r="D619" s="30"/>
    </row>
    <row r="620" spans="1:4" x14ac:dyDescent="0.25">
      <c r="A620" s="1"/>
      <c r="B620" s="30"/>
      <c r="C620" s="1"/>
      <c r="D620" s="30"/>
    </row>
    <row r="621" spans="1:4" x14ac:dyDescent="0.25">
      <c r="A621" s="1"/>
      <c r="B621" s="30"/>
      <c r="C621" s="1"/>
      <c r="D621" s="30"/>
    </row>
    <row r="622" spans="1:4" x14ac:dyDescent="0.25">
      <c r="A622" s="1"/>
      <c r="B622" s="30"/>
      <c r="C622" s="1"/>
      <c r="D622" s="30"/>
    </row>
    <row r="623" spans="1:4" x14ac:dyDescent="0.25">
      <c r="A623" s="1"/>
      <c r="B623" s="30"/>
      <c r="C623" s="1"/>
      <c r="D623" s="30"/>
    </row>
    <row r="624" spans="1:4" x14ac:dyDescent="0.25">
      <c r="A624" s="1"/>
      <c r="B624" s="30"/>
      <c r="C624" s="1"/>
      <c r="D624" s="30"/>
    </row>
    <row r="625" spans="1:4" x14ac:dyDescent="0.25">
      <c r="A625" s="1"/>
      <c r="B625" s="30"/>
      <c r="C625" s="1"/>
      <c r="D625" s="30"/>
    </row>
    <row r="626" spans="1:4" x14ac:dyDescent="0.25">
      <c r="A626" s="1"/>
      <c r="B626" s="30"/>
      <c r="C626" s="1"/>
      <c r="D626" s="30"/>
    </row>
    <row r="627" spans="1:4" x14ac:dyDescent="0.25">
      <c r="A627" s="1"/>
      <c r="B627" s="30"/>
      <c r="C627" s="1"/>
      <c r="D627" s="30"/>
    </row>
    <row r="628" spans="1:4" x14ac:dyDescent="0.25">
      <c r="A628" s="1"/>
      <c r="B628" s="30"/>
      <c r="C628" s="1"/>
      <c r="D628" s="30"/>
    </row>
    <row r="629" spans="1:4" x14ac:dyDescent="0.25">
      <c r="A629" s="1"/>
      <c r="B629" s="30"/>
      <c r="C629" s="1"/>
      <c r="D629" s="30"/>
    </row>
    <row r="630" spans="1:4" x14ac:dyDescent="0.25">
      <c r="A630" s="1"/>
      <c r="B630" s="30"/>
      <c r="C630" s="1"/>
      <c r="D630" s="30"/>
    </row>
    <row r="631" spans="1:4" x14ac:dyDescent="0.25">
      <c r="A631" s="1"/>
      <c r="B631" s="30"/>
      <c r="C631" s="1"/>
      <c r="D631" s="30"/>
    </row>
    <row r="632" spans="1:4" x14ac:dyDescent="0.25">
      <c r="A632" s="1"/>
      <c r="B632" s="30"/>
      <c r="C632" s="1"/>
      <c r="D632" s="30"/>
    </row>
    <row r="633" spans="1:4" x14ac:dyDescent="0.25">
      <c r="A633" s="1"/>
      <c r="B633" s="30"/>
      <c r="C633" s="1"/>
      <c r="D633" s="30"/>
    </row>
    <row r="634" spans="1:4" x14ac:dyDescent="0.25">
      <c r="A634" s="1"/>
      <c r="B634" s="30"/>
      <c r="C634" s="1"/>
      <c r="D634" s="30"/>
    </row>
    <row r="635" spans="1:4" x14ac:dyDescent="0.25">
      <c r="A635" s="1"/>
      <c r="B635" s="30"/>
      <c r="C635" s="1"/>
      <c r="D635" s="30"/>
    </row>
    <row r="636" spans="1:4" x14ac:dyDescent="0.25">
      <c r="A636" s="1"/>
      <c r="B636" s="30"/>
      <c r="C636" s="1"/>
      <c r="D636" s="30"/>
    </row>
    <row r="637" spans="1:4" x14ac:dyDescent="0.25">
      <c r="A637" s="1"/>
      <c r="B637" s="30"/>
      <c r="C637" s="1"/>
      <c r="D637" s="30"/>
    </row>
    <row r="638" spans="1:4" x14ac:dyDescent="0.25">
      <c r="A638" s="1"/>
      <c r="B638" s="30"/>
      <c r="C638" s="1"/>
      <c r="D638" s="30"/>
    </row>
    <row r="639" spans="1:4" x14ac:dyDescent="0.25">
      <c r="A639" s="1"/>
      <c r="B639" s="30"/>
      <c r="C639" s="1"/>
      <c r="D639" s="30"/>
    </row>
    <row r="640" spans="1:4" x14ac:dyDescent="0.25">
      <c r="A640" s="1"/>
      <c r="B640" s="30"/>
      <c r="C640" s="1"/>
      <c r="D640" s="30"/>
    </row>
    <row r="641" spans="1:4" x14ac:dyDescent="0.25">
      <c r="A641" s="1"/>
      <c r="B641" s="30"/>
      <c r="C641" s="1"/>
      <c r="D641" s="30"/>
    </row>
    <row r="642" spans="1:4" x14ac:dyDescent="0.25">
      <c r="A642" s="1"/>
      <c r="B642" s="30"/>
      <c r="C642" s="1"/>
      <c r="D642" s="30"/>
    </row>
    <row r="643" spans="1:4" x14ac:dyDescent="0.25">
      <c r="A643" s="1"/>
      <c r="B643" s="30"/>
      <c r="C643" s="1"/>
      <c r="D643" s="30"/>
    </row>
    <row r="644" spans="1:4" x14ac:dyDescent="0.25">
      <c r="A644" s="1"/>
      <c r="B644" s="30"/>
      <c r="C644" s="1"/>
      <c r="D644" s="30"/>
    </row>
    <row r="645" spans="1:4" x14ac:dyDescent="0.25">
      <c r="A645" s="1"/>
      <c r="B645" s="30"/>
      <c r="C645" s="1"/>
      <c r="D645" s="30"/>
    </row>
    <row r="646" spans="1:4" x14ac:dyDescent="0.25">
      <c r="A646" s="1"/>
      <c r="B646" s="30"/>
      <c r="C646" s="1"/>
      <c r="D646" s="30"/>
    </row>
    <row r="647" spans="1:4" x14ac:dyDescent="0.25">
      <c r="A647" s="1"/>
      <c r="B647" s="30"/>
      <c r="C647" s="1"/>
      <c r="D647" s="30"/>
    </row>
    <row r="648" spans="1:4" x14ac:dyDescent="0.25">
      <c r="A648" s="1"/>
      <c r="B648" s="30"/>
      <c r="C648" s="1"/>
      <c r="D648" s="30"/>
    </row>
    <row r="649" spans="1:4" x14ac:dyDescent="0.25">
      <c r="A649" s="1"/>
      <c r="B649" s="30"/>
      <c r="C649" s="1"/>
      <c r="D649" s="30"/>
    </row>
    <row r="650" spans="1:4" x14ac:dyDescent="0.25">
      <c r="A650" s="1"/>
      <c r="B650" s="30"/>
      <c r="C650" s="1"/>
      <c r="D650" s="30"/>
    </row>
    <row r="651" spans="1:4" x14ac:dyDescent="0.25">
      <c r="A651" s="1"/>
      <c r="B651" s="30"/>
      <c r="C651" s="1"/>
      <c r="D651" s="30"/>
    </row>
    <row r="652" spans="1:4" x14ac:dyDescent="0.25">
      <c r="A652" s="1"/>
      <c r="B652" s="30"/>
      <c r="C652" s="1"/>
      <c r="D652" s="30"/>
    </row>
    <row r="653" spans="1:4" x14ac:dyDescent="0.25">
      <c r="A653" s="1"/>
      <c r="B653" s="30"/>
      <c r="C653" s="1"/>
      <c r="D653" s="30"/>
    </row>
    <row r="654" spans="1:4" x14ac:dyDescent="0.25">
      <c r="A654" s="1"/>
      <c r="B654" s="30"/>
      <c r="C654" s="1"/>
      <c r="D654" s="30"/>
    </row>
    <row r="655" spans="1:4" x14ac:dyDescent="0.25">
      <c r="A655" s="1"/>
      <c r="B655" s="30"/>
      <c r="C655" s="1"/>
      <c r="D655" s="30"/>
    </row>
    <row r="656" spans="1:4" x14ac:dyDescent="0.25">
      <c r="A656" s="1"/>
      <c r="B656" s="30"/>
      <c r="C656" s="1"/>
      <c r="D656" s="30"/>
    </row>
    <row r="657" spans="1:4" x14ac:dyDescent="0.25">
      <c r="A657" s="1"/>
      <c r="B657" s="30"/>
      <c r="C657" s="1"/>
      <c r="D657" s="30"/>
    </row>
    <row r="658" spans="1:4" x14ac:dyDescent="0.25">
      <c r="A658" s="1"/>
      <c r="B658" s="30"/>
      <c r="C658" s="1"/>
      <c r="D658" s="30"/>
    </row>
    <row r="659" spans="1:4" x14ac:dyDescent="0.25">
      <c r="A659" s="1"/>
      <c r="B659" s="30"/>
      <c r="C659" s="1"/>
      <c r="D659" s="30"/>
    </row>
    <row r="660" spans="1:4" x14ac:dyDescent="0.25">
      <c r="A660" s="1"/>
      <c r="B660" s="30"/>
      <c r="C660" s="1"/>
      <c r="D660" s="30"/>
    </row>
    <row r="661" spans="1:4" x14ac:dyDescent="0.25">
      <c r="A661" s="1"/>
      <c r="B661" s="30"/>
      <c r="C661" s="1"/>
      <c r="D661" s="30"/>
    </row>
    <row r="662" spans="1:4" x14ac:dyDescent="0.25">
      <c r="A662" s="1"/>
      <c r="B662" s="30"/>
      <c r="C662" s="1"/>
      <c r="D662" s="30"/>
    </row>
    <row r="663" spans="1:4" x14ac:dyDescent="0.25">
      <c r="A663" s="1"/>
      <c r="B663" s="30"/>
      <c r="C663" s="1"/>
      <c r="D663" s="30"/>
    </row>
    <row r="664" spans="1:4" x14ac:dyDescent="0.25">
      <c r="A664" s="1"/>
      <c r="B664" s="30"/>
      <c r="C664" s="1"/>
      <c r="D664" s="30"/>
    </row>
    <row r="665" spans="1:4" x14ac:dyDescent="0.25">
      <c r="A665" s="1"/>
      <c r="B665" s="30"/>
      <c r="C665" s="1"/>
      <c r="D665" s="30"/>
    </row>
    <row r="666" spans="1:4" x14ac:dyDescent="0.25">
      <c r="A666" s="1"/>
      <c r="B666" s="30"/>
      <c r="C666" s="1"/>
      <c r="D666" s="30"/>
    </row>
    <row r="667" spans="1:4" x14ac:dyDescent="0.25">
      <c r="A667" s="1"/>
      <c r="B667" s="30"/>
      <c r="C667" s="1"/>
      <c r="D667" s="30"/>
    </row>
    <row r="668" spans="1:4" x14ac:dyDescent="0.25">
      <c r="A668" s="1"/>
      <c r="B668" s="30"/>
      <c r="C668" s="1"/>
      <c r="D668" s="30"/>
    </row>
    <row r="669" spans="1:4" x14ac:dyDescent="0.25">
      <c r="A669" s="1"/>
      <c r="B669" s="30"/>
      <c r="C669" s="1"/>
      <c r="D669" s="30"/>
    </row>
    <row r="670" spans="1:4" x14ac:dyDescent="0.25">
      <c r="A670" s="1"/>
      <c r="B670" s="30"/>
      <c r="C670" s="1"/>
      <c r="D670" s="30"/>
    </row>
    <row r="671" spans="1:4" x14ac:dyDescent="0.25">
      <c r="A671" s="1"/>
      <c r="B671" s="30"/>
      <c r="C671" s="1"/>
      <c r="D671" s="30"/>
    </row>
    <row r="672" spans="1:4" x14ac:dyDescent="0.25">
      <c r="A672" s="1"/>
      <c r="B672" s="30"/>
      <c r="C672" s="1"/>
      <c r="D672" s="30"/>
    </row>
    <row r="673" spans="1:4" x14ac:dyDescent="0.25">
      <c r="A673" s="1"/>
      <c r="B673" s="30"/>
      <c r="C673" s="1"/>
      <c r="D673" s="30"/>
    </row>
    <row r="674" spans="1:4" x14ac:dyDescent="0.25">
      <c r="A674" s="1"/>
      <c r="B674" s="30"/>
      <c r="C674" s="1"/>
      <c r="D674" s="30"/>
    </row>
    <row r="675" spans="1:4" x14ac:dyDescent="0.25">
      <c r="A675" s="1"/>
      <c r="B675" s="30"/>
      <c r="C675" s="1"/>
      <c r="D675" s="30"/>
    </row>
    <row r="676" spans="1:4" x14ac:dyDescent="0.25">
      <c r="A676" s="1"/>
      <c r="B676" s="30"/>
      <c r="C676" s="1"/>
      <c r="D676" s="30"/>
    </row>
    <row r="677" spans="1:4" x14ac:dyDescent="0.25">
      <c r="A677" s="1"/>
      <c r="B677" s="30"/>
      <c r="C677" s="1"/>
      <c r="D677" s="30"/>
    </row>
    <row r="678" spans="1:4" x14ac:dyDescent="0.25">
      <c r="A678" s="1"/>
      <c r="B678" s="30"/>
      <c r="C678" s="1"/>
      <c r="D678" s="30"/>
    </row>
    <row r="679" spans="1:4" x14ac:dyDescent="0.25">
      <c r="A679" s="1"/>
      <c r="B679" s="30"/>
      <c r="C679" s="1"/>
      <c r="D679" s="30"/>
    </row>
    <row r="680" spans="1:4" x14ac:dyDescent="0.25">
      <c r="A680" s="1"/>
      <c r="B680" s="30"/>
      <c r="C680" s="1"/>
      <c r="D680" s="30"/>
    </row>
    <row r="681" spans="1:4" x14ac:dyDescent="0.25">
      <c r="A681" s="1"/>
      <c r="B681" s="30"/>
      <c r="C681" s="1"/>
      <c r="D681" s="30"/>
    </row>
    <row r="682" spans="1:4" x14ac:dyDescent="0.25">
      <c r="A682" s="1"/>
      <c r="B682" s="30"/>
      <c r="C682" s="1"/>
      <c r="D682" s="30"/>
    </row>
    <row r="683" spans="1:4" x14ac:dyDescent="0.25">
      <c r="A683" s="1"/>
      <c r="B683" s="30"/>
      <c r="C683" s="1"/>
      <c r="D683" s="30"/>
    </row>
    <row r="684" spans="1:4" x14ac:dyDescent="0.25">
      <c r="A684" s="1"/>
      <c r="B684" s="30"/>
      <c r="C684" s="1"/>
      <c r="D684" s="30"/>
    </row>
    <row r="685" spans="1:4" x14ac:dyDescent="0.25">
      <c r="A685" s="1"/>
      <c r="B685" s="30"/>
      <c r="C685" s="1"/>
      <c r="D685" s="30"/>
    </row>
    <row r="686" spans="1:4" x14ac:dyDescent="0.25">
      <c r="A686" s="1"/>
      <c r="B686" s="30"/>
      <c r="C686" s="1"/>
      <c r="D686" s="30"/>
    </row>
    <row r="687" spans="1:4" x14ac:dyDescent="0.25">
      <c r="A687" s="1"/>
      <c r="B687" s="30"/>
      <c r="C687" s="1"/>
      <c r="D687" s="30"/>
    </row>
    <row r="688" spans="1:4" x14ac:dyDescent="0.25">
      <c r="A688" s="1"/>
      <c r="B688" s="30"/>
      <c r="C688" s="1"/>
      <c r="D688" s="30"/>
    </row>
    <row r="689" spans="1:4" x14ac:dyDescent="0.25">
      <c r="A689" s="1"/>
      <c r="B689" s="30"/>
      <c r="C689" s="1"/>
      <c r="D689" s="30"/>
    </row>
    <row r="690" spans="1:4" x14ac:dyDescent="0.25">
      <c r="A690" s="1"/>
      <c r="B690" s="30"/>
      <c r="C690" s="1"/>
      <c r="D690" s="30"/>
    </row>
    <row r="691" spans="1:4" x14ac:dyDescent="0.25">
      <c r="A691" s="1"/>
      <c r="B691" s="30"/>
      <c r="C691" s="1"/>
      <c r="D691" s="30"/>
    </row>
    <row r="692" spans="1:4" x14ac:dyDescent="0.25">
      <c r="A692" s="1"/>
      <c r="B692" s="30"/>
      <c r="C692" s="1"/>
      <c r="D692" s="30"/>
    </row>
    <row r="693" spans="1:4" x14ac:dyDescent="0.25">
      <c r="A693" s="1"/>
      <c r="B693" s="30"/>
      <c r="C693" s="1"/>
      <c r="D693" s="30"/>
    </row>
    <row r="694" spans="1:4" x14ac:dyDescent="0.25">
      <c r="A694" s="1"/>
      <c r="B694" s="30"/>
      <c r="C694" s="1"/>
      <c r="D694" s="30"/>
    </row>
    <row r="695" spans="1:4" x14ac:dyDescent="0.25">
      <c r="A695" s="1"/>
      <c r="B695" s="30"/>
      <c r="C695" s="1"/>
      <c r="D695" s="30"/>
    </row>
    <row r="696" spans="1:4" x14ac:dyDescent="0.25">
      <c r="A696" s="1"/>
      <c r="B696" s="30"/>
      <c r="C696" s="1"/>
      <c r="D696" s="30"/>
    </row>
    <row r="697" spans="1:4" x14ac:dyDescent="0.25">
      <c r="A697" s="1"/>
      <c r="B697" s="30"/>
      <c r="C697" s="1"/>
      <c r="D697" s="30"/>
    </row>
    <row r="698" spans="1:4" x14ac:dyDescent="0.25">
      <c r="A698" s="1"/>
      <c r="B698" s="30"/>
      <c r="C698" s="1"/>
      <c r="D698" s="30"/>
    </row>
    <row r="699" spans="1:4" x14ac:dyDescent="0.25">
      <c r="A699" s="1"/>
      <c r="B699" s="30"/>
      <c r="C699" s="1"/>
      <c r="D699" s="30"/>
    </row>
    <row r="700" spans="1:4" x14ac:dyDescent="0.25">
      <c r="A700" s="1"/>
      <c r="B700" s="30"/>
      <c r="C700" s="1"/>
      <c r="D700" s="30"/>
    </row>
    <row r="701" spans="1:4" x14ac:dyDescent="0.25">
      <c r="A701" s="1"/>
      <c r="B701" s="30"/>
      <c r="C701" s="1"/>
      <c r="D701" s="30"/>
    </row>
    <row r="702" spans="1:4" x14ac:dyDescent="0.25">
      <c r="A702" s="1"/>
      <c r="B702" s="30"/>
      <c r="C702" s="1"/>
      <c r="D702" s="30"/>
    </row>
    <row r="703" spans="1:4" x14ac:dyDescent="0.25">
      <c r="A703" s="1"/>
      <c r="B703" s="30"/>
      <c r="C703" s="1"/>
      <c r="D703" s="30"/>
    </row>
    <row r="704" spans="1:4" x14ac:dyDescent="0.25">
      <c r="A704" s="1"/>
      <c r="B704" s="30"/>
      <c r="C704" s="1"/>
      <c r="D704" s="30"/>
    </row>
    <row r="705" spans="1:4" x14ac:dyDescent="0.25">
      <c r="A705" s="1"/>
      <c r="B705" s="30"/>
      <c r="C705" s="1"/>
      <c r="D705" s="30"/>
    </row>
    <row r="706" spans="1:4" x14ac:dyDescent="0.25">
      <c r="A706" s="1"/>
      <c r="B706" s="30"/>
      <c r="C706" s="1"/>
      <c r="D706" s="30"/>
    </row>
    <row r="707" spans="1:4" x14ac:dyDescent="0.25">
      <c r="A707" s="1"/>
      <c r="B707" s="30"/>
      <c r="C707" s="1"/>
      <c r="D707" s="30"/>
    </row>
    <row r="708" spans="1:4" x14ac:dyDescent="0.25">
      <c r="A708" s="1"/>
      <c r="B708" s="30"/>
      <c r="C708" s="1"/>
      <c r="D708" s="30"/>
    </row>
    <row r="709" spans="1:4" x14ac:dyDescent="0.25">
      <c r="A709" s="1"/>
      <c r="B709" s="30"/>
      <c r="C709" s="1"/>
      <c r="D709" s="30"/>
    </row>
    <row r="710" spans="1:4" x14ac:dyDescent="0.25">
      <c r="A710" s="1"/>
      <c r="B710" s="30"/>
      <c r="C710" s="1"/>
      <c r="D710" s="30"/>
    </row>
    <row r="711" spans="1:4" x14ac:dyDescent="0.25">
      <c r="A711" s="1"/>
      <c r="B711" s="30"/>
      <c r="C711" s="1"/>
      <c r="D711" s="30"/>
    </row>
    <row r="712" spans="1:4" x14ac:dyDescent="0.25">
      <c r="A712" s="1"/>
      <c r="B712" s="30"/>
      <c r="C712" s="1"/>
      <c r="D712" s="30"/>
    </row>
    <row r="713" spans="1:4" x14ac:dyDescent="0.25">
      <c r="A713" s="1"/>
      <c r="B713" s="30"/>
      <c r="C713" s="1"/>
      <c r="D713" s="30"/>
    </row>
    <row r="714" spans="1:4" x14ac:dyDescent="0.25">
      <c r="A714" s="1"/>
      <c r="B714" s="30"/>
      <c r="C714" s="1"/>
      <c r="D714" s="30"/>
    </row>
    <row r="715" spans="1:4" x14ac:dyDescent="0.25">
      <c r="A715" s="1"/>
      <c r="B715" s="30"/>
      <c r="C715" s="1"/>
      <c r="D715" s="30"/>
    </row>
    <row r="716" spans="1:4" x14ac:dyDescent="0.25">
      <c r="A716" s="1"/>
      <c r="B716" s="30"/>
      <c r="C716" s="1"/>
      <c r="D716" s="30"/>
    </row>
    <row r="717" spans="1:4" x14ac:dyDescent="0.25">
      <c r="A717" s="1"/>
      <c r="B717" s="30"/>
      <c r="C717" s="1"/>
      <c r="D717" s="30"/>
    </row>
    <row r="718" spans="1:4" x14ac:dyDescent="0.25">
      <c r="A718" s="1"/>
      <c r="B718" s="30"/>
      <c r="C718" s="1"/>
      <c r="D718" s="30"/>
    </row>
    <row r="719" spans="1:4" x14ac:dyDescent="0.25">
      <c r="A719" s="1"/>
      <c r="B719" s="30"/>
      <c r="C719" s="1"/>
      <c r="D719" s="30"/>
    </row>
    <row r="720" spans="1:4" x14ac:dyDescent="0.25">
      <c r="A720" s="1"/>
      <c r="B720" s="30"/>
      <c r="C720" s="1"/>
      <c r="D720" s="30"/>
    </row>
    <row r="721" spans="1:4" x14ac:dyDescent="0.25">
      <c r="A721" s="1"/>
      <c r="B721" s="30"/>
      <c r="C721" s="1"/>
      <c r="D721" s="30"/>
    </row>
    <row r="722" spans="1:4" x14ac:dyDescent="0.25">
      <c r="A722" s="1"/>
      <c r="B722" s="30"/>
      <c r="C722" s="1"/>
      <c r="D722" s="30"/>
    </row>
    <row r="723" spans="1:4" x14ac:dyDescent="0.25">
      <c r="A723" s="1"/>
      <c r="B723" s="30"/>
      <c r="C723" s="1"/>
      <c r="D723" s="30"/>
    </row>
    <row r="724" spans="1:4" x14ac:dyDescent="0.25">
      <c r="A724" s="1"/>
      <c r="B724" s="30"/>
      <c r="C724" s="1"/>
      <c r="D724" s="30"/>
    </row>
    <row r="725" spans="1:4" x14ac:dyDescent="0.25">
      <c r="A725" s="1"/>
      <c r="B725" s="30"/>
      <c r="C725" s="1"/>
      <c r="D725" s="30"/>
    </row>
    <row r="726" spans="1:4" x14ac:dyDescent="0.25">
      <c r="A726" s="1"/>
      <c r="B726" s="30"/>
      <c r="C726" s="1"/>
      <c r="D726" s="30"/>
    </row>
    <row r="727" spans="1:4" x14ac:dyDescent="0.25">
      <c r="A727" s="1"/>
      <c r="B727" s="30"/>
      <c r="C727" s="1"/>
      <c r="D727" s="30"/>
    </row>
    <row r="728" spans="1:4" x14ac:dyDescent="0.25">
      <c r="A728" s="1"/>
      <c r="B728" s="30"/>
      <c r="C728" s="1"/>
      <c r="D728" s="30"/>
    </row>
    <row r="729" spans="1:4" x14ac:dyDescent="0.25">
      <c r="A729" s="1"/>
      <c r="B729" s="30"/>
      <c r="C729" s="1"/>
      <c r="D729" s="30"/>
    </row>
    <row r="730" spans="1:4" x14ac:dyDescent="0.25">
      <c r="A730" s="1"/>
      <c r="B730" s="30"/>
      <c r="C730" s="1"/>
      <c r="D730" s="30"/>
    </row>
    <row r="731" spans="1:4" x14ac:dyDescent="0.25">
      <c r="A731" s="1"/>
      <c r="B731" s="30"/>
      <c r="C731" s="1"/>
      <c r="D731" s="30"/>
    </row>
    <row r="732" spans="1:4" x14ac:dyDescent="0.25">
      <c r="A732" s="1"/>
      <c r="B732" s="30"/>
      <c r="C732" s="1"/>
      <c r="D732" s="30"/>
    </row>
    <row r="733" spans="1:4" x14ac:dyDescent="0.25">
      <c r="A733" s="1"/>
      <c r="B733" s="30"/>
      <c r="C733" s="1"/>
      <c r="D733" s="30"/>
    </row>
    <row r="734" spans="1:4" x14ac:dyDescent="0.25">
      <c r="A734" s="1"/>
      <c r="B734" s="30"/>
      <c r="C734" s="1"/>
      <c r="D734" s="30"/>
    </row>
    <row r="735" spans="1:4" x14ac:dyDescent="0.25">
      <c r="A735" s="1"/>
      <c r="B735" s="30"/>
      <c r="C735" s="1"/>
      <c r="D735" s="30"/>
    </row>
    <row r="736" spans="1:4" x14ac:dyDescent="0.25">
      <c r="A736" s="1"/>
      <c r="B736" s="30"/>
      <c r="C736" s="1"/>
      <c r="D736" s="30"/>
    </row>
    <row r="737" spans="1:4" x14ac:dyDescent="0.25">
      <c r="A737" s="1"/>
      <c r="B737" s="30"/>
      <c r="C737" s="1"/>
      <c r="D737" s="30"/>
    </row>
    <row r="738" spans="1:4" x14ac:dyDescent="0.25">
      <c r="A738" s="1"/>
      <c r="B738" s="30"/>
      <c r="C738" s="1"/>
      <c r="D738" s="30"/>
    </row>
    <row r="739" spans="1:4" x14ac:dyDescent="0.25">
      <c r="A739" s="1"/>
      <c r="B739" s="30"/>
      <c r="C739" s="1"/>
      <c r="D739" s="30"/>
    </row>
    <row r="740" spans="1:4" x14ac:dyDescent="0.25">
      <c r="A740" s="1"/>
      <c r="B740" s="30"/>
      <c r="C740" s="1"/>
      <c r="D740" s="30"/>
    </row>
    <row r="741" spans="1:4" x14ac:dyDescent="0.25">
      <c r="A741" s="1"/>
      <c r="B741" s="30"/>
      <c r="C741" s="1"/>
      <c r="D741" s="30"/>
    </row>
    <row r="742" spans="1:4" x14ac:dyDescent="0.25">
      <c r="A742" s="1"/>
      <c r="B742" s="30"/>
      <c r="C742" s="1"/>
      <c r="D742" s="30"/>
    </row>
    <row r="743" spans="1:4" x14ac:dyDescent="0.25">
      <c r="A743" s="1"/>
      <c r="B743" s="30"/>
      <c r="C743" s="1"/>
      <c r="D743" s="30"/>
    </row>
    <row r="744" spans="1:4" x14ac:dyDescent="0.25">
      <c r="A744" s="1"/>
      <c r="B744" s="30"/>
      <c r="C744" s="1"/>
      <c r="D744" s="30"/>
    </row>
    <row r="745" spans="1:4" x14ac:dyDescent="0.25">
      <c r="A745" s="1"/>
      <c r="B745" s="30"/>
      <c r="C745" s="1"/>
      <c r="D745" s="30"/>
    </row>
    <row r="746" spans="1:4" x14ac:dyDescent="0.25">
      <c r="A746" s="1"/>
      <c r="B746" s="30"/>
      <c r="C746" s="1"/>
      <c r="D746" s="30"/>
    </row>
    <row r="747" spans="1:4" x14ac:dyDescent="0.25">
      <c r="A747" s="1"/>
      <c r="B747" s="30"/>
      <c r="C747" s="1"/>
      <c r="D747" s="30"/>
    </row>
    <row r="748" spans="1:4" x14ac:dyDescent="0.25">
      <c r="A748" s="1"/>
      <c r="B748" s="30"/>
      <c r="C748" s="1"/>
      <c r="D748" s="30"/>
    </row>
    <row r="749" spans="1:4" x14ac:dyDescent="0.25">
      <c r="A749" s="1"/>
      <c r="B749" s="30"/>
      <c r="C749" s="1"/>
      <c r="D749" s="30"/>
    </row>
    <row r="750" spans="1:4" x14ac:dyDescent="0.25">
      <c r="A750" s="1"/>
      <c r="B750" s="30"/>
      <c r="C750" s="1"/>
      <c r="D750" s="30"/>
    </row>
    <row r="751" spans="1:4" x14ac:dyDescent="0.25">
      <c r="A751" s="1"/>
      <c r="B751" s="30"/>
      <c r="C751" s="1"/>
      <c r="D751" s="30"/>
    </row>
    <row r="752" spans="1:4" x14ac:dyDescent="0.25">
      <c r="A752" s="1"/>
      <c r="B752" s="30"/>
      <c r="C752" s="1"/>
      <c r="D752" s="30"/>
    </row>
    <row r="753" spans="1:4" x14ac:dyDescent="0.25">
      <c r="A753" s="1"/>
      <c r="B753" s="30"/>
      <c r="C753" s="1"/>
      <c r="D753" s="30"/>
    </row>
    <row r="754" spans="1:4" x14ac:dyDescent="0.25">
      <c r="A754" s="1"/>
      <c r="B754" s="30"/>
      <c r="C754" s="1"/>
      <c r="D754" s="30"/>
    </row>
    <row r="755" spans="1:4" x14ac:dyDescent="0.25">
      <c r="A755" s="1"/>
      <c r="B755" s="30"/>
      <c r="C755" s="1"/>
      <c r="D755" s="30"/>
    </row>
    <row r="756" spans="1:4" x14ac:dyDescent="0.25">
      <c r="A756" s="1"/>
      <c r="B756" s="30"/>
      <c r="C756" s="1"/>
      <c r="D756" s="30"/>
    </row>
    <row r="757" spans="1:4" x14ac:dyDescent="0.25">
      <c r="A757" s="1"/>
      <c r="B757" s="30"/>
      <c r="C757" s="1"/>
      <c r="D757" s="30"/>
    </row>
    <row r="758" spans="1:4" x14ac:dyDescent="0.25">
      <c r="A758" s="1"/>
      <c r="B758" s="30"/>
      <c r="C758" s="1"/>
      <c r="D758" s="30"/>
    </row>
    <row r="759" spans="1:4" x14ac:dyDescent="0.25">
      <c r="A759" s="1"/>
      <c r="B759" s="30"/>
      <c r="C759" s="1"/>
      <c r="D759" s="30"/>
    </row>
    <row r="760" spans="1:4" x14ac:dyDescent="0.25">
      <c r="A760" s="1"/>
      <c r="B760" s="30"/>
      <c r="C760" s="1"/>
      <c r="D760" s="30"/>
    </row>
    <row r="761" spans="1:4" x14ac:dyDescent="0.25">
      <c r="A761" s="1"/>
      <c r="B761" s="30"/>
      <c r="C761" s="1"/>
      <c r="D761" s="30"/>
    </row>
    <row r="762" spans="1:4" x14ac:dyDescent="0.25">
      <c r="A762" s="1"/>
      <c r="B762" s="30"/>
      <c r="C762" s="1"/>
      <c r="D762" s="30"/>
    </row>
    <row r="763" spans="1:4" x14ac:dyDescent="0.25">
      <c r="A763" s="1"/>
      <c r="B763" s="30"/>
      <c r="C763" s="1"/>
      <c r="D763" s="30"/>
    </row>
    <row r="764" spans="1:4" x14ac:dyDescent="0.25">
      <c r="A764" s="1"/>
      <c r="B764" s="30"/>
      <c r="C764" s="1"/>
      <c r="D764" s="30"/>
    </row>
    <row r="765" spans="1:4" x14ac:dyDescent="0.25">
      <c r="A765" s="1"/>
      <c r="B765" s="30"/>
      <c r="C765" s="1"/>
      <c r="D765" s="30"/>
    </row>
    <row r="766" spans="1:4" x14ac:dyDescent="0.25">
      <c r="A766" s="1"/>
      <c r="B766" s="30"/>
      <c r="C766" s="1"/>
      <c r="D766" s="30"/>
    </row>
    <row r="767" spans="1:4" x14ac:dyDescent="0.25">
      <c r="A767" s="1"/>
      <c r="B767" s="30"/>
      <c r="C767" s="1"/>
      <c r="D767" s="30"/>
    </row>
    <row r="768" spans="1:4" x14ac:dyDescent="0.25">
      <c r="A768" s="1"/>
      <c r="B768" s="30"/>
      <c r="C768" s="1"/>
      <c r="D768" s="30"/>
    </row>
    <row r="769" spans="1:4" x14ac:dyDescent="0.25">
      <c r="A769" s="1"/>
      <c r="B769" s="30"/>
      <c r="C769" s="1"/>
      <c r="D769" s="30"/>
    </row>
    <row r="770" spans="1:4" x14ac:dyDescent="0.25">
      <c r="A770" s="1"/>
      <c r="B770" s="30"/>
      <c r="C770" s="1"/>
      <c r="D770" s="30"/>
    </row>
    <row r="771" spans="1:4" x14ac:dyDescent="0.25">
      <c r="A771" s="1"/>
      <c r="B771" s="30"/>
      <c r="C771" s="1"/>
      <c r="D771" s="30"/>
    </row>
    <row r="772" spans="1:4" x14ac:dyDescent="0.25">
      <c r="A772" s="1"/>
      <c r="B772" s="30"/>
      <c r="C772" s="1"/>
      <c r="D772" s="30"/>
    </row>
    <row r="773" spans="1:4" x14ac:dyDescent="0.25">
      <c r="A773" s="1"/>
      <c r="B773" s="30"/>
      <c r="C773" s="1"/>
      <c r="D773" s="30"/>
    </row>
    <row r="774" spans="1:4" x14ac:dyDescent="0.25">
      <c r="A774" s="1"/>
      <c r="B774" s="30"/>
      <c r="C774" s="1"/>
      <c r="D774" s="30"/>
    </row>
    <row r="775" spans="1:4" x14ac:dyDescent="0.25">
      <c r="A775" s="1"/>
      <c r="B775" s="30"/>
      <c r="C775" s="1"/>
      <c r="D775" s="30"/>
    </row>
    <row r="776" spans="1:4" x14ac:dyDescent="0.25">
      <c r="A776" s="1"/>
      <c r="B776" s="30"/>
      <c r="C776" s="1"/>
      <c r="D776" s="30"/>
    </row>
    <row r="777" spans="1:4" x14ac:dyDescent="0.25">
      <c r="A777" s="1"/>
      <c r="B777" s="30"/>
      <c r="C777" s="1"/>
      <c r="D777" s="30"/>
    </row>
    <row r="778" spans="1:4" x14ac:dyDescent="0.25">
      <c r="A778" s="1"/>
      <c r="B778" s="30"/>
      <c r="C778" s="1"/>
      <c r="D778" s="30"/>
    </row>
    <row r="779" spans="1:4" x14ac:dyDescent="0.25">
      <c r="A779" s="1"/>
      <c r="B779" s="30"/>
      <c r="C779" s="1"/>
      <c r="D779" s="30"/>
    </row>
    <row r="780" spans="1:4" x14ac:dyDescent="0.25">
      <c r="A780" s="1"/>
      <c r="B780" s="30"/>
      <c r="C780" s="1"/>
      <c r="D780" s="30"/>
    </row>
    <row r="781" spans="1:4" x14ac:dyDescent="0.25">
      <c r="A781" s="1"/>
      <c r="B781" s="30"/>
      <c r="C781" s="1"/>
      <c r="D781" s="30"/>
    </row>
    <row r="782" spans="1:4" x14ac:dyDescent="0.25">
      <c r="A782" s="1"/>
      <c r="B782" s="30"/>
      <c r="C782" s="1"/>
      <c r="D782" s="30"/>
    </row>
    <row r="783" spans="1:4" x14ac:dyDescent="0.25">
      <c r="A783" s="1"/>
      <c r="B783" s="30"/>
      <c r="C783" s="1"/>
      <c r="D783" s="30"/>
    </row>
    <row r="784" spans="1:4" x14ac:dyDescent="0.25">
      <c r="A784" s="1"/>
      <c r="B784" s="30"/>
      <c r="C784" s="1"/>
      <c r="D784" s="30"/>
    </row>
    <row r="785" spans="1:4" x14ac:dyDescent="0.25">
      <c r="A785" s="1"/>
      <c r="B785" s="30"/>
      <c r="C785" s="1"/>
      <c r="D785" s="30"/>
    </row>
    <row r="786" spans="1:4" x14ac:dyDescent="0.25">
      <c r="A786" s="1"/>
      <c r="B786" s="30"/>
      <c r="C786" s="1"/>
      <c r="D786" s="30"/>
    </row>
    <row r="787" spans="1:4" x14ac:dyDescent="0.25">
      <c r="A787" s="1"/>
      <c r="B787" s="30"/>
      <c r="C787" s="1"/>
      <c r="D787" s="30"/>
    </row>
    <row r="788" spans="1:4" x14ac:dyDescent="0.25">
      <c r="A788" s="1"/>
      <c r="B788" s="30"/>
      <c r="C788" s="1"/>
      <c r="D788" s="30"/>
    </row>
    <row r="789" spans="1:4" x14ac:dyDescent="0.25">
      <c r="A789" s="1"/>
      <c r="B789" s="30"/>
      <c r="C789" s="1"/>
      <c r="D789" s="30"/>
    </row>
    <row r="790" spans="1:4" x14ac:dyDescent="0.25">
      <c r="A790" s="1"/>
      <c r="B790" s="30"/>
      <c r="C790" s="1"/>
      <c r="D790" s="30"/>
    </row>
    <row r="791" spans="1:4" x14ac:dyDescent="0.25">
      <c r="A791" s="1"/>
      <c r="B791" s="30"/>
      <c r="C791" s="1"/>
      <c r="D791" s="30"/>
    </row>
    <row r="792" spans="1:4" x14ac:dyDescent="0.25">
      <c r="A792" s="1"/>
      <c r="B792" s="30"/>
      <c r="C792" s="1"/>
      <c r="D792" s="30"/>
    </row>
    <row r="793" spans="1:4" x14ac:dyDescent="0.25">
      <c r="A793" s="1"/>
      <c r="B793" s="30"/>
      <c r="C793" s="1"/>
      <c r="D793" s="30"/>
    </row>
    <row r="794" spans="1:4" x14ac:dyDescent="0.25">
      <c r="A794" s="1"/>
      <c r="B794" s="30"/>
      <c r="C794" s="1"/>
      <c r="D794" s="30"/>
    </row>
    <row r="795" spans="1:4" x14ac:dyDescent="0.25">
      <c r="A795" s="1"/>
      <c r="B795" s="30"/>
      <c r="C795" s="1"/>
      <c r="D795" s="30"/>
    </row>
    <row r="796" spans="1:4" x14ac:dyDescent="0.25">
      <c r="A796" s="1"/>
      <c r="B796" s="30"/>
      <c r="C796" s="1"/>
      <c r="D796" s="30"/>
    </row>
    <row r="797" spans="1:4" x14ac:dyDescent="0.25">
      <c r="A797" s="1"/>
      <c r="B797" s="30"/>
      <c r="C797" s="1"/>
      <c r="D797" s="30"/>
    </row>
    <row r="798" spans="1:4" x14ac:dyDescent="0.25">
      <c r="A798" s="1"/>
      <c r="B798" s="30"/>
      <c r="C798" s="1"/>
      <c r="D798" s="30"/>
    </row>
    <row r="799" spans="1:4" x14ac:dyDescent="0.25">
      <c r="A799" s="1"/>
      <c r="B799" s="30"/>
      <c r="C799" s="1"/>
      <c r="D799" s="30"/>
    </row>
    <row r="800" spans="1:4" x14ac:dyDescent="0.25">
      <c r="A800" s="1"/>
      <c r="B800" s="30"/>
      <c r="C800" s="1"/>
      <c r="D800" s="30"/>
    </row>
    <row r="801" spans="1:4" x14ac:dyDescent="0.25">
      <c r="A801" s="1"/>
      <c r="B801" s="30"/>
      <c r="C801" s="1"/>
      <c r="D801" s="30"/>
    </row>
    <row r="802" spans="1:4" x14ac:dyDescent="0.25">
      <c r="A802" s="1"/>
      <c r="B802" s="30"/>
      <c r="C802" s="1"/>
      <c r="D802" s="30"/>
    </row>
    <row r="803" spans="1:4" x14ac:dyDescent="0.25">
      <c r="A803" s="1"/>
      <c r="B803" s="30"/>
      <c r="C803" s="1"/>
      <c r="D803" s="30"/>
    </row>
    <row r="804" spans="1:4" x14ac:dyDescent="0.25">
      <c r="A804" s="1"/>
      <c r="B804" s="30"/>
      <c r="C804" s="1"/>
      <c r="D804" s="30"/>
    </row>
    <row r="805" spans="1:4" x14ac:dyDescent="0.25">
      <c r="A805" s="1"/>
      <c r="B805" s="30"/>
      <c r="C805" s="1"/>
      <c r="D805" s="30"/>
    </row>
    <row r="806" spans="1:4" x14ac:dyDescent="0.25">
      <c r="A806" s="1"/>
      <c r="B806" s="30"/>
      <c r="C806" s="1"/>
      <c r="D806" s="30"/>
    </row>
    <row r="807" spans="1:4" x14ac:dyDescent="0.25">
      <c r="A807" s="1"/>
      <c r="B807" s="30"/>
      <c r="C807" s="1"/>
      <c r="D807" s="30"/>
    </row>
    <row r="808" spans="1:4" x14ac:dyDescent="0.25">
      <c r="A808" s="1"/>
      <c r="B808" s="30"/>
      <c r="C808" s="1"/>
      <c r="D808" s="30"/>
    </row>
    <row r="809" spans="1:4" x14ac:dyDescent="0.25">
      <c r="A809" s="1"/>
      <c r="B809" s="30"/>
      <c r="C809" s="1"/>
      <c r="D809" s="30"/>
    </row>
    <row r="810" spans="1:4" x14ac:dyDescent="0.25">
      <c r="A810" s="1"/>
      <c r="B810" s="30"/>
      <c r="C810" s="1"/>
      <c r="D810" s="30"/>
    </row>
  </sheetData>
  <mergeCells count="13">
    <mergeCell ref="A88:A89"/>
    <mergeCell ref="B88:B810"/>
    <mergeCell ref="C88:C89"/>
    <mergeCell ref="D88:D810"/>
    <mergeCell ref="A1:H2"/>
    <mergeCell ref="A44:A45"/>
    <mergeCell ref="B44:B46"/>
    <mergeCell ref="C44:C45"/>
    <mergeCell ref="D44:D46"/>
    <mergeCell ref="E44:E45"/>
    <mergeCell ref="F44:F46"/>
    <mergeCell ref="G44:G45"/>
    <mergeCell ref="H44:H46"/>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7"/>
  <sheetViews>
    <sheetView showGridLines="0" zoomScale="78" zoomScaleNormal="100" workbookViewId="0">
      <selection activeCell="A5" sqref="A5:XFD5"/>
    </sheetView>
  </sheetViews>
  <sheetFormatPr defaultColWidth="8.7109375" defaultRowHeight="15" x14ac:dyDescent="0.25"/>
  <cols>
    <col min="1" max="1" width="100" customWidth="1"/>
  </cols>
  <sheetData>
    <row r="1" spans="1:1" ht="18" x14ac:dyDescent="0.25">
      <c r="A1" s="7" t="s">
        <v>1152</v>
      </c>
    </row>
    <row r="2" spans="1:1" x14ac:dyDescent="0.25">
      <c r="A2" s="8"/>
    </row>
    <row r="3" spans="1:1" x14ac:dyDescent="0.25">
      <c r="A3" s="8" t="s">
        <v>1153</v>
      </c>
    </row>
    <row r="4" spans="1:1" x14ac:dyDescent="0.25">
      <c r="A4" s="8" t="s">
        <v>1154</v>
      </c>
    </row>
    <row r="5" spans="1:1" x14ac:dyDescent="0.25">
      <c r="A5" s="8" t="s">
        <v>1155</v>
      </c>
    </row>
    <row r="6" spans="1:1" x14ac:dyDescent="0.25">
      <c r="A6" s="8"/>
    </row>
    <row r="7" spans="1:1" ht="15.75" x14ac:dyDescent="0.25">
      <c r="A7" s="9" t="s">
        <v>1156</v>
      </c>
    </row>
    <row r="8" spans="1:1" x14ac:dyDescent="0.25">
      <c r="A8" s="8" t="s">
        <v>1157</v>
      </c>
    </row>
    <row r="9" spans="1:1" x14ac:dyDescent="0.25">
      <c r="A9" s="8" t="s">
        <v>1158</v>
      </c>
    </row>
    <row r="10" spans="1:1" x14ac:dyDescent="0.25">
      <c r="A10" s="8" t="s">
        <v>1159</v>
      </c>
    </row>
    <row r="11" spans="1:1" x14ac:dyDescent="0.25">
      <c r="A11" s="8" t="s">
        <v>1160</v>
      </c>
    </row>
    <row r="12" spans="1:1" x14ac:dyDescent="0.25">
      <c r="A12" s="8" t="s">
        <v>1161</v>
      </c>
    </row>
    <row r="13" spans="1:1" x14ac:dyDescent="0.25">
      <c r="A13" s="8" t="s">
        <v>1162</v>
      </c>
    </row>
    <row r="14" spans="1:1" x14ac:dyDescent="0.25">
      <c r="A14" s="8"/>
    </row>
    <row r="15" spans="1:1" ht="15.75" x14ac:dyDescent="0.25">
      <c r="A15" s="9" t="s">
        <v>1163</v>
      </c>
    </row>
    <row r="16" spans="1:1" x14ac:dyDescent="0.25">
      <c r="A16" s="8" t="s">
        <v>1164</v>
      </c>
    </row>
    <row r="17" spans="1:1" x14ac:dyDescent="0.25">
      <c r="A17" s="8" t="s">
        <v>1165</v>
      </c>
    </row>
    <row r="18" spans="1:1" x14ac:dyDescent="0.25">
      <c r="A18" s="8" t="s">
        <v>1166</v>
      </c>
    </row>
    <row r="19" spans="1:1" x14ac:dyDescent="0.25">
      <c r="A19" s="8" t="s">
        <v>1167</v>
      </c>
    </row>
    <row r="20" spans="1:1" x14ac:dyDescent="0.25">
      <c r="A20" s="8" t="s">
        <v>1168</v>
      </c>
    </row>
    <row r="21" spans="1:1" x14ac:dyDescent="0.25">
      <c r="A21" s="8" t="s">
        <v>1169</v>
      </c>
    </row>
    <row r="22" spans="1:1" x14ac:dyDescent="0.25">
      <c r="A22" s="8" t="s">
        <v>1170</v>
      </c>
    </row>
    <row r="23" spans="1:1" x14ac:dyDescent="0.25">
      <c r="A23" s="8" t="s">
        <v>1171</v>
      </c>
    </row>
    <row r="24" spans="1:1" x14ac:dyDescent="0.25">
      <c r="A24" s="8"/>
    </row>
    <row r="25" spans="1:1" x14ac:dyDescent="0.25">
      <c r="A25" s="8" t="s">
        <v>1172</v>
      </c>
    </row>
    <row r="26" spans="1:1" x14ac:dyDescent="0.25">
      <c r="A26" s="8" t="s">
        <v>1173</v>
      </c>
    </row>
    <row r="27" spans="1:1" x14ac:dyDescent="0.25">
      <c r="A27" s="8" t="s">
        <v>1174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PROCESSING</vt:lpstr>
      <vt:lpstr>PVIOTS</vt:lpstr>
      <vt:lpstr>DASHBOARD</vt:lpstr>
      <vt:lpstr>KPI Dashboard</vt:lpstr>
      <vt:lpstr>How To Use (Read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swarupatigre09@gmail.com</cp:lastModifiedBy>
  <cp:revision>1</cp:revision>
  <dcterms:created xsi:type="dcterms:W3CDTF">2026-07-09T04:26:10Z</dcterms:created>
  <dcterms:modified xsi:type="dcterms:W3CDTF">2026-10-11T08:05:42Z</dcterms:modified>
  <dc:language>en-US</dc:language>
</cp:coreProperties>
</file>